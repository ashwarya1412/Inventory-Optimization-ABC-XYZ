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ishw\Downloads\"/>
    </mc:Choice>
  </mc:AlternateContent>
  <xr:revisionPtr revIDLastSave="0" documentId="13_ncr:1_{26BCC6C5-4B67-4D8E-9FF1-758A0FCA8A02}" xr6:coauthVersionLast="47" xr6:coauthVersionMax="47" xr10:uidLastSave="{00000000-0000-0000-0000-000000000000}"/>
  <bookViews>
    <workbookView xWindow="-108" yWindow="-108" windowWidth="23256" windowHeight="12456" xr2:uid="{0A579488-4BD8-4E87-97AD-9E4E0AC298FC}"/>
  </bookViews>
  <sheets>
    <sheet name="ABC-XYZ Dashboard  " sheetId="2" r:id="rId1"/>
    <sheet name="Master dataset" sheetId="1" r:id="rId2"/>
  </sheets>
  <calcPr calcId="191029"/>
  <pivotCaches>
    <pivotCache cacheId="8" r:id="rId3"/>
  </pivotCaches>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V3" i="1"/>
  <c r="V4" i="1"/>
  <c r="V5" i="1"/>
  <c r="V6" i="1"/>
  <c r="V7" i="1"/>
  <c r="V8" i="1"/>
  <c r="V9" i="1"/>
  <c r="V10" i="1"/>
  <c r="V11" i="1"/>
  <c r="V12" i="1"/>
  <c r="V13" i="1"/>
  <c r="V14" i="1"/>
  <c r="V15" i="1"/>
  <c r="V16" i="1"/>
  <c r="V17" i="1"/>
  <c r="V18" i="1"/>
  <c r="V19" i="1"/>
  <c r="V20" i="1"/>
  <c r="U3" i="1"/>
  <c r="U4" i="1"/>
  <c r="U5" i="1"/>
  <c r="U6" i="1"/>
  <c r="U7" i="1"/>
  <c r="U8" i="1"/>
  <c r="U9" i="1"/>
  <c r="U10" i="1"/>
  <c r="U11" i="1"/>
  <c r="U12" i="1"/>
  <c r="U13" i="1"/>
  <c r="U14" i="1"/>
  <c r="U15" i="1"/>
  <c r="U16" i="1"/>
  <c r="U17" i="1"/>
  <c r="U18" i="1"/>
  <c r="U19" i="1"/>
  <c r="U20" i="1"/>
  <c r="W2" i="1"/>
  <c r="V2" i="1"/>
  <c r="U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alcChain>
</file>

<file path=xl/sharedStrings.xml><?xml version="1.0" encoding="utf-8"?>
<sst xmlns="http://schemas.openxmlformats.org/spreadsheetml/2006/main" count="3062" uniqueCount="2063">
  <si>
    <t>Item_ID</t>
  </si>
  <si>
    <t>Item_Name</t>
  </si>
  <si>
    <t>Category</t>
  </si>
  <si>
    <t>Jan_Demand</t>
  </si>
  <si>
    <t>Feb_Demand</t>
  </si>
  <si>
    <t>Mar_Demand</t>
  </si>
  <si>
    <t>Apr_Demand</t>
  </si>
  <si>
    <t>May_Demand</t>
  </si>
  <si>
    <t>Jun_Demand</t>
  </si>
  <si>
    <t>Jul_Demand</t>
  </si>
  <si>
    <t>Aug_Demand</t>
  </si>
  <si>
    <t>Sep_Demand</t>
  </si>
  <si>
    <t>Oct_Demand</t>
  </si>
  <si>
    <t>Nov_Demand</t>
  </si>
  <si>
    <t>Dec_Demand</t>
  </si>
  <si>
    <t>Total_Annual_Units</t>
  </si>
  <si>
    <t>Price_Per_Unit</t>
  </si>
  <si>
    <t>Total_Sales_Value</t>
  </si>
  <si>
    <t>ITM_001</t>
  </si>
  <si>
    <t>Surface Near</t>
  </si>
  <si>
    <t>Grocery</t>
  </si>
  <si>
    <t>ITM_002</t>
  </si>
  <si>
    <t>Central Him</t>
  </si>
  <si>
    <t>ITM_003</t>
  </si>
  <si>
    <t>Win Everyone</t>
  </si>
  <si>
    <t>Apparel</t>
  </si>
  <si>
    <t>ITM_004</t>
  </si>
  <si>
    <t>Task Save</t>
  </si>
  <si>
    <t>ITM_005</t>
  </si>
  <si>
    <t>Hotel Teacher</t>
  </si>
  <si>
    <t>ITM_006</t>
  </si>
  <si>
    <t>Special Strategy</t>
  </si>
  <si>
    <t>ITM_007</t>
  </si>
  <si>
    <t>Memory Expert</t>
  </si>
  <si>
    <t>ITM_008</t>
  </si>
  <si>
    <t>About No</t>
  </si>
  <si>
    <t>Toys</t>
  </si>
  <si>
    <t>ITM_009</t>
  </si>
  <si>
    <t>After Finally</t>
  </si>
  <si>
    <t>ITM_010</t>
  </si>
  <si>
    <t>Require Goal</t>
  </si>
  <si>
    <t>Electronics</t>
  </si>
  <si>
    <t>ITM_011</t>
  </si>
  <si>
    <t>Water Hair</t>
  </si>
  <si>
    <t>ITM_012</t>
  </si>
  <si>
    <t>Yet Save</t>
  </si>
  <si>
    <t>ITM_013</t>
  </si>
  <si>
    <t>Strong Thing</t>
  </si>
  <si>
    <t>ITM_014</t>
  </si>
  <si>
    <t>Whole Interest</t>
  </si>
  <si>
    <t>ITM_015</t>
  </si>
  <si>
    <t>Movie Give</t>
  </si>
  <si>
    <t>ITM_016</t>
  </si>
  <si>
    <t>Without Write</t>
  </si>
  <si>
    <t>ITM_017</t>
  </si>
  <si>
    <t>Admit Fly</t>
  </si>
  <si>
    <t>Home &amp; Kitchen</t>
  </si>
  <si>
    <t>ITM_018</t>
  </si>
  <si>
    <t>Color New</t>
  </si>
  <si>
    <t>ITM_019</t>
  </si>
  <si>
    <t>Affect Some</t>
  </si>
  <si>
    <t>ITM_020</t>
  </si>
  <si>
    <t>Particular Election</t>
  </si>
  <si>
    <t>ITM_021</t>
  </si>
  <si>
    <t>Scene Detail</t>
  </si>
  <si>
    <t>ITM_022</t>
  </si>
  <si>
    <t>Road Store</t>
  </si>
  <si>
    <t>ITM_023</t>
  </si>
  <si>
    <t>Hand Sea</t>
  </si>
  <si>
    <t>ITM_024</t>
  </si>
  <si>
    <t>Model Traditional</t>
  </si>
  <si>
    <t>ITM_025</t>
  </si>
  <si>
    <t>Get Especially</t>
  </si>
  <si>
    <t>ITM_026</t>
  </si>
  <si>
    <t>Management Perhaps</t>
  </si>
  <si>
    <t>ITM_027</t>
  </si>
  <si>
    <t>Program Pay</t>
  </si>
  <si>
    <t>ITM_028</t>
  </si>
  <si>
    <t>Month Trouble</t>
  </si>
  <si>
    <t>ITM_029</t>
  </si>
  <si>
    <t>Ever Amount</t>
  </si>
  <si>
    <t>ITM_030</t>
  </si>
  <si>
    <t>Best Recently</t>
  </si>
  <si>
    <t>ITM_031</t>
  </si>
  <si>
    <t>Attorney Anything</t>
  </si>
  <si>
    <t>ITM_032</t>
  </si>
  <si>
    <t>Without Certainly</t>
  </si>
  <si>
    <t>ITM_033</t>
  </si>
  <si>
    <t>Hear Leave</t>
  </si>
  <si>
    <t>ITM_034</t>
  </si>
  <si>
    <t>Fight Quickly</t>
  </si>
  <si>
    <t>ITM_035</t>
  </si>
  <si>
    <t>Record Everyone</t>
  </si>
  <si>
    <t>ITM_036</t>
  </si>
  <si>
    <t>Standard Air</t>
  </si>
  <si>
    <t>ITM_037</t>
  </si>
  <si>
    <t>Property Economy</t>
  </si>
  <si>
    <t>ITM_038</t>
  </si>
  <si>
    <t>Top Congress</t>
  </si>
  <si>
    <t>ITM_039</t>
  </si>
  <si>
    <t>Where Difficult</t>
  </si>
  <si>
    <t>ITM_040</t>
  </si>
  <si>
    <t>Occur Anything</t>
  </si>
  <si>
    <t>ITM_041</t>
  </si>
  <si>
    <t>Allow Land</t>
  </si>
  <si>
    <t>ITM_042</t>
  </si>
  <si>
    <t>Understand Special</t>
  </si>
  <si>
    <t>ITM_043</t>
  </si>
  <si>
    <t>Loss Nation</t>
  </si>
  <si>
    <t>ITM_044</t>
  </si>
  <si>
    <t>Task Action</t>
  </si>
  <si>
    <t>ITM_045</t>
  </si>
  <si>
    <t>Most Better</t>
  </si>
  <si>
    <t>ITM_046</t>
  </si>
  <si>
    <t>Ahead Successful</t>
  </si>
  <si>
    <t>ITM_047</t>
  </si>
  <si>
    <t>Suffer Short</t>
  </si>
  <si>
    <t>ITM_048</t>
  </si>
  <si>
    <t>Group Important</t>
  </si>
  <si>
    <t>ITM_049</t>
  </si>
  <si>
    <t>Figure Machine</t>
  </si>
  <si>
    <t>ITM_050</t>
  </si>
  <si>
    <t>Apply Trouble</t>
  </si>
  <si>
    <t>ITM_051</t>
  </si>
  <si>
    <t>Understand Feel</t>
  </si>
  <si>
    <t>ITM_052</t>
  </si>
  <si>
    <t>From Big</t>
  </si>
  <si>
    <t>ITM_053</t>
  </si>
  <si>
    <t>Early Best</t>
  </si>
  <si>
    <t>ITM_054</t>
  </si>
  <si>
    <t>Five Work</t>
  </si>
  <si>
    <t>ITM_055</t>
  </si>
  <si>
    <t>Phone Section</t>
  </si>
  <si>
    <t>ITM_056</t>
  </si>
  <si>
    <t>Reach Garden</t>
  </si>
  <si>
    <t>ITM_057</t>
  </si>
  <si>
    <t>Plan Town</t>
  </si>
  <si>
    <t>ITM_058</t>
  </si>
  <si>
    <t>Onto Partner</t>
  </si>
  <si>
    <t>ITM_059</t>
  </si>
  <si>
    <t>Sort Television</t>
  </si>
  <si>
    <t>ITM_060</t>
  </si>
  <si>
    <t>First Beautiful</t>
  </si>
  <si>
    <t>ITM_061</t>
  </si>
  <si>
    <t>There Others</t>
  </si>
  <si>
    <t>ITM_062</t>
  </si>
  <si>
    <t>Picture Forward</t>
  </si>
  <si>
    <t>ITM_063</t>
  </si>
  <si>
    <t>Meet Place</t>
  </si>
  <si>
    <t>ITM_064</t>
  </si>
  <si>
    <t>Laugh Carry</t>
  </si>
  <si>
    <t>ITM_065</t>
  </si>
  <si>
    <t>My Protect</t>
  </si>
  <si>
    <t>ITM_066</t>
  </si>
  <si>
    <t>Brother Popular</t>
  </si>
  <si>
    <t>ITM_067</t>
  </si>
  <si>
    <t>Role Statement</t>
  </si>
  <si>
    <t>ITM_068</t>
  </si>
  <si>
    <t>Allow Those</t>
  </si>
  <si>
    <t>ITM_069</t>
  </si>
  <si>
    <t>Total When</t>
  </si>
  <si>
    <t>ITM_070</t>
  </si>
  <si>
    <t>Defense Seat</t>
  </si>
  <si>
    <t>ITM_071</t>
  </si>
  <si>
    <t>Past Building</t>
  </si>
  <si>
    <t>ITM_072</t>
  </si>
  <si>
    <t>Boy A</t>
  </si>
  <si>
    <t>ITM_073</t>
  </si>
  <si>
    <t>Would Speak</t>
  </si>
  <si>
    <t>ITM_074</t>
  </si>
  <si>
    <t>Tax Create</t>
  </si>
  <si>
    <t>ITM_075</t>
  </si>
  <si>
    <t>Might Every</t>
  </si>
  <si>
    <t>ITM_076</t>
  </si>
  <si>
    <t>Born Property</t>
  </si>
  <si>
    <t>ITM_077</t>
  </si>
  <si>
    <t>Tough Stay</t>
  </si>
  <si>
    <t>ITM_078</t>
  </si>
  <si>
    <t>Benefit West</t>
  </si>
  <si>
    <t>ITM_079</t>
  </si>
  <si>
    <t>Show Performance</t>
  </si>
  <si>
    <t>ITM_080</t>
  </si>
  <si>
    <t>Thank Determine</t>
  </si>
  <si>
    <t>ITM_081</t>
  </si>
  <si>
    <t>Across Artist</t>
  </si>
  <si>
    <t>ITM_082</t>
  </si>
  <si>
    <t>Spring Believe</t>
  </si>
  <si>
    <t>ITM_083</t>
  </si>
  <si>
    <t>Community Marriage</t>
  </si>
  <si>
    <t>ITM_084</t>
  </si>
  <si>
    <t>Maintain Leader</t>
  </si>
  <si>
    <t>ITM_085</t>
  </si>
  <si>
    <t>Learn Significant</t>
  </si>
  <si>
    <t>ITM_086</t>
  </si>
  <si>
    <t>Part Treatment</t>
  </si>
  <si>
    <t>ITM_087</t>
  </si>
  <si>
    <t>Dark Character</t>
  </si>
  <si>
    <t>ITM_088</t>
  </si>
  <si>
    <t>Organization Step</t>
  </si>
  <si>
    <t>ITM_089</t>
  </si>
  <si>
    <t>Mother Pass</t>
  </si>
  <si>
    <t>ITM_090</t>
  </si>
  <si>
    <t>Rich Its</t>
  </si>
  <si>
    <t>ITM_091</t>
  </si>
  <si>
    <t>Several Run</t>
  </si>
  <si>
    <t>ITM_092</t>
  </si>
  <si>
    <t>Production Treatment</t>
  </si>
  <si>
    <t>ITM_093</t>
  </si>
  <si>
    <t>Company Even</t>
  </si>
  <si>
    <t>ITM_094</t>
  </si>
  <si>
    <t>Data However</t>
  </si>
  <si>
    <t>ITM_095</t>
  </si>
  <si>
    <t>Growth Yes</t>
  </si>
  <si>
    <t>ITM_096</t>
  </si>
  <si>
    <t>National Air</t>
  </si>
  <si>
    <t>ITM_097</t>
  </si>
  <si>
    <t>Yeah Around</t>
  </si>
  <si>
    <t>ITM_098</t>
  </si>
  <si>
    <t>Whether Sell</t>
  </si>
  <si>
    <t>ITM_099</t>
  </si>
  <si>
    <t>Specific Work</t>
  </si>
  <si>
    <t>ITM_100</t>
  </si>
  <si>
    <t>Military Understand</t>
  </si>
  <si>
    <t>ITM_101</t>
  </si>
  <si>
    <t>Charge Rest</t>
  </si>
  <si>
    <t>ITM_102</t>
  </si>
  <si>
    <t>Marriage Throw</t>
  </si>
  <si>
    <t>ITM_103</t>
  </si>
  <si>
    <t>Seven Mother</t>
  </si>
  <si>
    <t>ITM_104</t>
  </si>
  <si>
    <t>White Itself</t>
  </si>
  <si>
    <t>ITM_105</t>
  </si>
  <si>
    <t>Last Many</t>
  </si>
  <si>
    <t>ITM_106</t>
  </si>
  <si>
    <t>Say Base</t>
  </si>
  <si>
    <t>ITM_107</t>
  </si>
  <si>
    <t>Home Open</t>
  </si>
  <si>
    <t>ITM_108</t>
  </si>
  <si>
    <t>Occur Food</t>
  </si>
  <si>
    <t>ITM_109</t>
  </si>
  <si>
    <t>Two How</t>
  </si>
  <si>
    <t>ITM_110</t>
  </si>
  <si>
    <t>Leader Evening</t>
  </si>
  <si>
    <t>ITM_111</t>
  </si>
  <si>
    <t>Be Happen</t>
  </si>
  <si>
    <t>ITM_112</t>
  </si>
  <si>
    <t>Artist It</t>
  </si>
  <si>
    <t>ITM_113</t>
  </si>
  <si>
    <t>More Than</t>
  </si>
  <si>
    <t>ITM_114</t>
  </si>
  <si>
    <t>Level Everything</t>
  </si>
  <si>
    <t>ITM_115</t>
  </si>
  <si>
    <t>Few Think</t>
  </si>
  <si>
    <t>ITM_116</t>
  </si>
  <si>
    <t>Customer Stage</t>
  </si>
  <si>
    <t>ITM_117</t>
  </si>
  <si>
    <t>Hotel Last</t>
  </si>
  <si>
    <t>ITM_118</t>
  </si>
  <si>
    <t>List Long</t>
  </si>
  <si>
    <t>ITM_119</t>
  </si>
  <si>
    <t>Picture Yard</t>
  </si>
  <si>
    <t>ITM_120</t>
  </si>
  <si>
    <t>Us Benefit</t>
  </si>
  <si>
    <t>ITM_121</t>
  </si>
  <si>
    <t>Nearly Travel</t>
  </si>
  <si>
    <t>ITM_122</t>
  </si>
  <si>
    <t>Alone National</t>
  </si>
  <si>
    <t>ITM_123</t>
  </si>
  <si>
    <t>One Concern</t>
  </si>
  <si>
    <t>ITM_124</t>
  </si>
  <si>
    <t>Issue Country</t>
  </si>
  <si>
    <t>ITM_125</t>
  </si>
  <si>
    <t>Difficult Rule</t>
  </si>
  <si>
    <t>ITM_126</t>
  </si>
  <si>
    <t>Summer Feel</t>
  </si>
  <si>
    <t>ITM_127</t>
  </si>
  <si>
    <t>Participant Represent</t>
  </si>
  <si>
    <t>ITM_128</t>
  </si>
  <si>
    <t>Anyone Able</t>
  </si>
  <si>
    <t>ITM_129</t>
  </si>
  <si>
    <t>Business Since</t>
  </si>
  <si>
    <t>ITM_130</t>
  </si>
  <si>
    <t>Practice Mean</t>
  </si>
  <si>
    <t>ITM_131</t>
  </si>
  <si>
    <t>Evidence Most</t>
  </si>
  <si>
    <t>ITM_132</t>
  </si>
  <si>
    <t>Dream Moment</t>
  </si>
  <si>
    <t>ITM_133</t>
  </si>
  <si>
    <t>Develop Rather</t>
  </si>
  <si>
    <t>ITM_134</t>
  </si>
  <si>
    <t>Student Within</t>
  </si>
  <si>
    <t>ITM_135</t>
  </si>
  <si>
    <t>Sort Wide</t>
  </si>
  <si>
    <t>ITM_136</t>
  </si>
  <si>
    <t>Case Attention</t>
  </si>
  <si>
    <t>ITM_137</t>
  </si>
  <si>
    <t>Letter Television</t>
  </si>
  <si>
    <t>ITM_138</t>
  </si>
  <si>
    <t>Result Learn</t>
  </si>
  <si>
    <t>ITM_139</t>
  </si>
  <si>
    <t>Piece Garden</t>
  </si>
  <si>
    <t>ITM_140</t>
  </si>
  <si>
    <t>Top Inside</t>
  </si>
  <si>
    <t>ITM_141</t>
  </si>
  <si>
    <t>Heavy Who</t>
  </si>
  <si>
    <t>ITM_142</t>
  </si>
  <si>
    <t>Fact Car</t>
  </si>
  <si>
    <t>ITM_143</t>
  </si>
  <si>
    <t>Half Full</t>
  </si>
  <si>
    <t>ITM_144</t>
  </si>
  <si>
    <t>Research Born</t>
  </si>
  <si>
    <t>ITM_145</t>
  </si>
  <si>
    <t>But Affect</t>
  </si>
  <si>
    <t>ITM_146</t>
  </si>
  <si>
    <t>Nothing Instead</t>
  </si>
  <si>
    <t>ITM_147</t>
  </si>
  <si>
    <t>Hair Good</t>
  </si>
  <si>
    <t>ITM_148</t>
  </si>
  <si>
    <t>Ask Four</t>
  </si>
  <si>
    <t>ITM_149</t>
  </si>
  <si>
    <t>Heart Kind</t>
  </si>
  <si>
    <t>ITM_150</t>
  </si>
  <si>
    <t>All Beat</t>
  </si>
  <si>
    <t>ITM_151</t>
  </si>
  <si>
    <t>Yes Human</t>
  </si>
  <si>
    <t>ITM_152</t>
  </si>
  <si>
    <t>Stay Successful</t>
  </si>
  <si>
    <t>ITM_153</t>
  </si>
  <si>
    <t>Their In</t>
  </si>
  <si>
    <t>ITM_154</t>
  </si>
  <si>
    <t>Recent City</t>
  </si>
  <si>
    <t>ITM_155</t>
  </si>
  <si>
    <t>Win Cell</t>
  </si>
  <si>
    <t>ITM_156</t>
  </si>
  <si>
    <t>Rest Control</t>
  </si>
  <si>
    <t>ITM_157</t>
  </si>
  <si>
    <t>Attorney These</t>
  </si>
  <si>
    <t>ITM_158</t>
  </si>
  <si>
    <t>One Blue</t>
  </si>
  <si>
    <t>ITM_159</t>
  </si>
  <si>
    <t>Land Least</t>
  </si>
  <si>
    <t>ITM_160</t>
  </si>
  <si>
    <t>She I</t>
  </si>
  <si>
    <t>ITM_161</t>
  </si>
  <si>
    <t>Will Watch</t>
  </si>
  <si>
    <t>ITM_162</t>
  </si>
  <si>
    <t>Us Box</t>
  </si>
  <si>
    <t>ITM_163</t>
  </si>
  <si>
    <t>Measure Work</t>
  </si>
  <si>
    <t>ITM_164</t>
  </si>
  <si>
    <t>Start Couple</t>
  </si>
  <si>
    <t>ITM_165</t>
  </si>
  <si>
    <t>Successful Heavy</t>
  </si>
  <si>
    <t>ITM_166</t>
  </si>
  <si>
    <t>Trouble Today</t>
  </si>
  <si>
    <t>ITM_167</t>
  </si>
  <si>
    <t>History Within</t>
  </si>
  <si>
    <t>ITM_168</t>
  </si>
  <si>
    <t>Customer Method</t>
  </si>
  <si>
    <t>ITM_169</t>
  </si>
  <si>
    <t>Material Vote</t>
  </si>
  <si>
    <t>ITM_170</t>
  </si>
  <si>
    <t>Action Key</t>
  </si>
  <si>
    <t>ITM_171</t>
  </si>
  <si>
    <t>Fear Service</t>
  </si>
  <si>
    <t>ITM_172</t>
  </si>
  <si>
    <t>Social Often</t>
  </si>
  <si>
    <t>ITM_173</t>
  </si>
  <si>
    <t>Between Natural</t>
  </si>
  <si>
    <t>ITM_174</t>
  </si>
  <si>
    <t>Character Street</t>
  </si>
  <si>
    <t>ITM_175</t>
  </si>
  <si>
    <t>Head Fill</t>
  </si>
  <si>
    <t>ITM_176</t>
  </si>
  <si>
    <t>Once Among</t>
  </si>
  <si>
    <t>ITM_177</t>
  </si>
  <si>
    <t>Carry Arrive</t>
  </si>
  <si>
    <t>ITM_178</t>
  </si>
  <si>
    <t>Investment Agreement</t>
  </si>
  <si>
    <t>ITM_179</t>
  </si>
  <si>
    <t>Land Foreign</t>
  </si>
  <si>
    <t>ITM_180</t>
  </si>
  <si>
    <t>Money Never</t>
  </si>
  <si>
    <t>ITM_181</t>
  </si>
  <si>
    <t>Tv Top</t>
  </si>
  <si>
    <t>ITM_182</t>
  </si>
  <si>
    <t>Others Get</t>
  </si>
  <si>
    <t>ITM_183</t>
  </si>
  <si>
    <t>Cover Brother</t>
  </si>
  <si>
    <t>ITM_184</t>
  </si>
  <si>
    <t>Me Sing</t>
  </si>
  <si>
    <t>ITM_185</t>
  </si>
  <si>
    <t>Land Positive</t>
  </si>
  <si>
    <t>ITM_186</t>
  </si>
  <si>
    <t>Indeed Floor</t>
  </si>
  <si>
    <t>ITM_187</t>
  </si>
  <si>
    <t>Lay Cut</t>
  </si>
  <si>
    <t>ITM_188</t>
  </si>
  <si>
    <t>Notice Remain</t>
  </si>
  <si>
    <t>ITM_189</t>
  </si>
  <si>
    <t>Avoid Part</t>
  </si>
  <si>
    <t>ITM_190</t>
  </si>
  <si>
    <t>Your While</t>
  </si>
  <si>
    <t>ITM_191</t>
  </si>
  <si>
    <t>Soon Sell</t>
  </si>
  <si>
    <t>ITM_192</t>
  </si>
  <si>
    <t>Hand Daughter</t>
  </si>
  <si>
    <t>ITM_193</t>
  </si>
  <si>
    <t>Appear Author</t>
  </si>
  <si>
    <t>ITM_194</t>
  </si>
  <si>
    <t>First Establish</t>
  </si>
  <si>
    <t>ITM_195</t>
  </si>
  <si>
    <t>Chance Benefit</t>
  </si>
  <si>
    <t>ITM_196</t>
  </si>
  <si>
    <t>Institution Others</t>
  </si>
  <si>
    <t>ITM_197</t>
  </si>
  <si>
    <t>Stay Case</t>
  </si>
  <si>
    <t>ITM_198</t>
  </si>
  <si>
    <t>Buy Media</t>
  </si>
  <si>
    <t>ITM_199</t>
  </si>
  <si>
    <t>Trip Sense</t>
  </si>
  <si>
    <t>ITM_200</t>
  </si>
  <si>
    <t>House Away</t>
  </si>
  <si>
    <t>ITM_201</t>
  </si>
  <si>
    <t>While Energy</t>
  </si>
  <si>
    <t>ITM_202</t>
  </si>
  <si>
    <t>Meet Fly</t>
  </si>
  <si>
    <t>ITM_203</t>
  </si>
  <si>
    <t>Stage Including</t>
  </si>
  <si>
    <t>ITM_204</t>
  </si>
  <si>
    <t>Democratic Painting</t>
  </si>
  <si>
    <t>ITM_205</t>
  </si>
  <si>
    <t>Event Major</t>
  </si>
  <si>
    <t>ITM_206</t>
  </si>
  <si>
    <t>Baby Certain</t>
  </si>
  <si>
    <t>ITM_207</t>
  </si>
  <si>
    <t>Identify Especially</t>
  </si>
  <si>
    <t>ITM_208</t>
  </si>
  <si>
    <t>Area Represent</t>
  </si>
  <si>
    <t>ITM_209</t>
  </si>
  <si>
    <t>Wrong Strong</t>
  </si>
  <si>
    <t>ITM_210</t>
  </si>
  <si>
    <t>Position Describe</t>
  </si>
  <si>
    <t>ITM_211</t>
  </si>
  <si>
    <t>Fund Raise</t>
  </si>
  <si>
    <t>ITM_212</t>
  </si>
  <si>
    <t>Range Certainly</t>
  </si>
  <si>
    <t>ITM_213</t>
  </si>
  <si>
    <t>Draw Clear</t>
  </si>
  <si>
    <t>ITM_214</t>
  </si>
  <si>
    <t>Forward Matter</t>
  </si>
  <si>
    <t>ITM_215</t>
  </si>
  <si>
    <t>Wind Sing</t>
  </si>
  <si>
    <t>ITM_216</t>
  </si>
  <si>
    <t>Red Before</t>
  </si>
  <si>
    <t>ITM_217</t>
  </si>
  <si>
    <t>Certain Say</t>
  </si>
  <si>
    <t>ITM_218</t>
  </si>
  <si>
    <t>Themselves Like</t>
  </si>
  <si>
    <t>ITM_219</t>
  </si>
  <si>
    <t>Lay Building</t>
  </si>
  <si>
    <t>ITM_220</t>
  </si>
  <si>
    <t>Specific Style</t>
  </si>
  <si>
    <t>ITM_221</t>
  </si>
  <si>
    <t>Past Somebody</t>
  </si>
  <si>
    <t>ITM_222</t>
  </si>
  <si>
    <t>Prepare Full</t>
  </si>
  <si>
    <t>ITM_223</t>
  </si>
  <si>
    <t>Baby Only</t>
  </si>
  <si>
    <t>ITM_224</t>
  </si>
  <si>
    <t>Home Way</t>
  </si>
  <si>
    <t>ITM_225</t>
  </si>
  <si>
    <t>Commercial Author</t>
  </si>
  <si>
    <t>ITM_226</t>
  </si>
  <si>
    <t>These Recently</t>
  </si>
  <si>
    <t>ITM_227</t>
  </si>
  <si>
    <t>Involve Car</t>
  </si>
  <si>
    <t>ITM_228</t>
  </si>
  <si>
    <t>Him Mr</t>
  </si>
  <si>
    <t>ITM_229</t>
  </si>
  <si>
    <t>Product Clear</t>
  </si>
  <si>
    <t>ITM_230</t>
  </si>
  <si>
    <t>Region Go</t>
  </si>
  <si>
    <t>ITM_231</t>
  </si>
  <si>
    <t>Special Boy</t>
  </si>
  <si>
    <t>ITM_232</t>
  </si>
  <si>
    <t>Executive Ground</t>
  </si>
  <si>
    <t>ITM_233</t>
  </si>
  <si>
    <t>General Art</t>
  </si>
  <si>
    <t>ITM_234</t>
  </si>
  <si>
    <t>Better Plant</t>
  </si>
  <si>
    <t>ITM_235</t>
  </si>
  <si>
    <t>Type Box</t>
  </si>
  <si>
    <t>ITM_236</t>
  </si>
  <si>
    <t>Test Whole</t>
  </si>
  <si>
    <t>ITM_237</t>
  </si>
  <si>
    <t>Start Concern</t>
  </si>
  <si>
    <t>ITM_238</t>
  </si>
  <si>
    <t>Effect Certainly</t>
  </si>
  <si>
    <t>ITM_239</t>
  </si>
  <si>
    <t>Every Successful</t>
  </si>
  <si>
    <t>ITM_240</t>
  </si>
  <si>
    <t>Morning Budget</t>
  </si>
  <si>
    <t>ITM_241</t>
  </si>
  <si>
    <t>If Picture</t>
  </si>
  <si>
    <t>ITM_242</t>
  </si>
  <si>
    <t>Image None</t>
  </si>
  <si>
    <t>ITM_243</t>
  </si>
  <si>
    <t>Character Food</t>
  </si>
  <si>
    <t>ITM_244</t>
  </si>
  <si>
    <t>Recent Expert</t>
  </si>
  <si>
    <t>ITM_245</t>
  </si>
  <si>
    <t>Field Blue</t>
  </si>
  <si>
    <t>ITM_246</t>
  </si>
  <si>
    <t>Attack Of</t>
  </si>
  <si>
    <t>ITM_247</t>
  </si>
  <si>
    <t>Control Analysis</t>
  </si>
  <si>
    <t>ITM_248</t>
  </si>
  <si>
    <t>Radio Could</t>
  </si>
  <si>
    <t>ITM_249</t>
  </si>
  <si>
    <t>Will How</t>
  </si>
  <si>
    <t>ITM_250</t>
  </si>
  <si>
    <t>Choose Letter</t>
  </si>
  <si>
    <t>ITM_251</t>
  </si>
  <si>
    <t>Both Prevent</t>
  </si>
  <si>
    <t>ITM_252</t>
  </si>
  <si>
    <t>Dog Population</t>
  </si>
  <si>
    <t>ITM_253</t>
  </si>
  <si>
    <t>Produce Win</t>
  </si>
  <si>
    <t>ITM_254</t>
  </si>
  <si>
    <t>Network Myself</t>
  </si>
  <si>
    <t>ITM_255</t>
  </si>
  <si>
    <t>Example Far</t>
  </si>
  <si>
    <t>ITM_256</t>
  </si>
  <si>
    <t>Check Section</t>
  </si>
  <si>
    <t>ITM_257</t>
  </si>
  <si>
    <t>Movement Civil</t>
  </si>
  <si>
    <t>ITM_258</t>
  </si>
  <si>
    <t>Present Audience</t>
  </si>
  <si>
    <t>ITM_259</t>
  </si>
  <si>
    <t>Case Knowledge</t>
  </si>
  <si>
    <t>ITM_260</t>
  </si>
  <si>
    <t>Around Their</t>
  </si>
  <si>
    <t>ITM_261</t>
  </si>
  <si>
    <t>Top His</t>
  </si>
  <si>
    <t>ITM_262</t>
  </si>
  <si>
    <t>Chair Such</t>
  </si>
  <si>
    <t>ITM_263</t>
  </si>
  <si>
    <t>Natural Beyond</t>
  </si>
  <si>
    <t>ITM_264</t>
  </si>
  <si>
    <t>Pass North</t>
  </si>
  <si>
    <t>ITM_265</t>
  </si>
  <si>
    <t>Look Drop</t>
  </si>
  <si>
    <t>ITM_266</t>
  </si>
  <si>
    <t>Mind Unit</t>
  </si>
  <si>
    <t>ITM_267</t>
  </si>
  <si>
    <t>Character Life</t>
  </si>
  <si>
    <t>ITM_268</t>
  </si>
  <si>
    <t>The Case</t>
  </si>
  <si>
    <t>ITM_269</t>
  </si>
  <si>
    <t>Work Value</t>
  </si>
  <si>
    <t>ITM_270</t>
  </si>
  <si>
    <t>Approach Involve</t>
  </si>
  <si>
    <t>ITM_271</t>
  </si>
  <si>
    <t>Tend Hand</t>
  </si>
  <si>
    <t>ITM_272</t>
  </si>
  <si>
    <t>Language Up</t>
  </si>
  <si>
    <t>ITM_273</t>
  </si>
  <si>
    <t>Kind Thousand</t>
  </si>
  <si>
    <t>ITM_274</t>
  </si>
  <si>
    <t>Whose Debate</t>
  </si>
  <si>
    <t>ITM_275</t>
  </si>
  <si>
    <t>Bank Parent</t>
  </si>
  <si>
    <t>ITM_276</t>
  </si>
  <si>
    <t>Station Perhaps</t>
  </si>
  <si>
    <t>ITM_277</t>
  </si>
  <si>
    <t>Such Fight</t>
  </si>
  <si>
    <t>ITM_278</t>
  </si>
  <si>
    <t>Dog Begin</t>
  </si>
  <si>
    <t>ITM_279</t>
  </si>
  <si>
    <t>Stay However</t>
  </si>
  <si>
    <t>ITM_280</t>
  </si>
  <si>
    <t>According Off</t>
  </si>
  <si>
    <t>ITM_281</t>
  </si>
  <si>
    <t>Hard Money</t>
  </si>
  <si>
    <t>ITM_282</t>
  </si>
  <si>
    <t>Final On</t>
  </si>
  <si>
    <t>ITM_283</t>
  </si>
  <si>
    <t>List Data</t>
  </si>
  <si>
    <t>ITM_284</t>
  </si>
  <si>
    <t>Lot By</t>
  </si>
  <si>
    <t>ITM_285</t>
  </si>
  <si>
    <t>Account Spring</t>
  </si>
  <si>
    <t>ITM_286</t>
  </si>
  <si>
    <t>Owner Economy</t>
  </si>
  <si>
    <t>ITM_287</t>
  </si>
  <si>
    <t>Certain Heart</t>
  </si>
  <si>
    <t>ITM_288</t>
  </si>
  <si>
    <t>Learn Keep</t>
  </si>
  <si>
    <t>ITM_289</t>
  </si>
  <si>
    <t>Similar Become</t>
  </si>
  <si>
    <t>ITM_290</t>
  </si>
  <si>
    <t>Method Form</t>
  </si>
  <si>
    <t>ITM_291</t>
  </si>
  <si>
    <t>Offer Individual</t>
  </si>
  <si>
    <t>ITM_292</t>
  </si>
  <si>
    <t>Politics Late</t>
  </si>
  <si>
    <t>ITM_293</t>
  </si>
  <si>
    <t>White Music</t>
  </si>
  <si>
    <t>ITM_294</t>
  </si>
  <si>
    <t>But Run</t>
  </si>
  <si>
    <t>ITM_295</t>
  </si>
  <si>
    <t>What Nearly</t>
  </si>
  <si>
    <t>ITM_296</t>
  </si>
  <si>
    <t>Everything Drug</t>
  </si>
  <si>
    <t>ITM_297</t>
  </si>
  <si>
    <t>Drive Analysis</t>
  </si>
  <si>
    <t>ITM_298</t>
  </si>
  <si>
    <t>Free Hard</t>
  </si>
  <si>
    <t>ITM_299</t>
  </si>
  <si>
    <t>Hit Affect</t>
  </si>
  <si>
    <t>ITM_300</t>
  </si>
  <si>
    <t>Expect Into</t>
  </si>
  <si>
    <t>ITM_301</t>
  </si>
  <si>
    <t>Move Single</t>
  </si>
  <si>
    <t>ITM_302</t>
  </si>
  <si>
    <t>Southern Away</t>
  </si>
  <si>
    <t>ITM_303</t>
  </si>
  <si>
    <t>Phone Participant</t>
  </si>
  <si>
    <t>ITM_304</t>
  </si>
  <si>
    <t>Traditional Camera</t>
  </si>
  <si>
    <t>ITM_305</t>
  </si>
  <si>
    <t>Listen City</t>
  </si>
  <si>
    <t>ITM_306</t>
  </si>
  <si>
    <t>Several Treat</t>
  </si>
  <si>
    <t>ITM_307</t>
  </si>
  <si>
    <t>Response Despite</t>
  </si>
  <si>
    <t>ITM_308</t>
  </si>
  <si>
    <t>School Leg</t>
  </si>
  <si>
    <t>ITM_309</t>
  </si>
  <si>
    <t>Poor Her</t>
  </si>
  <si>
    <t>ITM_310</t>
  </si>
  <si>
    <t>Apply Question</t>
  </si>
  <si>
    <t>ITM_311</t>
  </si>
  <si>
    <t>Out Serve</t>
  </si>
  <si>
    <t>ITM_312</t>
  </si>
  <si>
    <t>Wrong Week</t>
  </si>
  <si>
    <t>ITM_313</t>
  </si>
  <si>
    <t>System Pick</t>
  </si>
  <si>
    <t>ITM_314</t>
  </si>
  <si>
    <t>Unit It</t>
  </si>
  <si>
    <t>ITM_315</t>
  </si>
  <si>
    <t>The Commercial</t>
  </si>
  <si>
    <t>ITM_316</t>
  </si>
  <si>
    <t>Laugh Likely</t>
  </si>
  <si>
    <t>ITM_317</t>
  </si>
  <si>
    <t>Address Woman</t>
  </si>
  <si>
    <t>ITM_318</t>
  </si>
  <si>
    <t>Road Poor</t>
  </si>
  <si>
    <t>ITM_319</t>
  </si>
  <si>
    <t>Method Responsibility</t>
  </si>
  <si>
    <t>ITM_320</t>
  </si>
  <si>
    <t>Husband Knowledge</t>
  </si>
  <si>
    <t>ITM_321</t>
  </si>
  <si>
    <t>Movement Left</t>
  </si>
  <si>
    <t>ITM_322</t>
  </si>
  <si>
    <t>Father Understand</t>
  </si>
  <si>
    <t>ITM_323</t>
  </si>
  <si>
    <t>Give Cut</t>
  </si>
  <si>
    <t>ITM_324</t>
  </si>
  <si>
    <t>Congress Artist</t>
  </si>
  <si>
    <t>ITM_325</t>
  </si>
  <si>
    <t>Plan Field</t>
  </si>
  <si>
    <t>ITM_326</t>
  </si>
  <si>
    <t>Eat Stay</t>
  </si>
  <si>
    <t>ITM_327</t>
  </si>
  <si>
    <t>Run Nature</t>
  </si>
  <si>
    <t>ITM_328</t>
  </si>
  <si>
    <t>Claim Moment</t>
  </si>
  <si>
    <t>ITM_329</t>
  </si>
  <si>
    <t>Be Help</t>
  </si>
  <si>
    <t>ITM_330</t>
  </si>
  <si>
    <t>Wind Perhaps</t>
  </si>
  <si>
    <t>ITM_331</t>
  </si>
  <si>
    <t>Why Owner</t>
  </si>
  <si>
    <t>ITM_332</t>
  </si>
  <si>
    <t>Generation Outside</t>
  </si>
  <si>
    <t>ITM_333</t>
  </si>
  <si>
    <t>Others He</t>
  </si>
  <si>
    <t>ITM_334</t>
  </si>
  <si>
    <t>Head Clear</t>
  </si>
  <si>
    <t>ITM_335</t>
  </si>
  <si>
    <t>Describe That</t>
  </si>
  <si>
    <t>ITM_336</t>
  </si>
  <si>
    <t>Month Theory</t>
  </si>
  <si>
    <t>ITM_337</t>
  </si>
  <si>
    <t>Work Explain</t>
  </si>
  <si>
    <t>ITM_338</t>
  </si>
  <si>
    <t>Low Either</t>
  </si>
  <si>
    <t>ITM_339</t>
  </si>
  <si>
    <t>Message Exactly</t>
  </si>
  <si>
    <t>ITM_340</t>
  </si>
  <si>
    <t>Customer Yet</t>
  </si>
  <si>
    <t>ITM_341</t>
  </si>
  <si>
    <t>Memory Live</t>
  </si>
  <si>
    <t>ITM_342</t>
  </si>
  <si>
    <t>Type Save</t>
  </si>
  <si>
    <t>ITM_343</t>
  </si>
  <si>
    <t>Discussion Class</t>
  </si>
  <si>
    <t>ITM_344</t>
  </si>
  <si>
    <t>Trouble Sure</t>
  </si>
  <si>
    <t>ITM_345</t>
  </si>
  <si>
    <t>Most Role</t>
  </si>
  <si>
    <t>ITM_346</t>
  </si>
  <si>
    <t>Raise Use</t>
  </si>
  <si>
    <t>ITM_347</t>
  </si>
  <si>
    <t>Present Training</t>
  </si>
  <si>
    <t>ITM_348</t>
  </si>
  <si>
    <t>Without Sort</t>
  </si>
  <si>
    <t>ITM_349</t>
  </si>
  <si>
    <t>Tv Central</t>
  </si>
  <si>
    <t>ITM_350</t>
  </si>
  <si>
    <t>Pretty Level</t>
  </si>
  <si>
    <t>ITM_351</t>
  </si>
  <si>
    <t>Song Yard</t>
  </si>
  <si>
    <t>ITM_352</t>
  </si>
  <si>
    <t>Occur Help</t>
  </si>
  <si>
    <t>ITM_353</t>
  </si>
  <si>
    <t>With Behavior</t>
  </si>
  <si>
    <t>ITM_354</t>
  </si>
  <si>
    <t>War Can</t>
  </si>
  <si>
    <t>ITM_355</t>
  </si>
  <si>
    <t>Respond Without</t>
  </si>
  <si>
    <t>ITM_356</t>
  </si>
  <si>
    <t>Take House</t>
  </si>
  <si>
    <t>ITM_357</t>
  </si>
  <si>
    <t>Along Test</t>
  </si>
  <si>
    <t>ITM_358</t>
  </si>
  <si>
    <t>Win Expert</t>
  </si>
  <si>
    <t>ITM_359</t>
  </si>
  <si>
    <t>Size Could</t>
  </si>
  <si>
    <t>ITM_360</t>
  </si>
  <si>
    <t>Service Focus</t>
  </si>
  <si>
    <t>ITM_361</t>
  </si>
  <si>
    <t>Serve Ready</t>
  </si>
  <si>
    <t>ITM_362</t>
  </si>
  <si>
    <t>Bill Know</t>
  </si>
  <si>
    <t>ITM_363</t>
  </si>
  <si>
    <t>On Involve</t>
  </si>
  <si>
    <t>ITM_364</t>
  </si>
  <si>
    <t>Mrs Expect</t>
  </si>
  <si>
    <t>ITM_365</t>
  </si>
  <si>
    <t>Total Occur</t>
  </si>
  <si>
    <t>ITM_366</t>
  </si>
  <si>
    <t>Vote Lawyer</t>
  </si>
  <si>
    <t>ITM_367</t>
  </si>
  <si>
    <t>Anyone Maybe</t>
  </si>
  <si>
    <t>ITM_368</t>
  </si>
  <si>
    <t>Compare Husband</t>
  </si>
  <si>
    <t>ITM_369</t>
  </si>
  <si>
    <t>Head Agreement</t>
  </si>
  <si>
    <t>ITM_370</t>
  </si>
  <si>
    <t>Form Goal</t>
  </si>
  <si>
    <t>ITM_371</t>
  </si>
  <si>
    <t>Hit Phone</t>
  </si>
  <si>
    <t>ITM_372</t>
  </si>
  <si>
    <t>Decade Win</t>
  </si>
  <si>
    <t>ITM_373</t>
  </si>
  <si>
    <t>Hundred Movement</t>
  </si>
  <si>
    <t>ITM_374</t>
  </si>
  <si>
    <t>Nearly Start</t>
  </si>
  <si>
    <t>ITM_375</t>
  </si>
  <si>
    <t>Race Food</t>
  </si>
  <si>
    <t>ITM_376</t>
  </si>
  <si>
    <t>Increase Box</t>
  </si>
  <si>
    <t>ITM_377</t>
  </si>
  <si>
    <t>Against Certainly</t>
  </si>
  <si>
    <t>ITM_378</t>
  </si>
  <si>
    <t>There Wind</t>
  </si>
  <si>
    <t>ITM_379</t>
  </si>
  <si>
    <t>Bed Describe</t>
  </si>
  <si>
    <t>ITM_380</t>
  </si>
  <si>
    <t>Director Them</t>
  </si>
  <si>
    <t>ITM_381</t>
  </si>
  <si>
    <t>Sign Risk</t>
  </si>
  <si>
    <t>ITM_382</t>
  </si>
  <si>
    <t>Phone Pretty</t>
  </si>
  <si>
    <t>ITM_383</t>
  </si>
  <si>
    <t>Parent Current</t>
  </si>
  <si>
    <t>ITM_384</t>
  </si>
  <si>
    <t>Character Sing</t>
  </si>
  <si>
    <t>ITM_385</t>
  </si>
  <si>
    <t>Television Certainly</t>
  </si>
  <si>
    <t>ITM_386</t>
  </si>
  <si>
    <t>Pressure Tree</t>
  </si>
  <si>
    <t>ITM_387</t>
  </si>
  <si>
    <t>Check Consider</t>
  </si>
  <si>
    <t>ITM_388</t>
  </si>
  <si>
    <t>Your Different</t>
  </si>
  <si>
    <t>ITM_389</t>
  </si>
  <si>
    <t>Game Special</t>
  </si>
  <si>
    <t>ITM_390</t>
  </si>
  <si>
    <t>Peace On</t>
  </si>
  <si>
    <t>ITM_391</t>
  </si>
  <si>
    <t>Laugh Heavy</t>
  </si>
  <si>
    <t>ITM_392</t>
  </si>
  <si>
    <t>Happy Prevent</t>
  </si>
  <si>
    <t>ITM_393</t>
  </si>
  <si>
    <t>Get Story</t>
  </si>
  <si>
    <t>ITM_394</t>
  </si>
  <si>
    <t>Than Car</t>
  </si>
  <si>
    <t>ITM_395</t>
  </si>
  <si>
    <t>Animal Key</t>
  </si>
  <si>
    <t>ITM_396</t>
  </si>
  <si>
    <t>Thing Teach</t>
  </si>
  <si>
    <t>ITM_397</t>
  </si>
  <si>
    <t>Analysis Oil</t>
  </si>
  <si>
    <t>ITM_398</t>
  </si>
  <si>
    <t>Edge Understand</t>
  </si>
  <si>
    <t>ITM_399</t>
  </si>
  <si>
    <t>Court Product</t>
  </si>
  <si>
    <t>ITM_400</t>
  </si>
  <si>
    <t>We Challenge</t>
  </si>
  <si>
    <t>ITM_401</t>
  </si>
  <si>
    <t>Morning Indeed</t>
  </si>
  <si>
    <t>ITM_402</t>
  </si>
  <si>
    <t>Consider Water</t>
  </si>
  <si>
    <t>ITM_403</t>
  </si>
  <si>
    <t>Form Know</t>
  </si>
  <si>
    <t>ITM_404</t>
  </si>
  <si>
    <t>Suggest Seem</t>
  </si>
  <si>
    <t>ITM_405</t>
  </si>
  <si>
    <t>Particularly Improve</t>
  </si>
  <si>
    <t>ITM_406</t>
  </si>
  <si>
    <t>Bank Turn</t>
  </si>
  <si>
    <t>ITM_407</t>
  </si>
  <si>
    <t>Remain Stock</t>
  </si>
  <si>
    <t>ITM_408</t>
  </si>
  <si>
    <t>Health Middle</t>
  </si>
  <si>
    <t>ITM_409</t>
  </si>
  <si>
    <t>Indicate Organization</t>
  </si>
  <si>
    <t>ITM_410</t>
  </si>
  <si>
    <t>Environmental Across</t>
  </si>
  <si>
    <t>ITM_411</t>
  </si>
  <si>
    <t>Treat Address</t>
  </si>
  <si>
    <t>ITM_412</t>
  </si>
  <si>
    <t>Beautiful Site</t>
  </si>
  <si>
    <t>ITM_413</t>
  </si>
  <si>
    <t>Growth Someone</t>
  </si>
  <si>
    <t>ITM_414</t>
  </si>
  <si>
    <t>Base Protect</t>
  </si>
  <si>
    <t>ITM_415</t>
  </si>
  <si>
    <t>Citizen Between</t>
  </si>
  <si>
    <t>ITM_416</t>
  </si>
  <si>
    <t>Use Popular</t>
  </si>
  <si>
    <t>ITM_417</t>
  </si>
  <si>
    <t>Near Away</t>
  </si>
  <si>
    <t>ITM_418</t>
  </si>
  <si>
    <t>Finally Turn</t>
  </si>
  <si>
    <t>ITM_419</t>
  </si>
  <si>
    <t>Carry Music</t>
  </si>
  <si>
    <t>ITM_420</t>
  </si>
  <si>
    <t>Reach Early</t>
  </si>
  <si>
    <t>ITM_421</t>
  </si>
  <si>
    <t>Magazine Late</t>
  </si>
  <si>
    <t>ITM_422</t>
  </si>
  <si>
    <t>Great Again</t>
  </si>
  <si>
    <t>ITM_423</t>
  </si>
  <si>
    <t>Machine Sure</t>
  </si>
  <si>
    <t>ITM_424</t>
  </si>
  <si>
    <t>Hope Fact</t>
  </si>
  <si>
    <t>ITM_425</t>
  </si>
  <si>
    <t>Whole Understand</t>
  </si>
  <si>
    <t>ITM_426</t>
  </si>
  <si>
    <t>Ok One</t>
  </si>
  <si>
    <t>ITM_427</t>
  </si>
  <si>
    <t>Field Wife</t>
  </si>
  <si>
    <t>ITM_428</t>
  </si>
  <si>
    <t>Hot Return</t>
  </si>
  <si>
    <t>ITM_429</t>
  </si>
  <si>
    <t>Edge Former</t>
  </si>
  <si>
    <t>ITM_430</t>
  </si>
  <si>
    <t>Thousand Party</t>
  </si>
  <si>
    <t>ITM_431</t>
  </si>
  <si>
    <t>Later Rise</t>
  </si>
  <si>
    <t>ITM_432</t>
  </si>
  <si>
    <t>According Offer</t>
  </si>
  <si>
    <t>ITM_433</t>
  </si>
  <si>
    <t>Reduce Recognize</t>
  </si>
  <si>
    <t>ITM_434</t>
  </si>
  <si>
    <t>Art Discussion</t>
  </si>
  <si>
    <t>ITM_435</t>
  </si>
  <si>
    <t>Look Young</t>
  </si>
  <si>
    <t>ITM_436</t>
  </si>
  <si>
    <t>Sense Yeah</t>
  </si>
  <si>
    <t>ITM_437</t>
  </si>
  <si>
    <t>Company Maybe</t>
  </si>
  <si>
    <t>ITM_438</t>
  </si>
  <si>
    <t>Well While</t>
  </si>
  <si>
    <t>ITM_439</t>
  </si>
  <si>
    <t>Family Executive</t>
  </si>
  <si>
    <t>ITM_440</t>
  </si>
  <si>
    <t>Strong For</t>
  </si>
  <si>
    <t>ITM_441</t>
  </si>
  <si>
    <t>State Probably</t>
  </si>
  <si>
    <t>ITM_442</t>
  </si>
  <si>
    <t>Need On</t>
  </si>
  <si>
    <t>ITM_443</t>
  </si>
  <si>
    <t>Doctor His</t>
  </si>
  <si>
    <t>ITM_444</t>
  </si>
  <si>
    <t>Book Suffer</t>
  </si>
  <si>
    <t>ITM_445</t>
  </si>
  <si>
    <t>Number Congress</t>
  </si>
  <si>
    <t>ITM_446</t>
  </si>
  <si>
    <t>Modern Far</t>
  </si>
  <si>
    <t>ITM_447</t>
  </si>
  <si>
    <t>Term Fall</t>
  </si>
  <si>
    <t>ITM_448</t>
  </si>
  <si>
    <t>Perform Low</t>
  </si>
  <si>
    <t>ITM_449</t>
  </si>
  <si>
    <t>Relationship Ever</t>
  </si>
  <si>
    <t>ITM_450</t>
  </si>
  <si>
    <t>Management Name</t>
  </si>
  <si>
    <t>ITM_451</t>
  </si>
  <si>
    <t>Pattern Air</t>
  </si>
  <si>
    <t>ITM_452</t>
  </si>
  <si>
    <t>Old Despite</t>
  </si>
  <si>
    <t>ITM_453</t>
  </si>
  <si>
    <t>Machine Executive</t>
  </si>
  <si>
    <t>ITM_454</t>
  </si>
  <si>
    <t>Assume Whatever</t>
  </si>
  <si>
    <t>ITM_455</t>
  </si>
  <si>
    <t>My Rock</t>
  </si>
  <si>
    <t>ITM_456</t>
  </si>
  <si>
    <t>Discover Trade</t>
  </si>
  <si>
    <t>ITM_457</t>
  </si>
  <si>
    <t>Make Thus</t>
  </si>
  <si>
    <t>ITM_458</t>
  </si>
  <si>
    <t>Respond Or</t>
  </si>
  <si>
    <t>ITM_459</t>
  </si>
  <si>
    <t>Herself Develop</t>
  </si>
  <si>
    <t>ITM_460</t>
  </si>
  <si>
    <t>Certainly Build</t>
  </si>
  <si>
    <t>ITM_461</t>
  </si>
  <si>
    <t>Trial Politics</t>
  </si>
  <si>
    <t>ITM_462</t>
  </si>
  <si>
    <t>Agency Rest</t>
  </si>
  <si>
    <t>ITM_463</t>
  </si>
  <si>
    <t>Issue Force</t>
  </si>
  <si>
    <t>ITM_464</t>
  </si>
  <si>
    <t>None Break</t>
  </si>
  <si>
    <t>ITM_465</t>
  </si>
  <si>
    <t>Ever Own</t>
  </si>
  <si>
    <t>ITM_466</t>
  </si>
  <si>
    <t>Behind Of</t>
  </si>
  <si>
    <t>ITM_467</t>
  </si>
  <si>
    <t>Check Rather</t>
  </si>
  <si>
    <t>ITM_468</t>
  </si>
  <si>
    <t>Physical Threat</t>
  </si>
  <si>
    <t>ITM_469</t>
  </si>
  <si>
    <t>And System</t>
  </si>
  <si>
    <t>ITM_470</t>
  </si>
  <si>
    <t>Whom Available</t>
  </si>
  <si>
    <t>ITM_471</t>
  </si>
  <si>
    <t>Sometimes Building</t>
  </si>
  <si>
    <t>ITM_472</t>
  </si>
  <si>
    <t>After Phone</t>
  </si>
  <si>
    <t>ITM_473</t>
  </si>
  <si>
    <t>That Themselves</t>
  </si>
  <si>
    <t>ITM_474</t>
  </si>
  <si>
    <t>Design Run</t>
  </si>
  <si>
    <t>ITM_475</t>
  </si>
  <si>
    <t>Pattern Contain</t>
  </si>
  <si>
    <t>ITM_476</t>
  </si>
  <si>
    <t>Stage Street</t>
  </si>
  <si>
    <t>ITM_477</t>
  </si>
  <si>
    <t>Stock Lose</t>
  </si>
  <si>
    <t>ITM_478</t>
  </si>
  <si>
    <t>Peace Central</t>
  </si>
  <si>
    <t>ITM_479</t>
  </si>
  <si>
    <t>General Form</t>
  </si>
  <si>
    <t>ITM_480</t>
  </si>
  <si>
    <t>Become Expect</t>
  </si>
  <si>
    <t>ITM_481</t>
  </si>
  <si>
    <t>Trip Mind</t>
  </si>
  <si>
    <t>ITM_482</t>
  </si>
  <si>
    <t>Society Add</t>
  </si>
  <si>
    <t>ITM_483</t>
  </si>
  <si>
    <t>Along Have</t>
  </si>
  <si>
    <t>ITM_484</t>
  </si>
  <si>
    <t>Reach Operation</t>
  </si>
  <si>
    <t>ITM_485</t>
  </si>
  <si>
    <t>Be Loss</t>
  </si>
  <si>
    <t>ITM_486</t>
  </si>
  <si>
    <t>Attention Final</t>
  </si>
  <si>
    <t>ITM_487</t>
  </si>
  <si>
    <t>Woman Above</t>
  </si>
  <si>
    <t>ITM_488</t>
  </si>
  <si>
    <t>Player General</t>
  </si>
  <si>
    <t>ITM_489</t>
  </si>
  <si>
    <t>Lose American</t>
  </si>
  <si>
    <t>ITM_490</t>
  </si>
  <si>
    <t>Money Popular</t>
  </si>
  <si>
    <t>ITM_491</t>
  </si>
  <si>
    <t>Great That</t>
  </si>
  <si>
    <t>ITM_492</t>
  </si>
  <si>
    <t>Recognize Dinner</t>
  </si>
  <si>
    <t>ITM_493</t>
  </si>
  <si>
    <t>Police Actually</t>
  </si>
  <si>
    <t>ITM_494</t>
  </si>
  <si>
    <t>Yes Enter</t>
  </si>
  <si>
    <t>ITM_495</t>
  </si>
  <si>
    <t>Animal Sell</t>
  </si>
  <si>
    <t>ITM_496</t>
  </si>
  <si>
    <t>School Environment</t>
  </si>
  <si>
    <t>ITM_497</t>
  </si>
  <si>
    <t>History Write</t>
  </si>
  <si>
    <t>ITM_498</t>
  </si>
  <si>
    <t>Away Ago</t>
  </si>
  <si>
    <t>ITM_499</t>
  </si>
  <si>
    <t>Management Choice</t>
  </si>
  <si>
    <t>ITM_500</t>
  </si>
  <si>
    <t>Stand Often</t>
  </si>
  <si>
    <t>ITM_501</t>
  </si>
  <si>
    <t>Box Represent</t>
  </si>
  <si>
    <t>ITM_502</t>
  </si>
  <si>
    <t>Many Which</t>
  </si>
  <si>
    <t>ITM_503</t>
  </si>
  <si>
    <t>Look Resource</t>
  </si>
  <si>
    <t>ITM_504</t>
  </si>
  <si>
    <t>No Half</t>
  </si>
  <si>
    <t>ITM_505</t>
  </si>
  <si>
    <t>Resource Ground</t>
  </si>
  <si>
    <t>ITM_506</t>
  </si>
  <si>
    <t>Range Law</t>
  </si>
  <si>
    <t>ITM_507</t>
  </si>
  <si>
    <t>Mission Food</t>
  </si>
  <si>
    <t>ITM_508</t>
  </si>
  <si>
    <t>Carry Year</t>
  </si>
  <si>
    <t>ITM_509</t>
  </si>
  <si>
    <t>Hope Customer</t>
  </si>
  <si>
    <t>ITM_510</t>
  </si>
  <si>
    <t>Situation Son</t>
  </si>
  <si>
    <t>ITM_511</t>
  </si>
  <si>
    <t>Wall Trial</t>
  </si>
  <si>
    <t>ITM_512</t>
  </si>
  <si>
    <t>Radio Race</t>
  </si>
  <si>
    <t>ITM_513</t>
  </si>
  <si>
    <t>The Television</t>
  </si>
  <si>
    <t>ITM_514</t>
  </si>
  <si>
    <t>Official Impact</t>
  </si>
  <si>
    <t>ITM_515</t>
  </si>
  <si>
    <t>Study Scientist</t>
  </si>
  <si>
    <t>ITM_516</t>
  </si>
  <si>
    <t>Bag Southern</t>
  </si>
  <si>
    <t>ITM_517</t>
  </si>
  <si>
    <t>Health Hundred</t>
  </si>
  <si>
    <t>ITM_518</t>
  </si>
  <si>
    <t>Decide Clear</t>
  </si>
  <si>
    <t>ITM_519</t>
  </si>
  <si>
    <t>Reflect Or</t>
  </si>
  <si>
    <t>ITM_520</t>
  </si>
  <si>
    <t>Bank Happen</t>
  </si>
  <si>
    <t>ITM_521</t>
  </si>
  <si>
    <t>Nature Nice</t>
  </si>
  <si>
    <t>ITM_522</t>
  </si>
  <si>
    <t>Pattern Book</t>
  </si>
  <si>
    <t>ITM_523</t>
  </si>
  <si>
    <t>Nothing May</t>
  </si>
  <si>
    <t>ITM_524</t>
  </si>
  <si>
    <t>Want Dog</t>
  </si>
  <si>
    <t>ITM_525</t>
  </si>
  <si>
    <t>Likely Guess</t>
  </si>
  <si>
    <t>ITM_526</t>
  </si>
  <si>
    <t>Begin Here</t>
  </si>
  <si>
    <t>ITM_527</t>
  </si>
  <si>
    <t>Program Fear</t>
  </si>
  <si>
    <t>ITM_528</t>
  </si>
  <si>
    <t>What Friend</t>
  </si>
  <si>
    <t>ITM_529</t>
  </si>
  <si>
    <t>Good Seven</t>
  </si>
  <si>
    <t>ITM_530</t>
  </si>
  <si>
    <t>Often Big</t>
  </si>
  <si>
    <t>ITM_531</t>
  </si>
  <si>
    <t>Cold Seem</t>
  </si>
  <si>
    <t>ITM_532</t>
  </si>
  <si>
    <t>Then Hand</t>
  </si>
  <si>
    <t>ITM_533</t>
  </si>
  <si>
    <t>Ten Generation</t>
  </si>
  <si>
    <t>ITM_534</t>
  </si>
  <si>
    <t>Against Seek</t>
  </si>
  <si>
    <t>ITM_535</t>
  </si>
  <si>
    <t>Sure Until</t>
  </si>
  <si>
    <t>ITM_536</t>
  </si>
  <si>
    <t>Pm Traditional</t>
  </si>
  <si>
    <t>ITM_537</t>
  </si>
  <si>
    <t>Memory Give</t>
  </si>
  <si>
    <t>ITM_538</t>
  </si>
  <si>
    <t>Project Several</t>
  </si>
  <si>
    <t>ITM_539</t>
  </si>
  <si>
    <t>Various General</t>
  </si>
  <si>
    <t>ITM_540</t>
  </si>
  <si>
    <t>Around Money</t>
  </si>
  <si>
    <t>ITM_541</t>
  </si>
  <si>
    <t>Thousand Over</t>
  </si>
  <si>
    <t>ITM_542</t>
  </si>
  <si>
    <t>Understand National</t>
  </si>
  <si>
    <t>ITM_543</t>
  </si>
  <si>
    <t>Present Maybe</t>
  </si>
  <si>
    <t>ITM_544</t>
  </si>
  <si>
    <t>Reach Form</t>
  </si>
  <si>
    <t>ITM_545</t>
  </si>
  <si>
    <t>Rich Program</t>
  </si>
  <si>
    <t>ITM_546</t>
  </si>
  <si>
    <t>Enough Them</t>
  </si>
  <si>
    <t>ITM_547</t>
  </si>
  <si>
    <t>Crime Drop</t>
  </si>
  <si>
    <t>ITM_548</t>
  </si>
  <si>
    <t>Dark Clearly</t>
  </si>
  <si>
    <t>ITM_549</t>
  </si>
  <si>
    <t>Treat Probably</t>
  </si>
  <si>
    <t>ITM_550</t>
  </si>
  <si>
    <t>Consider North</t>
  </si>
  <si>
    <t>ITM_551</t>
  </si>
  <si>
    <t>Police Clearly</t>
  </si>
  <si>
    <t>ITM_552</t>
  </si>
  <si>
    <t>National Since</t>
  </si>
  <si>
    <t>ITM_553</t>
  </si>
  <si>
    <t>Hot Staff</t>
  </si>
  <si>
    <t>ITM_554</t>
  </si>
  <si>
    <t>How Reduce</t>
  </si>
  <si>
    <t>ITM_555</t>
  </si>
  <si>
    <t>Almost Approach</t>
  </si>
  <si>
    <t>ITM_556</t>
  </si>
  <si>
    <t>Similar His</t>
  </si>
  <si>
    <t>ITM_557</t>
  </si>
  <si>
    <t>Southern Onto</t>
  </si>
  <si>
    <t>ITM_558</t>
  </si>
  <si>
    <t>Here Plant</t>
  </si>
  <si>
    <t>ITM_559</t>
  </si>
  <si>
    <t>Author Sit</t>
  </si>
  <si>
    <t>ITM_560</t>
  </si>
  <si>
    <t>Able Develop</t>
  </si>
  <si>
    <t>ITM_561</t>
  </si>
  <si>
    <t>Plan Number</t>
  </si>
  <si>
    <t>ITM_562</t>
  </si>
  <si>
    <t>Central Front</t>
  </si>
  <si>
    <t>ITM_563</t>
  </si>
  <si>
    <t>Forget Would</t>
  </si>
  <si>
    <t>ITM_564</t>
  </si>
  <si>
    <t>Apply Always</t>
  </si>
  <si>
    <t>ITM_565</t>
  </si>
  <si>
    <t>Popular World</t>
  </si>
  <si>
    <t>ITM_566</t>
  </si>
  <si>
    <t>Reach Big</t>
  </si>
  <si>
    <t>ITM_567</t>
  </si>
  <si>
    <t>Physical Some</t>
  </si>
  <si>
    <t>ITM_568</t>
  </si>
  <si>
    <t>Cost Very</t>
  </si>
  <si>
    <t>ITM_569</t>
  </si>
  <si>
    <t>Worry Because</t>
  </si>
  <si>
    <t>ITM_570</t>
  </si>
  <si>
    <t>Likely Recognize</t>
  </si>
  <si>
    <t>ITM_571</t>
  </si>
  <si>
    <t>Out Lay</t>
  </si>
  <si>
    <t>ITM_572</t>
  </si>
  <si>
    <t>Month Wide</t>
  </si>
  <si>
    <t>ITM_573</t>
  </si>
  <si>
    <t>Toward Activity</t>
  </si>
  <si>
    <t>ITM_574</t>
  </si>
  <si>
    <t>Program Decide</t>
  </si>
  <si>
    <t>ITM_575</t>
  </si>
  <si>
    <t>Book Reach</t>
  </si>
  <si>
    <t>ITM_576</t>
  </si>
  <si>
    <t>Represent Whose</t>
  </si>
  <si>
    <t>ITM_577</t>
  </si>
  <si>
    <t>Bed Ago</t>
  </si>
  <si>
    <t>ITM_578</t>
  </si>
  <si>
    <t>Glass Career</t>
  </si>
  <si>
    <t>ITM_579</t>
  </si>
  <si>
    <t>Dream Character</t>
  </si>
  <si>
    <t>ITM_580</t>
  </si>
  <si>
    <t>Per Appear</t>
  </si>
  <si>
    <t>ITM_581</t>
  </si>
  <si>
    <t>Manage Into</t>
  </si>
  <si>
    <t>ITM_582</t>
  </si>
  <si>
    <t>When Water</t>
  </si>
  <si>
    <t>ITM_583</t>
  </si>
  <si>
    <t>Most Exactly</t>
  </si>
  <si>
    <t>ITM_584</t>
  </si>
  <si>
    <t>Finish Watch</t>
  </si>
  <si>
    <t>ITM_585</t>
  </si>
  <si>
    <t>Either Clearly</t>
  </si>
  <si>
    <t>ITM_586</t>
  </si>
  <si>
    <t>Hope Dark</t>
  </si>
  <si>
    <t>ITM_587</t>
  </si>
  <si>
    <t>And Field</t>
  </si>
  <si>
    <t>ITM_588</t>
  </si>
  <si>
    <t>Station Recent</t>
  </si>
  <si>
    <t>ITM_589</t>
  </si>
  <si>
    <t>Term Around</t>
  </si>
  <si>
    <t>ITM_590</t>
  </si>
  <si>
    <t>Read Role</t>
  </si>
  <si>
    <t>ITM_591</t>
  </si>
  <si>
    <t>Music Game</t>
  </si>
  <si>
    <t>ITM_592</t>
  </si>
  <si>
    <t>Fire Treat</t>
  </si>
  <si>
    <t>ITM_593</t>
  </si>
  <si>
    <t>Surface Almost</t>
  </si>
  <si>
    <t>ITM_594</t>
  </si>
  <si>
    <t>Light Response</t>
  </si>
  <si>
    <t>ITM_595</t>
  </si>
  <si>
    <t>Star Thing</t>
  </si>
  <si>
    <t>ITM_596</t>
  </si>
  <si>
    <t>Gun Team</t>
  </si>
  <si>
    <t>ITM_597</t>
  </si>
  <si>
    <t>Evening He</t>
  </si>
  <si>
    <t>ITM_598</t>
  </si>
  <si>
    <t>Player Care</t>
  </si>
  <si>
    <t>ITM_599</t>
  </si>
  <si>
    <t>Ready Wife</t>
  </si>
  <si>
    <t>ITM_600</t>
  </si>
  <si>
    <t>Agency Significant</t>
  </si>
  <si>
    <t>ITM_601</t>
  </si>
  <si>
    <t>Hand Step</t>
  </si>
  <si>
    <t>ITM_602</t>
  </si>
  <si>
    <t>Sing Lot</t>
  </si>
  <si>
    <t>ITM_603</t>
  </si>
  <si>
    <t>Information Item</t>
  </si>
  <si>
    <t>ITM_604</t>
  </si>
  <si>
    <t>Expert Marriage</t>
  </si>
  <si>
    <t>ITM_605</t>
  </si>
  <si>
    <t>Born Happen</t>
  </si>
  <si>
    <t>ITM_606</t>
  </si>
  <si>
    <t>By Suffer</t>
  </si>
  <si>
    <t>ITM_607</t>
  </si>
  <si>
    <t>Property Consider</t>
  </si>
  <si>
    <t>ITM_608</t>
  </si>
  <si>
    <t>Unit Face</t>
  </si>
  <si>
    <t>ITM_609</t>
  </si>
  <si>
    <t>Hit Appear</t>
  </si>
  <si>
    <t>ITM_610</t>
  </si>
  <si>
    <t>Weight First</t>
  </si>
  <si>
    <t>ITM_611</t>
  </si>
  <si>
    <t>Film City</t>
  </si>
  <si>
    <t>ITM_612</t>
  </si>
  <si>
    <t>Example Firm</t>
  </si>
  <si>
    <t>ITM_613</t>
  </si>
  <si>
    <t>Region Six</t>
  </si>
  <si>
    <t>ITM_614</t>
  </si>
  <si>
    <t>Research List</t>
  </si>
  <si>
    <t>ITM_615</t>
  </si>
  <si>
    <t>Check West</t>
  </si>
  <si>
    <t>ITM_616</t>
  </si>
  <si>
    <t>Collection Hundred</t>
  </si>
  <si>
    <t>ITM_617</t>
  </si>
  <si>
    <t>Itself Follow</t>
  </si>
  <si>
    <t>ITM_618</t>
  </si>
  <si>
    <t>Week Response</t>
  </si>
  <si>
    <t>ITM_619</t>
  </si>
  <si>
    <t>Customer Read</t>
  </si>
  <si>
    <t>ITM_620</t>
  </si>
  <si>
    <t>Modern Alone</t>
  </si>
  <si>
    <t>ITM_621</t>
  </si>
  <si>
    <t>However Moment</t>
  </si>
  <si>
    <t>ITM_622</t>
  </si>
  <si>
    <t>Pass Event</t>
  </si>
  <si>
    <t>ITM_623</t>
  </si>
  <si>
    <t>Notice Social</t>
  </si>
  <si>
    <t>ITM_624</t>
  </si>
  <si>
    <t>Experience Language</t>
  </si>
  <si>
    <t>ITM_625</t>
  </si>
  <si>
    <t>Baby Result</t>
  </si>
  <si>
    <t>ITM_626</t>
  </si>
  <si>
    <t>Tend Care</t>
  </si>
  <si>
    <t>ITM_627</t>
  </si>
  <si>
    <t>Natural Already</t>
  </si>
  <si>
    <t>ITM_628</t>
  </si>
  <si>
    <t>Somebody Rest</t>
  </si>
  <si>
    <t>ITM_629</t>
  </si>
  <si>
    <t>Itself Pressure</t>
  </si>
  <si>
    <t>ITM_630</t>
  </si>
  <si>
    <t>Total Key</t>
  </si>
  <si>
    <t>ITM_631</t>
  </si>
  <si>
    <t>Guess Interview</t>
  </si>
  <si>
    <t>ITM_632</t>
  </si>
  <si>
    <t>Store Wear</t>
  </si>
  <si>
    <t>ITM_633</t>
  </si>
  <si>
    <t>Forget Thus</t>
  </si>
  <si>
    <t>ITM_634</t>
  </si>
  <si>
    <t>Tree Similar</t>
  </si>
  <si>
    <t>ITM_635</t>
  </si>
  <si>
    <t>Huge Success</t>
  </si>
  <si>
    <t>ITM_636</t>
  </si>
  <si>
    <t>Season Buy</t>
  </si>
  <si>
    <t>ITM_637</t>
  </si>
  <si>
    <t>News Respond</t>
  </si>
  <si>
    <t>ITM_638</t>
  </si>
  <si>
    <t>Until Staff</t>
  </si>
  <si>
    <t>ITM_639</t>
  </si>
  <si>
    <t>Set Maybe</t>
  </si>
  <si>
    <t>ITM_640</t>
  </si>
  <si>
    <t>President Interest</t>
  </si>
  <si>
    <t>ITM_641</t>
  </si>
  <si>
    <t>Sort Yet</t>
  </si>
  <si>
    <t>ITM_642</t>
  </si>
  <si>
    <t>Simply Check</t>
  </si>
  <si>
    <t>ITM_643</t>
  </si>
  <si>
    <t>In Soon</t>
  </si>
  <si>
    <t>ITM_644</t>
  </si>
  <si>
    <t>Wear Worry</t>
  </si>
  <si>
    <t>ITM_645</t>
  </si>
  <si>
    <t>Herself Notice</t>
  </si>
  <si>
    <t>ITM_646</t>
  </si>
  <si>
    <t>Remain Employee</t>
  </si>
  <si>
    <t>ITM_647</t>
  </si>
  <si>
    <t>Vote Source</t>
  </si>
  <si>
    <t>ITM_648</t>
  </si>
  <si>
    <t>Measure Begin</t>
  </si>
  <si>
    <t>ITM_649</t>
  </si>
  <si>
    <t>Century Beat</t>
  </si>
  <si>
    <t>ITM_650</t>
  </si>
  <si>
    <t>His Walk</t>
  </si>
  <si>
    <t>ITM_651</t>
  </si>
  <si>
    <t>About Response</t>
  </si>
  <si>
    <t>ITM_652</t>
  </si>
  <si>
    <t>Mrs No</t>
  </si>
  <si>
    <t>ITM_653</t>
  </si>
  <si>
    <t>Effort Give</t>
  </si>
  <si>
    <t>ITM_654</t>
  </si>
  <si>
    <t>Mean Agent</t>
  </si>
  <si>
    <t>ITM_655</t>
  </si>
  <si>
    <t>Who Something</t>
  </si>
  <si>
    <t>ITM_656</t>
  </si>
  <si>
    <t>Would Son</t>
  </si>
  <si>
    <t>ITM_657</t>
  </si>
  <si>
    <t>West Fear</t>
  </si>
  <si>
    <t>ITM_658</t>
  </si>
  <si>
    <t>Painting Mention</t>
  </si>
  <si>
    <t>ITM_659</t>
  </si>
  <si>
    <t>Perhaps College</t>
  </si>
  <si>
    <t>ITM_660</t>
  </si>
  <si>
    <t>Teach Team</t>
  </si>
  <si>
    <t>ITM_661</t>
  </si>
  <si>
    <t>Product Treat</t>
  </si>
  <si>
    <t>ITM_662</t>
  </si>
  <si>
    <t>All Every</t>
  </si>
  <si>
    <t>ITM_663</t>
  </si>
  <si>
    <t>Others Boy</t>
  </si>
  <si>
    <t>ITM_664</t>
  </si>
  <si>
    <t>Play Present</t>
  </si>
  <si>
    <t>ITM_665</t>
  </si>
  <si>
    <t>Sell Such</t>
  </si>
  <si>
    <t>ITM_666</t>
  </si>
  <si>
    <t>Require Operation</t>
  </si>
  <si>
    <t>ITM_667</t>
  </si>
  <si>
    <t>Drug Director</t>
  </si>
  <si>
    <t>ITM_668</t>
  </si>
  <si>
    <t>Threat Until</t>
  </si>
  <si>
    <t>ITM_669</t>
  </si>
  <si>
    <t>Court Author</t>
  </si>
  <si>
    <t>ITM_670</t>
  </si>
  <si>
    <t>Discuss Relationship</t>
  </si>
  <si>
    <t>ITM_671</t>
  </si>
  <si>
    <t>Attack Politics</t>
  </si>
  <si>
    <t>ITM_672</t>
  </si>
  <si>
    <t>Clear Stand</t>
  </si>
  <si>
    <t>ITM_673</t>
  </si>
  <si>
    <t>Others Find</t>
  </si>
  <si>
    <t>ITM_674</t>
  </si>
  <si>
    <t>Recognize Assume</t>
  </si>
  <si>
    <t>ITM_675</t>
  </si>
  <si>
    <t>Like So</t>
  </si>
  <si>
    <t>ITM_676</t>
  </si>
  <si>
    <t>Home Perhaps</t>
  </si>
  <si>
    <t>ITM_677</t>
  </si>
  <si>
    <t>There Care</t>
  </si>
  <si>
    <t>ITM_678</t>
  </si>
  <si>
    <t>While Level</t>
  </si>
  <si>
    <t>ITM_679</t>
  </si>
  <si>
    <t>Determine Central</t>
  </si>
  <si>
    <t>ITM_680</t>
  </si>
  <si>
    <t>Everything On</t>
  </si>
  <si>
    <t>ITM_681</t>
  </si>
  <si>
    <t>Subject Job</t>
  </si>
  <si>
    <t>ITM_682</t>
  </si>
  <si>
    <t>History Become</t>
  </si>
  <si>
    <t>ITM_683</t>
  </si>
  <si>
    <t>Machine Approach</t>
  </si>
  <si>
    <t>ITM_684</t>
  </si>
  <si>
    <t>Think For</t>
  </si>
  <si>
    <t>ITM_685</t>
  </si>
  <si>
    <t>Design Central</t>
  </si>
  <si>
    <t>ITM_686</t>
  </si>
  <si>
    <t>Society Set</t>
  </si>
  <si>
    <t>ITM_687</t>
  </si>
  <si>
    <t>Indicate Common</t>
  </si>
  <si>
    <t>ITM_688</t>
  </si>
  <si>
    <t>Instead Draw</t>
  </si>
  <si>
    <t>ITM_689</t>
  </si>
  <si>
    <t>Address Effect</t>
  </si>
  <si>
    <t>ITM_690</t>
  </si>
  <si>
    <t>Final Close</t>
  </si>
  <si>
    <t>ITM_691</t>
  </si>
  <si>
    <t>Follow Discover</t>
  </si>
  <si>
    <t>ITM_692</t>
  </si>
  <si>
    <t>Heavy Ask</t>
  </si>
  <si>
    <t>ITM_693</t>
  </si>
  <si>
    <t>Prove Share</t>
  </si>
  <si>
    <t>ITM_694</t>
  </si>
  <si>
    <t>Republican Individual</t>
  </si>
  <si>
    <t>ITM_695</t>
  </si>
  <si>
    <t>Risk Whether</t>
  </si>
  <si>
    <t>ITM_696</t>
  </si>
  <si>
    <t>Wonder Yard</t>
  </si>
  <si>
    <t>ITM_697</t>
  </si>
  <si>
    <t>Quality Good</t>
  </si>
  <si>
    <t>ITM_698</t>
  </si>
  <si>
    <t>Cultural Try</t>
  </si>
  <si>
    <t>ITM_699</t>
  </si>
  <si>
    <t>Recent Science</t>
  </si>
  <si>
    <t>ITM_700</t>
  </si>
  <si>
    <t>Education Fine</t>
  </si>
  <si>
    <t>ITM_701</t>
  </si>
  <si>
    <t>Real Coach</t>
  </si>
  <si>
    <t>ITM_702</t>
  </si>
  <si>
    <t>Hotel Decade</t>
  </si>
  <si>
    <t>ITM_703</t>
  </si>
  <si>
    <t>Although Kind</t>
  </si>
  <si>
    <t>ITM_704</t>
  </si>
  <si>
    <t>Go Need</t>
  </si>
  <si>
    <t>ITM_705</t>
  </si>
  <si>
    <t>Mind Within</t>
  </si>
  <si>
    <t>ITM_706</t>
  </si>
  <si>
    <t>Decide Pm</t>
  </si>
  <si>
    <t>ITM_707</t>
  </si>
  <si>
    <t>Top Recognize</t>
  </si>
  <si>
    <t>ITM_708</t>
  </si>
  <si>
    <t>Else Include</t>
  </si>
  <si>
    <t>ITM_709</t>
  </si>
  <si>
    <t>Son Close</t>
  </si>
  <si>
    <t>ITM_710</t>
  </si>
  <si>
    <t>Recently Candidate</t>
  </si>
  <si>
    <t>ITM_711</t>
  </si>
  <si>
    <t>Leg Often</t>
  </si>
  <si>
    <t>ITM_712</t>
  </si>
  <si>
    <t>Back Smile</t>
  </si>
  <si>
    <t>ITM_713</t>
  </si>
  <si>
    <t>Then Never</t>
  </si>
  <si>
    <t>ITM_714</t>
  </si>
  <si>
    <t>Success Almost</t>
  </si>
  <si>
    <t>ITM_715</t>
  </si>
  <si>
    <t>Fight Show</t>
  </si>
  <si>
    <t>ITM_716</t>
  </si>
  <si>
    <t>Write For</t>
  </si>
  <si>
    <t>ITM_717</t>
  </si>
  <si>
    <t>So Bad</t>
  </si>
  <si>
    <t>ITM_718</t>
  </si>
  <si>
    <t>Though Hundred</t>
  </si>
  <si>
    <t>ITM_719</t>
  </si>
  <si>
    <t>Wonder Two</t>
  </si>
  <si>
    <t>ITM_720</t>
  </si>
  <si>
    <t>Billion Conference</t>
  </si>
  <si>
    <t>ITM_721</t>
  </si>
  <si>
    <t>Perform Operation</t>
  </si>
  <si>
    <t>ITM_722</t>
  </si>
  <si>
    <t>Today Control</t>
  </si>
  <si>
    <t>ITM_723</t>
  </si>
  <si>
    <t>Open Body</t>
  </si>
  <si>
    <t>ITM_724</t>
  </si>
  <si>
    <t>Threat Local</t>
  </si>
  <si>
    <t>ITM_725</t>
  </si>
  <si>
    <t>Agent Discuss</t>
  </si>
  <si>
    <t>ITM_726</t>
  </si>
  <si>
    <t>Six Poor</t>
  </si>
  <si>
    <t>ITM_727</t>
  </si>
  <si>
    <t>Measure Floor</t>
  </si>
  <si>
    <t>ITM_728</t>
  </si>
  <si>
    <t>Run Difference</t>
  </si>
  <si>
    <t>ITM_729</t>
  </si>
  <si>
    <t>World Drop</t>
  </si>
  <si>
    <t>ITM_730</t>
  </si>
  <si>
    <t>Base Such</t>
  </si>
  <si>
    <t>ITM_731</t>
  </si>
  <si>
    <t>Phone Green</t>
  </si>
  <si>
    <t>ITM_732</t>
  </si>
  <si>
    <t>Reason Somebody</t>
  </si>
  <si>
    <t>ITM_733</t>
  </si>
  <si>
    <t>Story Sometimes</t>
  </si>
  <si>
    <t>ITM_734</t>
  </si>
  <si>
    <t>Every Why</t>
  </si>
  <si>
    <t>ITM_735</t>
  </si>
  <si>
    <t>She Mouth</t>
  </si>
  <si>
    <t>ITM_736</t>
  </si>
  <si>
    <t>Process Position</t>
  </si>
  <si>
    <t>ITM_737</t>
  </si>
  <si>
    <t>Action Actually</t>
  </si>
  <si>
    <t>ITM_738</t>
  </si>
  <si>
    <t>Simple Forward</t>
  </si>
  <si>
    <t>ITM_739</t>
  </si>
  <si>
    <t>Music Room</t>
  </si>
  <si>
    <t>ITM_740</t>
  </si>
  <si>
    <t>Single Scene</t>
  </si>
  <si>
    <t>ITM_741</t>
  </si>
  <si>
    <t>Economic Act</t>
  </si>
  <si>
    <t>ITM_742</t>
  </si>
  <si>
    <t>Miss Develop</t>
  </si>
  <si>
    <t>ITM_743</t>
  </si>
  <si>
    <t>Performance Hotel</t>
  </si>
  <si>
    <t>ITM_744</t>
  </si>
  <si>
    <t>Make However</t>
  </si>
  <si>
    <t>ITM_745</t>
  </si>
  <si>
    <t>Long Me</t>
  </si>
  <si>
    <t>ITM_746</t>
  </si>
  <si>
    <t>Themselves Especially</t>
  </si>
  <si>
    <t>ITM_747</t>
  </si>
  <si>
    <t>Majority Machine</t>
  </si>
  <si>
    <t>ITM_748</t>
  </si>
  <si>
    <t>End Man</t>
  </si>
  <si>
    <t>ITM_749</t>
  </si>
  <si>
    <t>Seek Nation</t>
  </si>
  <si>
    <t>ITM_750</t>
  </si>
  <si>
    <t>Government Understand</t>
  </si>
  <si>
    <t>ITM_751</t>
  </si>
  <si>
    <t>Or Western</t>
  </si>
  <si>
    <t>ITM_752</t>
  </si>
  <si>
    <t>Safe Key</t>
  </si>
  <si>
    <t>ITM_753</t>
  </si>
  <si>
    <t>Few Rate</t>
  </si>
  <si>
    <t>ITM_754</t>
  </si>
  <si>
    <t>Yeah North</t>
  </si>
  <si>
    <t>ITM_755</t>
  </si>
  <si>
    <t>You Claim</t>
  </si>
  <si>
    <t>ITM_756</t>
  </si>
  <si>
    <t>Unit Respond</t>
  </si>
  <si>
    <t>ITM_757</t>
  </si>
  <si>
    <t>Interest The</t>
  </si>
  <si>
    <t>ITM_758</t>
  </si>
  <si>
    <t>Tonight Factor</t>
  </si>
  <si>
    <t>ITM_759</t>
  </si>
  <si>
    <t>Per West</t>
  </si>
  <si>
    <t>ITM_760</t>
  </si>
  <si>
    <t>She Spring</t>
  </si>
  <si>
    <t>ITM_761</t>
  </si>
  <si>
    <t>Their Old</t>
  </si>
  <si>
    <t>ITM_762</t>
  </si>
  <si>
    <t>Industry Entire</t>
  </si>
  <si>
    <t>ITM_763</t>
  </si>
  <si>
    <t>People Candidate</t>
  </si>
  <si>
    <t>ITM_764</t>
  </si>
  <si>
    <t>Film It</t>
  </si>
  <si>
    <t>ITM_765</t>
  </si>
  <si>
    <t>Natural Win</t>
  </si>
  <si>
    <t>ITM_766</t>
  </si>
  <si>
    <t>Including Wind</t>
  </si>
  <si>
    <t>ITM_767</t>
  </si>
  <si>
    <t>Home Enter</t>
  </si>
  <si>
    <t>ITM_768</t>
  </si>
  <si>
    <t>Successful A</t>
  </si>
  <si>
    <t>ITM_769</t>
  </si>
  <si>
    <t>Tree Deal</t>
  </si>
  <si>
    <t>ITM_770</t>
  </si>
  <si>
    <t>Gas Theory</t>
  </si>
  <si>
    <t>ITM_771</t>
  </si>
  <si>
    <t>Modern Former</t>
  </si>
  <si>
    <t>ITM_772</t>
  </si>
  <si>
    <t>Cup Middle</t>
  </si>
  <si>
    <t>ITM_773</t>
  </si>
  <si>
    <t>Security Institution</t>
  </si>
  <si>
    <t>ITM_774</t>
  </si>
  <si>
    <t>Green Method</t>
  </si>
  <si>
    <t>ITM_775</t>
  </si>
  <si>
    <t>Serious Strong</t>
  </si>
  <si>
    <t>ITM_776</t>
  </si>
  <si>
    <t>Late Human</t>
  </si>
  <si>
    <t>ITM_777</t>
  </si>
  <si>
    <t>Low I</t>
  </si>
  <si>
    <t>ITM_778</t>
  </si>
  <si>
    <t>Late Here</t>
  </si>
  <si>
    <t>ITM_779</t>
  </si>
  <si>
    <t>Put Quickly</t>
  </si>
  <si>
    <t>ITM_780</t>
  </si>
  <si>
    <t>Design Law</t>
  </si>
  <si>
    <t>ITM_781</t>
  </si>
  <si>
    <t>Spring Contain</t>
  </si>
  <si>
    <t>ITM_782</t>
  </si>
  <si>
    <t>Even Visit</t>
  </si>
  <si>
    <t>ITM_783</t>
  </si>
  <si>
    <t>Key Parent</t>
  </si>
  <si>
    <t>ITM_784</t>
  </si>
  <si>
    <t>Blue Book</t>
  </si>
  <si>
    <t>ITM_785</t>
  </si>
  <si>
    <t>History Cup</t>
  </si>
  <si>
    <t>ITM_786</t>
  </si>
  <si>
    <t>Feeling Become</t>
  </si>
  <si>
    <t>ITM_787</t>
  </si>
  <si>
    <t>Day Hot</t>
  </si>
  <si>
    <t>ITM_788</t>
  </si>
  <si>
    <t>Enter Eye</t>
  </si>
  <si>
    <t>ITM_789</t>
  </si>
  <si>
    <t>Low Necessary</t>
  </si>
  <si>
    <t>ITM_790</t>
  </si>
  <si>
    <t>Nor Party</t>
  </si>
  <si>
    <t>ITM_791</t>
  </si>
  <si>
    <t>At Positive</t>
  </si>
  <si>
    <t>ITM_792</t>
  </si>
  <si>
    <t>Can One</t>
  </si>
  <si>
    <t>ITM_793</t>
  </si>
  <si>
    <t>Within Really</t>
  </si>
  <si>
    <t>ITM_794</t>
  </si>
  <si>
    <t>Admit Feeling</t>
  </si>
  <si>
    <t>ITM_795</t>
  </si>
  <si>
    <t>Front Big</t>
  </si>
  <si>
    <t>ITM_796</t>
  </si>
  <si>
    <t>Far Would</t>
  </si>
  <si>
    <t>ITM_797</t>
  </si>
  <si>
    <t>Admit Art</t>
  </si>
  <si>
    <t>ITM_798</t>
  </si>
  <si>
    <t>Box Up</t>
  </si>
  <si>
    <t>ITM_799</t>
  </si>
  <si>
    <t>Move Music</t>
  </si>
  <si>
    <t>ITM_800</t>
  </si>
  <si>
    <t>Level Provide</t>
  </si>
  <si>
    <t>ITM_801</t>
  </si>
  <si>
    <t>Law Where</t>
  </si>
  <si>
    <t>ITM_802</t>
  </si>
  <si>
    <t>Strong Often</t>
  </si>
  <si>
    <t>ITM_803</t>
  </si>
  <si>
    <t>Blue Street</t>
  </si>
  <si>
    <t>ITM_804</t>
  </si>
  <si>
    <t>At Hear</t>
  </si>
  <si>
    <t>ITM_805</t>
  </si>
  <si>
    <t>Evening Table</t>
  </si>
  <si>
    <t>ITM_806</t>
  </si>
  <si>
    <t>Prove Lose</t>
  </si>
  <si>
    <t>ITM_807</t>
  </si>
  <si>
    <t>Out Fill</t>
  </si>
  <si>
    <t>ITM_808</t>
  </si>
  <si>
    <t>Subject Protect</t>
  </si>
  <si>
    <t>ITM_809</t>
  </si>
  <si>
    <t>Age North</t>
  </si>
  <si>
    <t>ITM_810</t>
  </si>
  <si>
    <t>Herself General</t>
  </si>
  <si>
    <t>ITM_811</t>
  </si>
  <si>
    <t>Argue Though</t>
  </si>
  <si>
    <t>ITM_812</t>
  </si>
  <si>
    <t>That Skin</t>
  </si>
  <si>
    <t>ITM_813</t>
  </si>
  <si>
    <t>Party To</t>
  </si>
  <si>
    <t>ITM_814</t>
  </si>
  <si>
    <t>Hot Forget</t>
  </si>
  <si>
    <t>ITM_815</t>
  </si>
  <si>
    <t>Thing Three</t>
  </si>
  <si>
    <t>ITM_816</t>
  </si>
  <si>
    <t>Court Child</t>
  </si>
  <si>
    <t>ITM_817</t>
  </si>
  <si>
    <t>Former Between</t>
  </si>
  <si>
    <t>ITM_818</t>
  </si>
  <si>
    <t>Research Party</t>
  </si>
  <si>
    <t>ITM_819</t>
  </si>
  <si>
    <t>West Way</t>
  </si>
  <si>
    <t>ITM_820</t>
  </si>
  <si>
    <t>Together Executive</t>
  </si>
  <si>
    <t>ITM_821</t>
  </si>
  <si>
    <t>Appear Agree</t>
  </si>
  <si>
    <t>ITM_822</t>
  </si>
  <si>
    <t>Politics Financial</t>
  </si>
  <si>
    <t>ITM_823</t>
  </si>
  <si>
    <t>Fast Down</t>
  </si>
  <si>
    <t>ITM_824</t>
  </si>
  <si>
    <t>Both Experience</t>
  </si>
  <si>
    <t>ITM_825</t>
  </si>
  <si>
    <t>True Successful</t>
  </si>
  <si>
    <t>ITM_826</t>
  </si>
  <si>
    <t>Final Just</t>
  </si>
  <si>
    <t>ITM_827</t>
  </si>
  <si>
    <t>Subject Matter</t>
  </si>
  <si>
    <t>ITM_828</t>
  </si>
  <si>
    <t>Door Animal</t>
  </si>
  <si>
    <t>ITM_829</t>
  </si>
  <si>
    <t>Life Before</t>
  </si>
  <si>
    <t>ITM_830</t>
  </si>
  <si>
    <t>Word Radio</t>
  </si>
  <si>
    <t>ITM_831</t>
  </si>
  <si>
    <t>Race Certainly</t>
  </si>
  <si>
    <t>ITM_832</t>
  </si>
  <si>
    <t>None Well</t>
  </si>
  <si>
    <t>ITM_833</t>
  </si>
  <si>
    <t>Effort Good</t>
  </si>
  <si>
    <t>ITM_834</t>
  </si>
  <si>
    <t>Research Turn</t>
  </si>
  <si>
    <t>ITM_835</t>
  </si>
  <si>
    <t>Low Near</t>
  </si>
  <si>
    <t>ITM_836</t>
  </si>
  <si>
    <t>Strategy Concern</t>
  </si>
  <si>
    <t>ITM_837</t>
  </si>
  <si>
    <t>Affect Choose</t>
  </si>
  <si>
    <t>ITM_838</t>
  </si>
  <si>
    <t>Strong Picture</t>
  </si>
  <si>
    <t>ITM_839</t>
  </si>
  <si>
    <t>Measure Region</t>
  </si>
  <si>
    <t>ITM_840</t>
  </si>
  <si>
    <t>Group Hit</t>
  </si>
  <si>
    <t>ITM_841</t>
  </si>
  <si>
    <t>American Way</t>
  </si>
  <si>
    <t>ITM_842</t>
  </si>
  <si>
    <t>Development Rest</t>
  </si>
  <si>
    <t>ITM_843</t>
  </si>
  <si>
    <t>Myself Carry</t>
  </si>
  <si>
    <t>ITM_844</t>
  </si>
  <si>
    <t>People Instead</t>
  </si>
  <si>
    <t>ITM_845</t>
  </si>
  <si>
    <t>Might Issue</t>
  </si>
  <si>
    <t>ITM_846</t>
  </si>
  <si>
    <t>Any Best</t>
  </si>
  <si>
    <t>ITM_847</t>
  </si>
  <si>
    <t>Store Itself</t>
  </si>
  <si>
    <t>ITM_848</t>
  </si>
  <si>
    <t>Traditional Across</t>
  </si>
  <si>
    <t>ITM_849</t>
  </si>
  <si>
    <t>Each People</t>
  </si>
  <si>
    <t>ITM_850</t>
  </si>
  <si>
    <t>Opportunity Rock</t>
  </si>
  <si>
    <t>ITM_851</t>
  </si>
  <si>
    <t>Gun Paper</t>
  </si>
  <si>
    <t>ITM_852</t>
  </si>
  <si>
    <t>Material Leg</t>
  </si>
  <si>
    <t>ITM_853</t>
  </si>
  <si>
    <t>Call Condition</t>
  </si>
  <si>
    <t>ITM_854</t>
  </si>
  <si>
    <t>More Upon</t>
  </si>
  <si>
    <t>ITM_855</t>
  </si>
  <si>
    <t>Mother Data</t>
  </si>
  <si>
    <t>ITM_856</t>
  </si>
  <si>
    <t>Policy Trial</t>
  </si>
  <si>
    <t>ITM_857</t>
  </si>
  <si>
    <t>Order Beautiful</t>
  </si>
  <si>
    <t>ITM_858</t>
  </si>
  <si>
    <t>Could Data</t>
  </si>
  <si>
    <t>ITM_859</t>
  </si>
  <si>
    <t>Practice Direction</t>
  </si>
  <si>
    <t>ITM_860</t>
  </si>
  <si>
    <t>Scene Throughout</t>
  </si>
  <si>
    <t>ITM_861</t>
  </si>
  <si>
    <t>To Yes</t>
  </si>
  <si>
    <t>ITM_862</t>
  </si>
  <si>
    <t>Nothing Role</t>
  </si>
  <si>
    <t>ITM_863</t>
  </si>
  <si>
    <t>Science Point</t>
  </si>
  <si>
    <t>ITM_864</t>
  </si>
  <si>
    <t>Rise Maybe</t>
  </si>
  <si>
    <t>ITM_865</t>
  </si>
  <si>
    <t>Physical Change</t>
  </si>
  <si>
    <t>ITM_866</t>
  </si>
  <si>
    <t>Improve Us</t>
  </si>
  <si>
    <t>ITM_867</t>
  </si>
  <si>
    <t>Economic All</t>
  </si>
  <si>
    <t>ITM_868</t>
  </si>
  <si>
    <t>Number Be</t>
  </si>
  <si>
    <t>ITM_869</t>
  </si>
  <si>
    <t>Always Far</t>
  </si>
  <si>
    <t>ITM_870</t>
  </si>
  <si>
    <t>Respond Quickly</t>
  </si>
  <si>
    <t>ITM_871</t>
  </si>
  <si>
    <t>Final Born</t>
  </si>
  <si>
    <t>ITM_872</t>
  </si>
  <si>
    <t>Hand Dream</t>
  </si>
  <si>
    <t>ITM_873</t>
  </si>
  <si>
    <t>Thing Author</t>
  </si>
  <si>
    <t>ITM_874</t>
  </si>
  <si>
    <t>Factor Rest</t>
  </si>
  <si>
    <t>ITM_875</t>
  </si>
  <si>
    <t>Though Notice</t>
  </si>
  <si>
    <t>ITM_876</t>
  </si>
  <si>
    <t>Inside Paper</t>
  </si>
  <si>
    <t>ITM_877</t>
  </si>
  <si>
    <t>Interest Discover</t>
  </si>
  <si>
    <t>ITM_878</t>
  </si>
  <si>
    <t>Nothing Entire</t>
  </si>
  <si>
    <t>ITM_879</t>
  </si>
  <si>
    <t>Follow Author</t>
  </si>
  <si>
    <t>ITM_880</t>
  </si>
  <si>
    <t>Traditional Avoid</t>
  </si>
  <si>
    <t>ITM_881</t>
  </si>
  <si>
    <t>So Computer</t>
  </si>
  <si>
    <t>ITM_882</t>
  </si>
  <si>
    <t>Level Share</t>
  </si>
  <si>
    <t>ITM_883</t>
  </si>
  <si>
    <t>Expect Region</t>
  </si>
  <si>
    <t>ITM_884</t>
  </si>
  <si>
    <t>Sing Room</t>
  </si>
  <si>
    <t>ITM_885</t>
  </si>
  <si>
    <t>Easy Feel</t>
  </si>
  <si>
    <t>ITM_886</t>
  </si>
  <si>
    <t>Forget Term</t>
  </si>
  <si>
    <t>ITM_887</t>
  </si>
  <si>
    <t>Consumer Big</t>
  </si>
  <si>
    <t>ITM_888</t>
  </si>
  <si>
    <t>Instead Nearly</t>
  </si>
  <si>
    <t>ITM_889</t>
  </si>
  <si>
    <t>Hundred Sort</t>
  </si>
  <si>
    <t>ITM_890</t>
  </si>
  <si>
    <t>World Education</t>
  </si>
  <si>
    <t>ITM_891</t>
  </si>
  <si>
    <t>Gas Word</t>
  </si>
  <si>
    <t>ITM_892</t>
  </si>
  <si>
    <t>Expert Could</t>
  </si>
  <si>
    <t>ITM_893</t>
  </si>
  <si>
    <t>Hold After</t>
  </si>
  <si>
    <t>ITM_894</t>
  </si>
  <si>
    <t>Production Star</t>
  </si>
  <si>
    <t>ITM_895</t>
  </si>
  <si>
    <t>Game Tonight</t>
  </si>
  <si>
    <t>ITM_896</t>
  </si>
  <si>
    <t>School Entire</t>
  </si>
  <si>
    <t>ITM_897</t>
  </si>
  <si>
    <t>Sense Investment</t>
  </si>
  <si>
    <t>ITM_898</t>
  </si>
  <si>
    <t>Pass Financial</t>
  </si>
  <si>
    <t>ITM_899</t>
  </si>
  <si>
    <t>Maybe Election</t>
  </si>
  <si>
    <t>ITM_900</t>
  </si>
  <si>
    <t>Daughter Energy</t>
  </si>
  <si>
    <t>ITM_901</t>
  </si>
  <si>
    <t>Full Article</t>
  </si>
  <si>
    <t>ITM_902</t>
  </si>
  <si>
    <t>Record Eight</t>
  </si>
  <si>
    <t>ITM_903</t>
  </si>
  <si>
    <t>Term Me</t>
  </si>
  <si>
    <t>ITM_904</t>
  </si>
  <si>
    <t>Week Gas</t>
  </si>
  <si>
    <t>ITM_905</t>
  </si>
  <si>
    <t>Between Start</t>
  </si>
  <si>
    <t>ITM_906</t>
  </si>
  <si>
    <t>Bank Hot</t>
  </si>
  <si>
    <t>ITM_907</t>
  </si>
  <si>
    <t>Gun Both</t>
  </si>
  <si>
    <t>ITM_908</t>
  </si>
  <si>
    <t>Moment Religious</t>
  </si>
  <si>
    <t>ITM_909</t>
  </si>
  <si>
    <t>Body Trial</t>
  </si>
  <si>
    <t>ITM_910</t>
  </si>
  <si>
    <t>Attack Serve</t>
  </si>
  <si>
    <t>ITM_911</t>
  </si>
  <si>
    <t>Animal Morning</t>
  </si>
  <si>
    <t>ITM_912</t>
  </si>
  <si>
    <t>Only Wall</t>
  </si>
  <si>
    <t>ITM_913</t>
  </si>
  <si>
    <t>Front Agency</t>
  </si>
  <si>
    <t>ITM_914</t>
  </si>
  <si>
    <t>Rest Work</t>
  </si>
  <si>
    <t>ITM_915</t>
  </si>
  <si>
    <t>Institution After</t>
  </si>
  <si>
    <t>ITM_916</t>
  </si>
  <si>
    <t>Give Keep</t>
  </si>
  <si>
    <t>ITM_917</t>
  </si>
  <si>
    <t>Kind Not</t>
  </si>
  <si>
    <t>ITM_918</t>
  </si>
  <si>
    <t>Family Month</t>
  </si>
  <si>
    <t>ITM_919</t>
  </si>
  <si>
    <t>Feel Technology</t>
  </si>
  <si>
    <t>ITM_920</t>
  </si>
  <si>
    <t>Affect Data</t>
  </si>
  <si>
    <t>ITM_921</t>
  </si>
  <si>
    <t>Wide War</t>
  </si>
  <si>
    <t>ITM_922</t>
  </si>
  <si>
    <t>Word Hope</t>
  </si>
  <si>
    <t>ITM_923</t>
  </si>
  <si>
    <t>Represent Size</t>
  </si>
  <si>
    <t>ITM_924</t>
  </si>
  <si>
    <t>Course Response</t>
  </si>
  <si>
    <t>ITM_925</t>
  </si>
  <si>
    <t>Ten And</t>
  </si>
  <si>
    <t>ITM_926</t>
  </si>
  <si>
    <t>Research True</t>
  </si>
  <si>
    <t>ITM_927</t>
  </si>
  <si>
    <t>Professional Claim</t>
  </si>
  <si>
    <t>ITM_928</t>
  </si>
  <si>
    <t>Kind Cost</t>
  </si>
  <si>
    <t>ITM_929</t>
  </si>
  <si>
    <t>Company Civil</t>
  </si>
  <si>
    <t>ITM_930</t>
  </si>
  <si>
    <t>Notice Sometimes</t>
  </si>
  <si>
    <t>ITM_931</t>
  </si>
  <si>
    <t>Account West</t>
  </si>
  <si>
    <t>ITM_932</t>
  </si>
  <si>
    <t>Early Arrive</t>
  </si>
  <si>
    <t>ITM_933</t>
  </si>
  <si>
    <t>Fly Style</t>
  </si>
  <si>
    <t>ITM_934</t>
  </si>
  <si>
    <t>Sort Book</t>
  </si>
  <si>
    <t>ITM_935</t>
  </si>
  <si>
    <t>Claim Rest</t>
  </si>
  <si>
    <t>ITM_936</t>
  </si>
  <si>
    <t>Brother Worker</t>
  </si>
  <si>
    <t>ITM_937</t>
  </si>
  <si>
    <t>Lawyer Sing</t>
  </si>
  <si>
    <t>ITM_938</t>
  </si>
  <si>
    <t>Compare Pick</t>
  </si>
  <si>
    <t>ITM_939</t>
  </si>
  <si>
    <t>Admit Forward</t>
  </si>
  <si>
    <t>ITM_940</t>
  </si>
  <si>
    <t>Middle Campaign</t>
  </si>
  <si>
    <t>ITM_941</t>
  </si>
  <si>
    <t>Anyone Option</t>
  </si>
  <si>
    <t>ITM_942</t>
  </si>
  <si>
    <t>Technology Condition</t>
  </si>
  <si>
    <t>ITM_943</t>
  </si>
  <si>
    <t>Letter Often</t>
  </si>
  <si>
    <t>ITM_944</t>
  </si>
  <si>
    <t>Project Up</t>
  </si>
  <si>
    <t>ITM_945</t>
  </si>
  <si>
    <t>Team Experience</t>
  </si>
  <si>
    <t>ITM_946</t>
  </si>
  <si>
    <t>Tonight Attack</t>
  </si>
  <si>
    <t>ITM_947</t>
  </si>
  <si>
    <t>Class Now</t>
  </si>
  <si>
    <t>ITM_948</t>
  </si>
  <si>
    <t>Woman Good</t>
  </si>
  <si>
    <t>ITM_949</t>
  </si>
  <si>
    <t>Do Coach</t>
  </si>
  <si>
    <t>ITM_950</t>
  </si>
  <si>
    <t>Maintain Home</t>
  </si>
  <si>
    <t>ITM_951</t>
  </si>
  <si>
    <t>Trip Next</t>
  </si>
  <si>
    <t>ITM_952</t>
  </si>
  <si>
    <t>Yes Try</t>
  </si>
  <si>
    <t>ITM_953</t>
  </si>
  <si>
    <t>Modern Animal</t>
  </si>
  <si>
    <t>ITM_954</t>
  </si>
  <si>
    <t>Opportunity Thousand</t>
  </si>
  <si>
    <t>ITM_955</t>
  </si>
  <si>
    <t>Improve Officer</t>
  </si>
  <si>
    <t>ITM_956</t>
  </si>
  <si>
    <t>Population Lead</t>
  </si>
  <si>
    <t>ITM_957</t>
  </si>
  <si>
    <t>Charge Office</t>
  </si>
  <si>
    <t>ITM_958</t>
  </si>
  <si>
    <t>Six Staff</t>
  </si>
  <si>
    <t>ITM_959</t>
  </si>
  <si>
    <t>Field Service</t>
  </si>
  <si>
    <t>ITM_960</t>
  </si>
  <si>
    <t>Shake Manage</t>
  </si>
  <si>
    <t>ITM_961</t>
  </si>
  <si>
    <t>Hair Hospital</t>
  </si>
  <si>
    <t>ITM_962</t>
  </si>
  <si>
    <t>Scene Fish</t>
  </si>
  <si>
    <t>ITM_963</t>
  </si>
  <si>
    <t>Night Why</t>
  </si>
  <si>
    <t>ITM_964</t>
  </si>
  <si>
    <t>Then Force</t>
  </si>
  <si>
    <t>ITM_965</t>
  </si>
  <si>
    <t>Physical Child</t>
  </si>
  <si>
    <t>ITM_966</t>
  </si>
  <si>
    <t>Mention Teach</t>
  </si>
  <si>
    <t>ITM_967</t>
  </si>
  <si>
    <t>Almost Million</t>
  </si>
  <si>
    <t>ITM_968</t>
  </si>
  <si>
    <t>Star Sense</t>
  </si>
  <si>
    <t>ITM_969</t>
  </si>
  <si>
    <t>Issue Technology</t>
  </si>
  <si>
    <t>ITM_970</t>
  </si>
  <si>
    <t>Guy Year</t>
  </si>
  <si>
    <t>ITM_971</t>
  </si>
  <si>
    <t>Marriage Debate</t>
  </si>
  <si>
    <t>ITM_972</t>
  </si>
  <si>
    <t>Oil Wear</t>
  </si>
  <si>
    <t>ITM_973</t>
  </si>
  <si>
    <t>Population Figure</t>
  </si>
  <si>
    <t>ITM_974</t>
  </si>
  <si>
    <t>Difference Leg</t>
  </si>
  <si>
    <t>ITM_975</t>
  </si>
  <si>
    <t>Court Significant</t>
  </si>
  <si>
    <t>ITM_976</t>
  </si>
  <si>
    <t>Smile Maybe</t>
  </si>
  <si>
    <t>ITM_977</t>
  </si>
  <si>
    <t>Method Open</t>
  </si>
  <si>
    <t>ITM_978</t>
  </si>
  <si>
    <t>Same Matter</t>
  </si>
  <si>
    <t>ITM_979</t>
  </si>
  <si>
    <t>It Audience</t>
  </si>
  <si>
    <t>ITM_980</t>
  </si>
  <si>
    <t>Stuff When</t>
  </si>
  <si>
    <t>ITM_981</t>
  </si>
  <si>
    <t>Front Practice</t>
  </si>
  <si>
    <t>ITM_982</t>
  </si>
  <si>
    <t>Authority Instead</t>
  </si>
  <si>
    <t>ITM_983</t>
  </si>
  <si>
    <t>Test Six</t>
  </si>
  <si>
    <t>ITM_984</t>
  </si>
  <si>
    <t>Expert Politics</t>
  </si>
  <si>
    <t>ITM_985</t>
  </si>
  <si>
    <t>Year Rest</t>
  </si>
  <si>
    <t>ITM_986</t>
  </si>
  <si>
    <t>Public By</t>
  </si>
  <si>
    <t>ITM_987</t>
  </si>
  <si>
    <t>Remain End</t>
  </si>
  <si>
    <t>ITM_988</t>
  </si>
  <si>
    <t>Fill Success</t>
  </si>
  <si>
    <t>ITM_989</t>
  </si>
  <si>
    <t>Common Television</t>
  </si>
  <si>
    <t>ITM_990</t>
  </si>
  <si>
    <t>Light Sport</t>
  </si>
  <si>
    <t>ITM_991</t>
  </si>
  <si>
    <t>Whole Type</t>
  </si>
  <si>
    <t>ITM_992</t>
  </si>
  <si>
    <t>Network Pick</t>
  </si>
  <si>
    <t>ITM_993</t>
  </si>
  <si>
    <t>Catch Contain</t>
  </si>
  <si>
    <t>ITM_994</t>
  </si>
  <si>
    <t>Say Medical</t>
  </si>
  <si>
    <t>ITM_995</t>
  </si>
  <si>
    <t>Street Others</t>
  </si>
  <si>
    <t>ITM_996</t>
  </si>
  <si>
    <t>No Join</t>
  </si>
  <si>
    <t>ITM_997</t>
  </si>
  <si>
    <t>Adult Meeting</t>
  </si>
  <si>
    <t>ITM_998</t>
  </si>
  <si>
    <t>Agent Nature</t>
  </si>
  <si>
    <t>ITM_999</t>
  </si>
  <si>
    <t>Follow Believe</t>
  </si>
  <si>
    <t>ITM_1000</t>
  </si>
  <si>
    <t>Table Actually</t>
  </si>
  <si>
    <t>Cumulative %</t>
  </si>
  <si>
    <t>Average</t>
  </si>
  <si>
    <t>Std. Deviation</t>
  </si>
  <si>
    <t>Coefficient of Variation</t>
  </si>
  <si>
    <t>XYZ Class</t>
  </si>
  <si>
    <t>ABC Class</t>
  </si>
  <si>
    <t>ABC-XYZ</t>
  </si>
  <si>
    <t>Row Labels</t>
  </si>
  <si>
    <t>A</t>
  </si>
  <si>
    <t>B</t>
  </si>
  <si>
    <t>C</t>
  </si>
  <si>
    <t>Grand Total</t>
  </si>
  <si>
    <t>Column Labels</t>
  </si>
  <si>
    <t>X</t>
  </si>
  <si>
    <t>Y</t>
  </si>
  <si>
    <t>Z</t>
  </si>
  <si>
    <t>Count of Item_ID</t>
  </si>
  <si>
    <t>Total Count of Item_ID</t>
  </si>
  <si>
    <t>Total Sum of Total_Sales_Value</t>
  </si>
  <si>
    <t>Sum of Total_Sales_Value</t>
  </si>
  <si>
    <t>ABC Classification (Revenue)</t>
  </si>
  <si>
    <t>Class A</t>
  </si>
  <si>
    <t>Top 70% of cumulative revenue</t>
  </si>
  <si>
    <t>High Value / Critical Items</t>
  </si>
  <si>
    <t>Next 20% of cumulative revenue (70%–90%)</t>
  </si>
  <si>
    <t>Bottom 10% of cumulative revenue (90%–100%)</t>
  </si>
  <si>
    <t>Medium Value Items</t>
  </si>
  <si>
    <t>Low Value / Slow Movers</t>
  </si>
  <si>
    <t>Class B</t>
  </si>
  <si>
    <t>Class C</t>
  </si>
  <si>
    <t>XYZ Classification (Predictability)</t>
  </si>
  <si>
    <t>Class X</t>
  </si>
  <si>
    <t>Class Y</t>
  </si>
  <si>
    <t>Class Z</t>
  </si>
  <si>
    <t>Highly predictable, stable demand</t>
  </si>
  <si>
    <t>Fluctuating, seasonal demand</t>
  </si>
  <si>
    <t>Erratic, highly unpredictable demand</t>
  </si>
  <si>
    <t>CV &lt;= 0.2</t>
  </si>
  <si>
    <t>0.2 &lt; CV &lt;= 0.5</t>
  </si>
  <si>
    <t>CV &gt;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</si>
</sst>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33" borderId="10" xfId="0" applyFill="1" applyBorder="1"/>
    <xf numFmtId="0" fontId="0" fillId="0" borderId="10" xfId="0" applyBorder="1"/>
    <xf numFmtId="2" fontId="0" fillId="0" borderId="10" xfId="0" applyNumberFormat="1" applyBorder="1"/>
    <xf numFmtId="10" fontId="0" fillId="0" borderId="10" xfId="0" applyNumberFormat="1" applyBorder="1"/>
    <xf numFmtId="10" fontId="16" fillId="33" borderId="10" xfId="0" applyNumberFormat="1" applyFont="1" applyFill="1" applyBorder="1"/>
    <xf numFmtId="2" fontId="16" fillId="33" borderId="10" xfId="0" applyNumberFormat="1" applyFont="1" applyFill="1" applyBorder="1"/>
    <xf numFmtId="0" fontId="16" fillId="33" borderId="10" xfId="0" applyFont="1" applyFill="1" applyBorder="1"/>
    <xf numFmtId="0" fontId="0" fillId="0" borderId="0" xfId="0" applyAlignment="1">
      <alignment wrapText="1"/>
    </xf>
    <xf numFmtId="0" fontId="0" fillId="0" borderId="10" xfId="0" applyBorder="1" applyAlignment="1">
      <alignment wrapText="1"/>
    </xf>
    <xf numFmtId="0" fontId="16" fillId="0" borderId="14"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15" xfId="0" applyFont="1" applyBorder="1" applyAlignment="1">
      <alignment horizontal="center" vertical="center" wrapText="1"/>
    </xf>
    <xf numFmtId="0" fontId="0" fillId="0" borderId="11" xfId="0" pivotButton="1"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2" xfId="0" pivotButton="1" applyBorder="1" applyAlignment="1">
      <alignment wrapText="1"/>
    </xf>
    <xf numFmtId="0" fontId="0" fillId="0" borderId="12" xfId="0" applyBorder="1" applyAlignment="1">
      <alignment horizontal="center" wrapText="1"/>
    </xf>
    <xf numFmtId="0" fontId="0" fillId="0" borderId="10" xfId="0" applyNumberFormat="1" applyBorder="1" applyAlignment="1">
      <alignment wrapText="1"/>
    </xf>
    <xf numFmtId="0" fontId="0" fillId="0" borderId="12" xfId="0" applyBorder="1" applyAlignment="1">
      <alignment horizontal="left" wrapText="1"/>
    </xf>
    <xf numFmtId="0" fontId="0" fillId="36" borderId="14" xfId="0" applyFill="1" applyBorder="1" applyAlignment="1">
      <alignment horizontal="center" wrapText="1"/>
    </xf>
    <xf numFmtId="0" fontId="0" fillId="36" borderId="15" xfId="0" applyFill="1" applyBorder="1" applyAlignment="1">
      <alignment horizontal="center" wrapText="1"/>
    </xf>
    <xf numFmtId="0" fontId="0" fillId="36" borderId="15" xfId="0" applyFill="1" applyBorder="1" applyAlignment="1">
      <alignment wrapText="1"/>
    </xf>
    <xf numFmtId="0" fontId="0" fillId="36" borderId="16" xfId="0" applyFill="1" applyBorder="1" applyAlignment="1">
      <alignment wrapText="1"/>
    </xf>
    <xf numFmtId="0" fontId="0" fillId="36" borderId="17" xfId="0" applyFill="1" applyBorder="1" applyAlignment="1">
      <alignment wrapText="1"/>
    </xf>
    <xf numFmtId="0" fontId="0" fillId="36" borderId="18" xfId="0" applyNumberFormat="1" applyFill="1" applyBorder="1" applyAlignment="1">
      <alignment wrapText="1"/>
    </xf>
    <xf numFmtId="0" fontId="0" fillId="36" borderId="19" xfId="0" applyNumberFormat="1" applyFill="1" applyBorder="1" applyAlignment="1">
      <alignment wrapText="1"/>
    </xf>
    <xf numFmtId="0" fontId="0" fillId="36" borderId="13" xfId="0" applyNumberFormat="1" applyFill="1" applyBorder="1" applyAlignment="1">
      <alignment wrapText="1"/>
    </xf>
    <xf numFmtId="0" fontId="0" fillId="37" borderId="16" xfId="0" applyNumberFormat="1" applyFill="1" applyBorder="1" applyAlignment="1">
      <alignment wrapText="1"/>
    </xf>
    <xf numFmtId="0" fontId="0" fillId="37" borderId="17" xfId="0" applyNumberFormat="1" applyFill="1" applyBorder="1" applyAlignment="1">
      <alignment wrapText="1"/>
    </xf>
    <xf numFmtId="0" fontId="0" fillId="37" borderId="13" xfId="0" applyNumberFormat="1" applyFill="1" applyBorder="1" applyAlignment="1">
      <alignment wrapText="1"/>
    </xf>
    <xf numFmtId="0" fontId="0" fillId="34" borderId="16" xfId="0" applyNumberFormat="1" applyFill="1" applyBorder="1" applyAlignment="1">
      <alignment wrapText="1"/>
    </xf>
    <xf numFmtId="0" fontId="0" fillId="34" borderId="17" xfId="0" applyNumberFormat="1" applyFill="1" applyBorder="1" applyAlignment="1">
      <alignment wrapText="1"/>
    </xf>
    <xf numFmtId="0" fontId="0" fillId="38" borderId="16" xfId="0" applyNumberFormat="1" applyFill="1" applyBorder="1" applyAlignment="1">
      <alignment wrapText="1"/>
    </xf>
    <xf numFmtId="0" fontId="0" fillId="38" borderId="17" xfId="0" applyNumberFormat="1" applyFill="1" applyBorder="1" applyAlignment="1">
      <alignment wrapText="1"/>
    </xf>
    <xf numFmtId="0" fontId="0" fillId="35" borderId="16" xfId="0" applyNumberFormat="1" applyFill="1" applyBorder="1" applyAlignment="1">
      <alignment wrapText="1"/>
    </xf>
    <xf numFmtId="0" fontId="0" fillId="35" borderId="17" xfId="0" applyNumberFormat="1" applyFill="1" applyBorder="1" applyAlignment="1">
      <alignment wrapText="1"/>
    </xf>
    <xf numFmtId="0" fontId="16" fillId="0" borderId="22"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0" fillId="0" borderId="16" xfId="0" applyBorder="1" applyAlignment="1">
      <alignment vertical="center" wrapText="1"/>
    </xf>
    <xf numFmtId="0" fontId="0" fillId="0" borderId="10"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21" xfId="0" applyBorder="1" applyAlignment="1">
      <alignment vertical="center" wrapText="1"/>
    </xf>
    <xf numFmtId="0" fontId="0" fillId="0" borderId="19" xfId="0" applyBorder="1" applyAlignment="1">
      <alignment vertical="center" wrapText="1"/>
    </xf>
    <xf numFmtId="0" fontId="0" fillId="0" borderId="0" xfId="0" applyAlignment="1">
      <alignment vertical="center" wrapText="1"/>
    </xf>
    <xf numFmtId="0" fontId="18" fillId="0" borderId="10" xfId="0" applyFont="1" applyBorder="1" applyAlignment="1">
      <alignment vertical="center" wrapText="1"/>
    </xf>
    <xf numFmtId="0" fontId="18" fillId="0" borderId="21" xfId="0" applyFont="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2">
    <dxf>
      <fill>
        <patternFill>
          <bgColor theme="4" tint="0.39997558519241921"/>
        </patternFill>
      </fill>
    </dxf>
    <dxf>
      <fill>
        <patternFill>
          <bgColor theme="5" tint="0.39997558519241921"/>
        </patternFill>
      </fill>
    </dxf>
    <dxf>
      <fill>
        <patternFill>
          <bgColor theme="4" tint="0.39997558519241921"/>
        </patternFill>
      </fill>
    </dxf>
    <dxf>
      <fill>
        <patternFill>
          <bgColor theme="9" tint="0.59999389629810485"/>
        </patternFill>
      </fill>
    </dxf>
    <dxf>
      <fill>
        <patternFill>
          <bgColor theme="0"/>
        </patternFill>
      </fill>
    </dxf>
    <dxf>
      <fill>
        <patternFill>
          <bgColor theme="0"/>
        </patternFill>
      </fill>
    </dxf>
    <dxf>
      <fill>
        <patternFill>
          <bgColor theme="4" tint="0.79998168889431442"/>
        </patternFill>
      </fill>
    </dxf>
    <dxf>
      <fill>
        <patternFill>
          <bgColor theme="7" tint="0.59999389629810485"/>
        </patternFill>
      </fill>
    </dxf>
    <dxf>
      <fill>
        <patternFill>
          <bgColor theme="9" tint="0.59999389629810485"/>
        </patternFill>
      </fill>
    </dxf>
    <dxf>
      <fill>
        <patternFill>
          <bgColor theme="5" tint="0.3999755851924192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dxf>
    <dxf>
      <alignment wrapText="0"/>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patternFill>
      </fill>
    </dxf>
    <dxf>
      <fill>
        <patternFill patternType="solid">
          <bgColor theme="7"/>
        </patternFill>
      </fill>
    </dxf>
    <dxf>
      <fill>
        <patternFill patternType="solid">
          <bgColor theme="7"/>
        </patternFill>
      </fill>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144244</xdr:colOff>
      <xdr:row>9</xdr:row>
      <xdr:rowOff>535240</xdr:rowOff>
    </xdr:from>
    <xdr:to>
      <xdr:col>4</xdr:col>
      <xdr:colOff>1034696</xdr:colOff>
      <xdr:row>26</xdr:row>
      <xdr:rowOff>74084</xdr:rowOff>
    </xdr:to>
    <xdr:sp macro="" textlink="">
      <xdr:nvSpPr>
        <xdr:cNvPr id="2" name="Rectangle 1">
          <a:extLst>
            <a:ext uri="{FF2B5EF4-FFF2-40B4-BE49-F238E27FC236}">
              <a16:creationId xmlns:a16="http://schemas.microsoft.com/office/drawing/2014/main" id="{40A65804-EC26-74A7-D99D-5D21927716CF}"/>
            </a:ext>
          </a:extLst>
        </xdr:cNvPr>
        <xdr:cNvSpPr/>
      </xdr:nvSpPr>
      <xdr:spPr>
        <a:xfrm>
          <a:off x="1371911" y="3318657"/>
          <a:ext cx="2816618" cy="3348844"/>
        </a:xfrm>
        <a:prstGeom prst="rect">
          <a:avLst/>
        </a:prstGeom>
        <a:solidFill>
          <a:schemeClr val="accent1">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b="1"/>
            <a:t>Efficiency Opportunity: The "AX" Core</a:t>
          </a:r>
        </a:p>
        <a:p>
          <a:pPr algn="ctr"/>
          <a:endParaRPr lang="en-IN" sz="1100" b="1"/>
        </a:p>
        <a:p>
          <a:r>
            <a:rPr lang="en-IN" b="1"/>
            <a:t>Finding:</a:t>
          </a:r>
          <a:r>
            <a:rPr lang="en-IN"/>
            <a:t> Items in the </a:t>
          </a:r>
          <a:r>
            <a:rPr lang="en-IN" b="1"/>
            <a:t>AX category</a:t>
          </a:r>
          <a:r>
            <a:rPr lang="en-IN"/>
            <a:t> represent our most stable, high-revenue products.</a:t>
          </a:r>
        </a:p>
        <a:p>
          <a:endParaRPr lang="en-IN"/>
        </a:p>
        <a:p>
          <a:r>
            <a:rPr lang="en-IN" b="1"/>
            <a:t>Business Impact:</a:t>
          </a:r>
          <a:r>
            <a:rPr lang="en-IN"/>
            <a:t> These products generate massive, consistent cash flow month-over-month.</a:t>
          </a:r>
        </a:p>
        <a:p>
          <a:endParaRPr lang="en-IN"/>
        </a:p>
        <a:p>
          <a:r>
            <a:rPr lang="en-IN" b="1"/>
            <a:t>Action Item:</a:t>
          </a:r>
          <a:r>
            <a:rPr lang="en-IN"/>
            <a:t> Transition these items entirely to an automated, Just-In-Time (JIT) replenishment model. Removing manual purchasing overhead from this predictable core will lower operational expenses.</a:t>
          </a:r>
        </a:p>
        <a:p>
          <a:pPr algn="ctr"/>
          <a:endParaRPr lang="en-IN" sz="1100" b="1"/>
        </a:p>
      </xdr:txBody>
    </xdr:sp>
    <xdr:clientData/>
  </xdr:twoCellAnchor>
  <xdr:twoCellAnchor>
    <xdr:from>
      <xdr:col>5</xdr:col>
      <xdr:colOff>588075</xdr:colOff>
      <xdr:row>9</xdr:row>
      <xdr:rowOff>541167</xdr:rowOff>
    </xdr:from>
    <xdr:to>
      <xdr:col>8</xdr:col>
      <xdr:colOff>123255</xdr:colOff>
      <xdr:row>26</xdr:row>
      <xdr:rowOff>95251</xdr:rowOff>
    </xdr:to>
    <xdr:sp macro="" textlink="">
      <xdr:nvSpPr>
        <xdr:cNvPr id="3" name="Rectangle 2">
          <a:extLst>
            <a:ext uri="{FF2B5EF4-FFF2-40B4-BE49-F238E27FC236}">
              <a16:creationId xmlns:a16="http://schemas.microsoft.com/office/drawing/2014/main" id="{F9A84B32-3D7A-4257-B3E6-579FF4042437}"/>
            </a:ext>
          </a:extLst>
        </xdr:cNvPr>
        <xdr:cNvSpPr/>
      </xdr:nvSpPr>
      <xdr:spPr>
        <a:xfrm>
          <a:off x="4821408" y="3306945"/>
          <a:ext cx="2799551" cy="333586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b="1"/>
            <a:t>Strategic Optimization: The "AZ" Risk Matrix</a:t>
          </a:r>
        </a:p>
        <a:p>
          <a:pPr algn="ctr"/>
          <a:endParaRPr lang="en-IN" sz="1100" b="1"/>
        </a:p>
        <a:p>
          <a:r>
            <a:rPr lang="en-IN" b="1"/>
            <a:t>Finding:</a:t>
          </a:r>
          <a:r>
            <a:rPr lang="en-IN"/>
            <a:t> The analysis conclusively reveals </a:t>
          </a:r>
          <a:r>
            <a:rPr lang="en-IN" b="1"/>
            <a:t>0 items in the AZ category</a:t>
          </a:r>
          <a:r>
            <a:rPr lang="en-IN"/>
            <a:t>.</a:t>
          </a:r>
        </a:p>
        <a:p>
          <a:endParaRPr lang="en-IN"/>
        </a:p>
        <a:p>
          <a:r>
            <a:rPr lang="en-IN" b="1"/>
            <a:t>Business Impact:</a:t>
          </a:r>
          <a:r>
            <a:rPr lang="en-IN"/>
            <a:t> This represents an optimal operational scenario. It proves the business does not carry high-cost, high-value inventory tied to volatile or erratic demand.</a:t>
          </a:r>
        </a:p>
        <a:p>
          <a:endParaRPr lang="en-IN"/>
        </a:p>
        <a:p>
          <a:r>
            <a:rPr lang="en-IN" b="1"/>
            <a:t>Action Item:</a:t>
          </a:r>
          <a:r>
            <a:rPr lang="en-IN"/>
            <a:t> Because our core revenue drivers fall strictly into predictable columns (AX and AY), we can aggressively lower safety stock margins across these lines to maximize cash flow without increasing stockout risk.</a:t>
          </a:r>
        </a:p>
        <a:p>
          <a:pPr algn="ctr"/>
          <a:endParaRPr lang="en-IN" sz="1100" b="1"/>
        </a:p>
      </xdr:txBody>
    </xdr:sp>
    <xdr:clientData/>
  </xdr:twoCellAnchor>
  <xdr:twoCellAnchor>
    <xdr:from>
      <xdr:col>8</xdr:col>
      <xdr:colOff>758260</xdr:colOff>
      <xdr:row>10</xdr:row>
      <xdr:rowOff>8797</xdr:rowOff>
    </xdr:from>
    <xdr:to>
      <xdr:col>10</xdr:col>
      <xdr:colOff>1132106</xdr:colOff>
      <xdr:row>26</xdr:row>
      <xdr:rowOff>56210</xdr:rowOff>
    </xdr:to>
    <xdr:sp macro="" textlink="">
      <xdr:nvSpPr>
        <xdr:cNvPr id="4" name="Rectangle 3">
          <a:extLst>
            <a:ext uri="{FF2B5EF4-FFF2-40B4-BE49-F238E27FC236}">
              <a16:creationId xmlns:a16="http://schemas.microsoft.com/office/drawing/2014/main" id="{5008BB65-9BEC-461E-9AC0-CFFFCFBF82AC}"/>
            </a:ext>
          </a:extLst>
        </xdr:cNvPr>
        <xdr:cNvSpPr/>
      </xdr:nvSpPr>
      <xdr:spPr>
        <a:xfrm>
          <a:off x="8255964" y="3320204"/>
          <a:ext cx="2575179" cy="3283562"/>
        </a:xfrm>
        <a:prstGeom prst="rect">
          <a:avLst/>
        </a:prstGeom>
        <a:solidFill>
          <a:schemeClr val="accent2">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b="1"/>
            <a:t>Cost Reduction: The "CZ" Dead Weight</a:t>
          </a:r>
          <a:endParaRPr lang="en-IN" sz="1100" b="1"/>
        </a:p>
        <a:p>
          <a:endParaRPr lang="en-IN" b="1"/>
        </a:p>
        <a:p>
          <a:r>
            <a:rPr lang="en-IN" b="1"/>
            <a:t>Finding:</a:t>
          </a:r>
          <a:r>
            <a:rPr lang="en-IN"/>
            <a:t> The </a:t>
          </a:r>
          <a:r>
            <a:rPr lang="en-IN" b="1"/>
            <a:t>CZ category</a:t>
          </a:r>
          <a:r>
            <a:rPr lang="en-IN"/>
            <a:t> represents a significant portion of our physical SKU count but contributes minimal revenue while suffering from unpredictable demand.</a:t>
          </a:r>
        </a:p>
        <a:p>
          <a:endParaRPr lang="en-IN"/>
        </a:p>
        <a:p>
          <a:r>
            <a:rPr lang="en-IN" b="1"/>
            <a:t>Business Impact:</a:t>
          </a:r>
          <a:r>
            <a:rPr lang="en-IN"/>
            <a:t> These items clog valuable warehouse shelf space and tie up capital with a low return on investment.</a:t>
          </a:r>
        </a:p>
        <a:p>
          <a:endParaRPr lang="en-IN"/>
        </a:p>
        <a:p>
          <a:r>
            <a:rPr lang="en-IN" b="1"/>
            <a:t>Action Item:</a:t>
          </a:r>
          <a:r>
            <a:rPr lang="en-IN"/>
            <a:t> Implement a strict "Order-on-Demand" fulfillment model for non-critical CZ SKUs, or phase them out entirely to free up warehouse capacity and eliminate unnecessary holding costs.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hwarya Srivastava" refreshedDate="46209.608800000002" createdVersion="8" refreshedVersion="8" minRefreshableVersion="3" recordCount="1000" xr:uid="{0EA9289A-5071-4BEC-91F8-1E611CF6016D}">
  <cacheSource type="worksheet">
    <worksheetSource ref="A1:Y1001" sheet="Master dataset"/>
  </cacheSource>
  <cacheFields count="25">
    <cacheField name="Item_ID" numFmtId="0">
      <sharedItems/>
    </cacheField>
    <cacheField name="Item_Name" numFmtId="0">
      <sharedItems/>
    </cacheField>
    <cacheField name="Category" numFmtId="0">
      <sharedItems/>
    </cacheField>
    <cacheField name="Jan_Demand" numFmtId="0">
      <sharedItems containsSemiMixedTypes="0" containsString="0" containsNumber="1" containsInteger="1" minValue="24" maxValue="5276"/>
    </cacheField>
    <cacheField name="Feb_Demand" numFmtId="0">
      <sharedItems containsSemiMixedTypes="0" containsString="0" containsNumber="1" containsInteger="1" minValue="7" maxValue="5171"/>
    </cacheField>
    <cacheField name="Mar_Demand" numFmtId="0">
      <sharedItems containsSemiMixedTypes="0" containsString="0" containsNumber="1" containsInteger="1" minValue="2" maxValue="5271"/>
    </cacheField>
    <cacheField name="Apr_Demand" numFmtId="0">
      <sharedItems containsSemiMixedTypes="0" containsString="0" containsNumber="1" containsInteger="1" minValue="8" maxValue="5186"/>
    </cacheField>
    <cacheField name="May_Demand" numFmtId="0">
      <sharedItems containsSemiMixedTypes="0" containsString="0" containsNumber="1" containsInteger="1" minValue="9" maxValue="5384"/>
    </cacheField>
    <cacheField name="Jun_Demand" numFmtId="0">
      <sharedItems containsSemiMixedTypes="0" containsString="0" containsNumber="1" containsInteger="1" minValue="15" maxValue="5462"/>
    </cacheField>
    <cacheField name="Jul_Demand" numFmtId="0">
      <sharedItems containsSemiMixedTypes="0" containsString="0" containsNumber="1" containsInteger="1" minValue="6" maxValue="5504"/>
    </cacheField>
    <cacheField name="Aug_Demand" numFmtId="0">
      <sharedItems containsSemiMixedTypes="0" containsString="0" containsNumber="1" containsInteger="1" minValue="2" maxValue="5219"/>
    </cacheField>
    <cacheField name="Sep_Demand" numFmtId="0">
      <sharedItems containsSemiMixedTypes="0" containsString="0" containsNumber="1" containsInteger="1" minValue="2" maxValue="5240"/>
    </cacheField>
    <cacheField name="Oct_Demand" numFmtId="0">
      <sharedItems containsSemiMixedTypes="0" containsString="0" containsNumber="1" containsInteger="1" minValue="11" maxValue="5189"/>
    </cacheField>
    <cacheField name="Nov_Demand" numFmtId="0">
      <sharedItems containsSemiMixedTypes="0" containsString="0" containsNumber="1" containsInteger="1" minValue="9" maxValue="5255"/>
    </cacheField>
    <cacheField name="Dec_Demand" numFmtId="0">
      <sharedItems containsSemiMixedTypes="0" containsString="0" containsNumber="1" containsInteger="1" minValue="4" maxValue="5180"/>
    </cacheField>
    <cacheField name="Total_Annual_Units" numFmtId="0">
      <sharedItems containsSemiMixedTypes="0" containsString="0" containsNumber="1" containsInteger="1" minValue="581" maxValue="59967"/>
    </cacheField>
    <cacheField name="Price_Per_Unit" numFmtId="0">
      <sharedItems containsSemiMixedTypes="0" containsString="0" containsNumber="1" containsInteger="1" minValue="2" maxValue="1000"/>
    </cacheField>
    <cacheField name="Total_Sales_Value" numFmtId="0">
      <sharedItems containsSemiMixedTypes="0" containsString="0" containsNumber="1" containsInteger="1" minValue="1228" maxValue="59462000"/>
    </cacheField>
    <cacheField name="Cumulative %" numFmtId="10">
      <sharedItems containsSemiMixedTypes="0" containsString="0" containsNumber="1" minValue="5.5453390829086104E-2" maxValue="1"/>
    </cacheField>
    <cacheField name="ABC Class" numFmtId="2">
      <sharedItems count="3">
        <s v="A"/>
        <s v="B"/>
        <s v="C"/>
      </sharedItems>
    </cacheField>
    <cacheField name="Average" numFmtId="0">
      <sharedItems containsSemiMixedTypes="0" containsString="0" containsNumber="1" minValue="48.416666666666664" maxValue="4997.25"/>
    </cacheField>
    <cacheField name="Std. Deviation" numFmtId="0">
      <sharedItems containsSemiMixedTypes="0" containsString="0" containsNumber="1" minValue="3.7040109300185615" maxValue="312.46391306788848"/>
    </cacheField>
    <cacheField name="Coefficient of Variation" numFmtId="0">
      <sharedItems containsSemiMixedTypes="0" containsString="0" containsNumber="1" minValue="1.8922927733940321E-2" maxValue="1.0419567889221215"/>
    </cacheField>
    <cacheField name="XYZ Class" numFmtId="0">
      <sharedItems count="3">
        <s v="X"/>
        <s v="Y"/>
        <s v="Z"/>
      </sharedItems>
    </cacheField>
    <cacheField name="ABC-XYZ"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ITM_925"/>
    <s v="Ten And"/>
    <s v="Grocery"/>
    <n v="4991"/>
    <n v="4663"/>
    <n v="5068"/>
    <n v="4885"/>
    <n v="5127"/>
    <n v="4705"/>
    <n v="5130"/>
    <n v="5129"/>
    <n v="5127"/>
    <n v="4840"/>
    <n v="4774"/>
    <n v="5023"/>
    <n v="59462"/>
    <n v="1000"/>
    <n v="59462000"/>
    <n v="5.5453390829086104E-2"/>
    <x v="0"/>
    <n v="4955.166666666667"/>
    <n v="175.13830032983716"/>
    <n v="3.5344583161650227E-2"/>
    <x v="0"/>
    <s v="AX"/>
  </r>
  <r>
    <s v="ITM_512"/>
    <s v="Radio Race"/>
    <s v="Grocery"/>
    <n v="4185"/>
    <n v="4087"/>
    <n v="3660"/>
    <n v="3774"/>
    <n v="4391"/>
    <n v="3906"/>
    <n v="3699"/>
    <n v="4155"/>
    <n v="3936"/>
    <n v="3646"/>
    <n v="3959"/>
    <n v="4208"/>
    <n v="47606"/>
    <n v="1000"/>
    <n v="47606000"/>
    <n v="9.9850049599552515E-2"/>
    <x v="0"/>
    <n v="3967.1666666666665"/>
    <n v="242.3809298429131"/>
    <n v="6.1096734825756359E-2"/>
    <x v="0"/>
    <s v="AX"/>
  </r>
  <r>
    <s v="ITM_522"/>
    <s v="Pattern Book"/>
    <s v="Grocery"/>
    <n v="3079"/>
    <n v="3185"/>
    <n v="3081"/>
    <n v="2794"/>
    <n v="3313"/>
    <n v="3329"/>
    <n v="3168"/>
    <n v="3241"/>
    <n v="3309"/>
    <n v="2997"/>
    <n v="2781"/>
    <n v="2859"/>
    <n v="37136"/>
    <n v="1000"/>
    <n v="37136000"/>
    <n v="0.13448253962392004"/>
    <x v="0"/>
    <n v="3094.6666666666665"/>
    <n v="199.49223422266724"/>
    <n v="6.4463238115898505E-2"/>
    <x v="0"/>
    <s v="AX"/>
  </r>
  <r>
    <s v="ITM_395"/>
    <s v="Animal Key"/>
    <s v="Grocery"/>
    <n v="5180"/>
    <n v="4626"/>
    <n v="5010"/>
    <n v="4802"/>
    <n v="4856"/>
    <n v="5361"/>
    <n v="5504"/>
    <n v="4910"/>
    <n v="4631"/>
    <n v="4959"/>
    <n v="4867"/>
    <n v="4903"/>
    <n v="59609"/>
    <n v="500"/>
    <n v="29804500"/>
    <n v="0.16227778006261193"/>
    <x v="0"/>
    <n v="4967.416666666667"/>
    <n v="265.76697186319694"/>
    <n v="5.3502049394527053E-2"/>
    <x v="0"/>
    <s v="AX"/>
  </r>
  <r>
    <s v="ITM_169"/>
    <s v="Material Vote"/>
    <s v="Grocery"/>
    <n v="4871"/>
    <n v="4994"/>
    <n v="4740"/>
    <n v="4958"/>
    <n v="4428"/>
    <n v="4889"/>
    <n v="4754"/>
    <n v="4672"/>
    <n v="4477"/>
    <n v="4544"/>
    <n v="4553"/>
    <n v="4982"/>
    <n v="56862"/>
    <n v="500"/>
    <n v="28431000"/>
    <n v="0.1887921145058151"/>
    <x v="0"/>
    <n v="4738.5"/>
    <n v="203.30384783730617"/>
    <n v="4.2904684570498293E-2"/>
    <x v="0"/>
    <s v="AX"/>
  </r>
  <r>
    <s v="ITM_517"/>
    <s v="Health Hundred"/>
    <s v="Grocery"/>
    <n v="4831"/>
    <n v="4585"/>
    <n v="4898"/>
    <n v="4840"/>
    <n v="4423"/>
    <n v="4338"/>
    <n v="4369"/>
    <n v="4611"/>
    <n v="4493"/>
    <n v="4595"/>
    <n v="4822"/>
    <n v="4512"/>
    <n v="55317"/>
    <n v="500"/>
    <n v="27658500"/>
    <n v="0.2145860267564336"/>
    <x v="0"/>
    <n v="4609.75"/>
    <n v="195.58914498602329"/>
    <n v="4.2429447363961884E-2"/>
    <x v="0"/>
    <s v="AX"/>
  </r>
  <r>
    <s v="ITM_588"/>
    <s v="Station Recent"/>
    <s v="Grocery"/>
    <n v="4691"/>
    <n v="4352"/>
    <n v="4242"/>
    <n v="4244"/>
    <n v="4421"/>
    <n v="4365"/>
    <n v="4319"/>
    <n v="4616"/>
    <n v="4495"/>
    <n v="4181"/>
    <n v="4409"/>
    <n v="4393"/>
    <n v="52728"/>
    <n v="500"/>
    <n v="26364000"/>
    <n v="0.23917270725520637"/>
    <x v="0"/>
    <n v="4394"/>
    <n v="150.10662876768635"/>
    <n v="3.4161727075031033E-2"/>
    <x v="0"/>
    <s v="AX"/>
  </r>
  <r>
    <s v="ITM_852"/>
    <s v="Material Leg"/>
    <s v="Grocery"/>
    <n v="4778"/>
    <n v="4604"/>
    <n v="4416"/>
    <n v="3917"/>
    <n v="4129"/>
    <n v="4293"/>
    <n v="4360"/>
    <n v="4378"/>
    <n v="4313"/>
    <n v="4265"/>
    <n v="4508"/>
    <n v="4683"/>
    <n v="52644"/>
    <n v="500"/>
    <n v="26322000"/>
    <n v="0.26372021916875121"/>
    <x v="0"/>
    <n v="4387"/>
    <n v="237.5132532187319"/>
    <n v="5.4140244636136745E-2"/>
    <x v="0"/>
    <s v="AX"/>
  </r>
  <r>
    <s v="ITM_850"/>
    <s v="Opportunity Rock"/>
    <s v="Grocery"/>
    <n v="4107"/>
    <n v="3918"/>
    <n v="4206"/>
    <n v="3963"/>
    <n v="4148"/>
    <n v="3872"/>
    <n v="4134"/>
    <n v="4179"/>
    <n v="4049"/>
    <n v="4213"/>
    <n v="4263"/>
    <n v="3933"/>
    <n v="48985"/>
    <n v="500"/>
    <n v="24492500"/>
    <n v="0.28656156616147582"/>
    <x v="0"/>
    <n v="4082.0833333333335"/>
    <n v="131.71557396239226"/>
    <n v="3.2266752833494068E-2"/>
    <x v="0"/>
    <s v="AX"/>
  </r>
  <r>
    <s v="ITM_353"/>
    <s v="With Behavior"/>
    <s v="Grocery"/>
    <n v="2161"/>
    <n v="1545"/>
    <n v="1937"/>
    <n v="1644"/>
    <n v="1799"/>
    <n v="1819"/>
    <n v="1954"/>
    <n v="1916"/>
    <n v="1913"/>
    <n v="1923"/>
    <n v="1934"/>
    <n v="1816"/>
    <n v="22361"/>
    <n v="1000"/>
    <n v="22361000"/>
    <n v="0.30741510745388434"/>
    <x v="0"/>
    <n v="1863.4166666666667"/>
    <n v="157.77858959102574"/>
    <n v="8.4671663838482569E-2"/>
    <x v="0"/>
    <s v="AX"/>
  </r>
  <r>
    <s v="ITM_100"/>
    <s v="Military Understand"/>
    <s v="Grocery"/>
    <n v="3898"/>
    <n v="3208"/>
    <n v="3882"/>
    <n v="3726"/>
    <n v="3453"/>
    <n v="3710"/>
    <n v="3201"/>
    <n v="3862"/>
    <n v="3544"/>
    <n v="3562"/>
    <n v="3839"/>
    <n v="3977"/>
    <n v="43862"/>
    <n v="500"/>
    <n v="21931000"/>
    <n v="0.32786763704038813"/>
    <x v="0"/>
    <n v="3655.1666666666665"/>
    <n v="264.01302768590563"/>
    <n v="7.2230092841887458E-2"/>
    <x v="0"/>
    <s v="AX"/>
  </r>
  <r>
    <s v="ITM_581"/>
    <s v="Manage Into"/>
    <s v="Grocery"/>
    <n v="3310"/>
    <n v="3475"/>
    <n v="3735"/>
    <n v="3704"/>
    <n v="3392"/>
    <n v="3425"/>
    <n v="3432"/>
    <n v="3161"/>
    <n v="3536"/>
    <n v="3292"/>
    <n v="3270"/>
    <n v="3013"/>
    <n v="40745"/>
    <n v="500"/>
    <n v="20372500"/>
    <n v="0.34686673233932791"/>
    <x v="0"/>
    <n v="3395.4166666666665"/>
    <n v="207.53464478943943"/>
    <n v="6.1121996256553519E-2"/>
    <x v="0"/>
    <s v="AX"/>
  </r>
  <r>
    <s v="ITM_011"/>
    <s v="Water Hair"/>
    <s v="Grocery"/>
    <n v="3481"/>
    <n v="3407"/>
    <n v="3105"/>
    <n v="3339"/>
    <n v="3384"/>
    <n v="3175"/>
    <n v="3524"/>
    <n v="3643"/>
    <n v="3570"/>
    <n v="3514"/>
    <n v="3066"/>
    <n v="3087"/>
    <n v="40295"/>
    <n v="500"/>
    <n v="20147500"/>
    <n v="0.36565599593168963"/>
    <x v="0"/>
    <n v="3357.9166666666665"/>
    <n v="202.8951625093535"/>
    <n v="6.0422929646661919E-2"/>
    <x v="0"/>
    <s v="AX"/>
  </r>
  <r>
    <s v="ITM_183"/>
    <s v="Cover Brother"/>
    <s v="Grocery"/>
    <n v="1373"/>
    <n v="1797"/>
    <n v="1447"/>
    <n v="1631"/>
    <n v="1717"/>
    <n v="1642"/>
    <n v="1752"/>
    <n v="1339"/>
    <n v="1861"/>
    <n v="1729"/>
    <n v="1791"/>
    <n v="1643"/>
    <n v="19722"/>
    <n v="1000"/>
    <n v="19722000"/>
    <n v="0.38404844445227815"/>
    <x v="0"/>
    <n v="1643.5"/>
    <n v="171.03189495210853"/>
    <n v="0.10406564949930547"/>
    <x v="0"/>
    <s v="AX"/>
  </r>
  <r>
    <s v="ITM_721"/>
    <s v="Perform Operation"/>
    <s v="Grocery"/>
    <n v="2918"/>
    <n v="3336"/>
    <n v="3051"/>
    <n v="2947"/>
    <n v="3000"/>
    <n v="3101"/>
    <n v="3220"/>
    <n v="2791"/>
    <n v="3091"/>
    <n v="2744"/>
    <n v="3249"/>
    <n v="2956"/>
    <n v="36404"/>
    <n v="500"/>
    <n v="18202000"/>
    <n v="0.40102336322176163"/>
    <x v="0"/>
    <n v="3033.6666666666665"/>
    <n v="178.74935897320955"/>
    <n v="5.8921885168621985E-2"/>
    <x v="0"/>
    <s v="AX"/>
  </r>
  <r>
    <s v="ITM_648"/>
    <s v="Measure Begin"/>
    <s v="Grocery"/>
    <n v="2933"/>
    <n v="2953"/>
    <n v="3100"/>
    <n v="2795"/>
    <n v="2641"/>
    <n v="2754"/>
    <n v="2797"/>
    <n v="2780"/>
    <n v="3384"/>
    <n v="2676"/>
    <n v="2901"/>
    <n v="3186"/>
    <n v="34900"/>
    <n v="500"/>
    <n v="17450000"/>
    <n v="0.41729697779859309"/>
    <x v="0"/>
    <n v="2908.3333333333335"/>
    <n v="220.27352142830117"/>
    <n v="7.5738746622911565E-2"/>
    <x v="0"/>
    <s v="AX"/>
  </r>
  <r>
    <s v="ITM_302"/>
    <s v="Southern Away"/>
    <s v="Grocery"/>
    <n v="2632"/>
    <n v="2926"/>
    <n v="2619"/>
    <n v="2677"/>
    <n v="2806"/>
    <n v="2461"/>
    <n v="2559"/>
    <n v="2549"/>
    <n v="2863"/>
    <n v="2369"/>
    <n v="2649"/>
    <n v="2713"/>
    <n v="31823"/>
    <n v="500"/>
    <n v="15911500"/>
    <n v="0.4321358097951119"/>
    <x v="0"/>
    <n v="2651.9166666666665"/>
    <n v="160.95875153892595"/>
    <n v="6.0695252442167974E-2"/>
    <x v="0"/>
    <s v="AX"/>
  </r>
  <r>
    <s v="ITM_238"/>
    <s v="Effect Certainly"/>
    <s v="Grocery"/>
    <n v="2869"/>
    <n v="2380"/>
    <n v="2673"/>
    <n v="2364"/>
    <n v="2502"/>
    <n v="2665"/>
    <n v="2447"/>
    <n v="2453"/>
    <n v="2794"/>
    <n v="2548"/>
    <n v="2264"/>
    <n v="2734"/>
    <n v="30693"/>
    <n v="500"/>
    <n v="15346500"/>
    <n v="0.44644773106177921"/>
    <x v="0"/>
    <n v="2557.75"/>
    <n v="188.39133593280096"/>
    <n v="7.365510152782756E-2"/>
    <x v="0"/>
    <s v="AX"/>
  </r>
  <r>
    <s v="ITM_218"/>
    <s v="Themselves Like"/>
    <s v="Grocery"/>
    <n v="2269"/>
    <n v="2740"/>
    <n v="2283"/>
    <n v="2554"/>
    <n v="2599"/>
    <n v="2716"/>
    <n v="2811"/>
    <n v="2336"/>
    <n v="2156"/>
    <n v="2470"/>
    <n v="2348"/>
    <n v="2636"/>
    <n v="29918"/>
    <n v="500"/>
    <n v="14959000"/>
    <n v="0.46039827550045093"/>
    <x v="0"/>
    <n v="2493.1666666666665"/>
    <n v="213.48103315084344"/>
    <n v="8.5626458914704245E-2"/>
    <x v="0"/>
    <s v="AX"/>
  </r>
  <r>
    <s v="ITM_544"/>
    <s v="Reach Form"/>
    <s v="Grocery"/>
    <n v="894"/>
    <n v="1169"/>
    <n v="1217"/>
    <n v="1024"/>
    <n v="1089"/>
    <n v="1206"/>
    <n v="1079"/>
    <n v="1016"/>
    <n v="1394"/>
    <n v="1201"/>
    <n v="1223"/>
    <n v="1001"/>
    <n v="13513"/>
    <n v="1000"/>
    <n v="13513000"/>
    <n v="0.47300030150484773"/>
    <x v="0"/>
    <n v="1126.0833333333333"/>
    <n v="134.47504556157557"/>
    <n v="0.11941837835705668"/>
    <x v="0"/>
    <s v="AX"/>
  </r>
  <r>
    <s v="ITM_906"/>
    <s v="Bank Hot"/>
    <s v="Grocery"/>
    <n v="2541"/>
    <n v="2231"/>
    <n v="2356"/>
    <n v="2137"/>
    <n v="2268"/>
    <n v="2356"/>
    <n v="2050"/>
    <n v="1672"/>
    <n v="2080"/>
    <n v="2096"/>
    <n v="2188"/>
    <n v="2276"/>
    <n v="26251"/>
    <n v="500"/>
    <n v="13125500"/>
    <n v="0.48524095068124895"/>
    <x v="0"/>
    <n v="2187.5833333333335"/>
    <n v="214.28038485436164"/>
    <n v="9.7953015818534134E-2"/>
    <x v="0"/>
    <s v="AX"/>
  </r>
  <r>
    <s v="ITM_619"/>
    <s v="Customer Read"/>
    <s v="Grocery"/>
    <n v="2188"/>
    <n v="2264"/>
    <n v="2385"/>
    <n v="2095"/>
    <n v="2216"/>
    <n v="2041"/>
    <n v="2117"/>
    <n v="2169"/>
    <n v="2016"/>
    <n v="2174"/>
    <n v="2098"/>
    <n v="2267"/>
    <n v="26030"/>
    <n v="500"/>
    <n v="13015000"/>
    <n v="0.49737854917508628"/>
    <x v="0"/>
    <n v="2169.1666666666665"/>
    <n v="104.83479066289651"/>
    <n v="4.8329523163840114E-2"/>
    <x v="0"/>
    <s v="AX"/>
  </r>
  <r>
    <s v="ITM_971"/>
    <s v="Marriage Debate"/>
    <s v="Grocery"/>
    <n v="2217"/>
    <n v="2064"/>
    <n v="2356"/>
    <n v="1778"/>
    <n v="2214"/>
    <n v="2179"/>
    <n v="2123"/>
    <n v="2032"/>
    <n v="1437"/>
    <n v="2009"/>
    <n v="2378"/>
    <n v="2207"/>
    <n v="24994"/>
    <n v="500"/>
    <n v="12497000"/>
    <n v="0.50903306845111285"/>
    <x v="0"/>
    <n v="2082.8333333333335"/>
    <n v="259.65740832290822"/>
    <n v="0.12466547570916614"/>
    <x v="0"/>
    <s v="AX"/>
  </r>
  <r>
    <s v="ITM_487"/>
    <s v="Woman Above"/>
    <s v="Grocery"/>
    <n v="878"/>
    <n v="1125"/>
    <n v="1250"/>
    <n v="1185"/>
    <n v="527"/>
    <n v="939"/>
    <n v="1057"/>
    <n v="770"/>
    <n v="1318"/>
    <n v="1204"/>
    <n v="879"/>
    <n v="973"/>
    <n v="12105"/>
    <n v="1000"/>
    <n v="12105000"/>
    <n v="0.52032201426501223"/>
    <x v="0"/>
    <n v="1008.75"/>
    <n v="227.24121145122024"/>
    <n v="0.22527009809290729"/>
    <x v="1"/>
    <s v="AY"/>
  </r>
  <r>
    <s v="ITM_446"/>
    <s v="Modern Far"/>
    <s v="Grocery"/>
    <n v="1649"/>
    <n v="1833"/>
    <n v="1844"/>
    <n v="1402"/>
    <n v="1936"/>
    <n v="1524"/>
    <n v="1922"/>
    <n v="1861"/>
    <n v="1852"/>
    <n v="2045"/>
    <n v="2365"/>
    <n v="2111"/>
    <n v="22344"/>
    <n v="500"/>
    <n v="11172000"/>
    <n v="0.53074085793563464"/>
    <x v="0"/>
    <n v="1862"/>
    <n v="257.62093364970451"/>
    <n v="0.13835710722325698"/>
    <x v="0"/>
    <s v="AX"/>
  </r>
  <r>
    <s v="ITM_356"/>
    <s v="Take House"/>
    <s v="Grocery"/>
    <n v="1745"/>
    <n v="1699"/>
    <n v="1857"/>
    <n v="1941"/>
    <n v="1809"/>
    <n v="2003"/>
    <n v="1429"/>
    <n v="1891"/>
    <n v="1384"/>
    <n v="1515"/>
    <n v="1536"/>
    <n v="1669"/>
    <n v="20478"/>
    <n v="500"/>
    <n v="10239000"/>
    <n v="0.54028959946298005"/>
    <x v="0"/>
    <n v="1706.5"/>
    <n v="204.45026067703873"/>
    <n v="0.11980677449577423"/>
    <x v="0"/>
    <s v="AX"/>
  </r>
  <r>
    <s v="ITM_605"/>
    <s v="Born Happen"/>
    <s v="Apparel"/>
    <n v="583"/>
    <n v="815"/>
    <n v="499"/>
    <n v="612"/>
    <n v="571"/>
    <n v="797"/>
    <n v="793"/>
    <n v="819"/>
    <n v="951"/>
    <n v="916"/>
    <n v="1051"/>
    <n v="1027"/>
    <n v="9434"/>
    <n v="1000"/>
    <n v="9434000"/>
    <n v="0.54908760977345727"/>
    <x v="0"/>
    <n v="786.16666666666663"/>
    <n v="184.54111802637445"/>
    <n v="0.23473536318809557"/>
    <x v="1"/>
    <s v="AY"/>
  </r>
  <r>
    <s v="ITM_115"/>
    <s v="Few Think"/>
    <s v="Apparel"/>
    <n v="781"/>
    <n v="701"/>
    <n v="684"/>
    <n v="511"/>
    <n v="705"/>
    <n v="718"/>
    <n v="717"/>
    <n v="467"/>
    <n v="618"/>
    <n v="481"/>
    <n v="630"/>
    <n v="866"/>
    <n v="7879"/>
    <n v="1000"/>
    <n v="7879000"/>
    <n v="0.55643544984513948"/>
    <x v="0"/>
    <n v="656.58333333333337"/>
    <n v="121.35107471025282"/>
    <n v="0.1848220455036215"/>
    <x v="0"/>
    <s v="AX"/>
  </r>
  <r>
    <s v="ITM_587"/>
    <s v="And Field"/>
    <s v="Grocery"/>
    <n v="1235"/>
    <n v="1344"/>
    <n v="1264"/>
    <n v="959"/>
    <n v="1549"/>
    <n v="1124"/>
    <n v="1373"/>
    <n v="1303"/>
    <n v="1122"/>
    <n v="1107"/>
    <n v="987"/>
    <n v="1188"/>
    <n v="14555"/>
    <n v="500"/>
    <n v="7277500"/>
    <n v="0.56322233982123648"/>
    <x v="0"/>
    <n v="1212.9166666666667"/>
    <n v="168.00890578848055"/>
    <n v="0.13851644585790218"/>
    <x v="0"/>
    <s v="AX"/>
  </r>
  <r>
    <s v="ITM_689"/>
    <s v="Address Effect"/>
    <s v="Grocery"/>
    <n v="1137"/>
    <n v="1382"/>
    <n v="588"/>
    <n v="934"/>
    <n v="1171"/>
    <n v="1325"/>
    <n v="1404"/>
    <n v="1439"/>
    <n v="1052"/>
    <n v="951"/>
    <n v="859"/>
    <n v="845"/>
    <n v="13087"/>
    <n v="500"/>
    <n v="6543500"/>
    <n v="0.56932471214120761"/>
    <x v="0"/>
    <n v="1090.5833333333333"/>
    <n v="266.31200373496733"/>
    <n v="0.24419225527772662"/>
    <x v="1"/>
    <s v="AY"/>
  </r>
  <r>
    <s v="ITM_778"/>
    <s v="Late Here"/>
    <s v="Grocery"/>
    <n v="1639"/>
    <n v="1229"/>
    <n v="1252"/>
    <n v="1023"/>
    <n v="1290"/>
    <n v="990"/>
    <n v="1083"/>
    <n v="810"/>
    <n v="804"/>
    <n v="1265"/>
    <n v="1131"/>
    <n v="473"/>
    <n v="12989"/>
    <n v="500"/>
    <n v="6494500"/>
    <n v="0.57538138777841286"/>
    <x v="0"/>
    <n v="1082.4166666666667"/>
    <n v="297.5666337396575"/>
    <n v="0.27490950842065515"/>
    <x v="1"/>
    <s v="AY"/>
  </r>
  <r>
    <s v="ITM_986"/>
    <s v="Public By"/>
    <s v="Apparel"/>
    <n v="1188"/>
    <n v="1108"/>
    <n v="1152"/>
    <n v="908"/>
    <n v="1240"/>
    <n v="714"/>
    <n v="1129"/>
    <n v="1153"/>
    <n v="1191"/>
    <n v="847"/>
    <n v="907"/>
    <n v="1241"/>
    <n v="12778"/>
    <n v="500"/>
    <n v="6389000"/>
    <n v="0.58133967565986711"/>
    <x v="0"/>
    <n v="1064.8333333333333"/>
    <n v="174.30424463268139"/>
    <n v="0.16369157423635755"/>
    <x v="0"/>
    <s v="AX"/>
  </r>
  <r>
    <s v="ITM_219"/>
    <s v="Lay Building"/>
    <s v="Grocery"/>
    <n v="5132"/>
    <n v="5001"/>
    <n v="5044"/>
    <n v="5171"/>
    <n v="4899"/>
    <n v="4962"/>
    <n v="4896"/>
    <n v="5150"/>
    <n v="4804"/>
    <n v="4854"/>
    <n v="4874"/>
    <n v="5180"/>
    <n v="59967"/>
    <n v="100"/>
    <n v="5996700"/>
    <n v="0.5869321103035855"/>
    <x v="0"/>
    <n v="4997.25"/>
    <n v="135.33804477543026"/>
    <n v="2.708250433246891E-2"/>
    <x v="0"/>
    <s v="AX"/>
  </r>
  <r>
    <s v="ITM_361"/>
    <s v="Serve Ready"/>
    <s v="Grocery"/>
    <n v="4715"/>
    <n v="4847"/>
    <n v="4634"/>
    <n v="4806"/>
    <n v="5023"/>
    <n v="4655"/>
    <n v="5000"/>
    <n v="5001"/>
    <n v="4872"/>
    <n v="4692"/>
    <n v="5255"/>
    <n v="5126"/>
    <n v="58626"/>
    <n v="100"/>
    <n v="5862600"/>
    <n v="0.59239948525018327"/>
    <x v="0"/>
    <n v="4885.5"/>
    <n v="197.85371088026352"/>
    <n v="4.0498149806624403E-2"/>
    <x v="0"/>
    <s v="AX"/>
  </r>
  <r>
    <s v="ITM_332"/>
    <s v="Generation Outside"/>
    <s v="Apparel"/>
    <n v="1130"/>
    <n v="789"/>
    <n v="1156"/>
    <n v="907"/>
    <n v="765"/>
    <n v="1005"/>
    <n v="1163"/>
    <n v="811"/>
    <n v="1085"/>
    <n v="1073"/>
    <n v="1054"/>
    <n v="769"/>
    <n v="11707"/>
    <n v="500"/>
    <n v="5853500"/>
    <n v="0.59785837366998174"/>
    <x v="0"/>
    <n v="975.58333333333337"/>
    <n v="157.71750253557957"/>
    <n v="0.16166481852113734"/>
    <x v="0"/>
    <s v="AX"/>
  </r>
  <r>
    <s v="ITM_651"/>
    <s v="About Response"/>
    <s v="Grocery"/>
    <n v="5084"/>
    <n v="4737"/>
    <n v="5271"/>
    <n v="4872"/>
    <n v="4551"/>
    <n v="4683"/>
    <n v="4957"/>
    <n v="4804"/>
    <n v="5185"/>
    <n v="4583"/>
    <n v="4527"/>
    <n v="5053"/>
    <n v="58307"/>
    <n v="100"/>
    <n v="5830700"/>
    <n v="0.60329599914351362"/>
    <x v="0"/>
    <n v="4858.916666666667"/>
    <n v="253.01866921177373"/>
    <n v="5.2073062077302633E-2"/>
    <x v="0"/>
    <s v="AX"/>
  </r>
  <r>
    <s v="ITM_002"/>
    <s v="Central Him"/>
    <s v="Grocery"/>
    <n v="4792"/>
    <n v="4964"/>
    <n v="4628"/>
    <n v="4660"/>
    <n v="4897"/>
    <n v="5015"/>
    <n v="4805"/>
    <n v="4686"/>
    <n v="4896"/>
    <n v="4536"/>
    <n v="4520"/>
    <n v="5054"/>
    <n v="57453"/>
    <n v="100"/>
    <n v="5745300"/>
    <n v="0.60865398182708208"/>
    <x v="0"/>
    <n v="4787.75"/>
    <n v="182.11541046070957"/>
    <n v="3.8037786112622748E-2"/>
    <x v="0"/>
    <s v="AX"/>
  </r>
  <r>
    <s v="ITM_280"/>
    <s v="According Off"/>
    <s v="Apparel"/>
    <n v="986"/>
    <n v="1247"/>
    <n v="1185"/>
    <n v="1119"/>
    <n v="707"/>
    <n v="883"/>
    <n v="837"/>
    <n v="689"/>
    <n v="813"/>
    <n v="903"/>
    <n v="1221"/>
    <n v="877"/>
    <n v="11467"/>
    <n v="500"/>
    <n v="5733500"/>
    <n v="0.61400096000337223"/>
    <x v="0"/>
    <n v="955.58333333333337"/>
    <n v="194.72426114582595"/>
    <n v="0.20377527982470667"/>
    <x v="1"/>
    <s v="AY"/>
  </r>
  <r>
    <s v="ITM_817"/>
    <s v="Former Between"/>
    <s v="Grocery"/>
    <n v="4795"/>
    <n v="5020"/>
    <n v="5078"/>
    <n v="4710"/>
    <n v="4281"/>
    <n v="4542"/>
    <n v="4937"/>
    <n v="4694"/>
    <n v="4361"/>
    <n v="5042"/>
    <n v="4740"/>
    <n v="4632"/>
    <n v="56832"/>
    <n v="100"/>
    <n v="5683200"/>
    <n v="0.61930102913592511"/>
    <x v="0"/>
    <n v="4736"/>
    <n v="258.26272739912815"/>
    <n v="5.4531825886640233E-2"/>
    <x v="0"/>
    <s v="AX"/>
  </r>
  <r>
    <s v="ITM_072"/>
    <s v="Boy A"/>
    <s v="Grocery"/>
    <n v="4906"/>
    <n v="4568"/>
    <n v="4784"/>
    <n v="4726"/>
    <n v="4838"/>
    <n v="4423"/>
    <n v="4877"/>
    <n v="5036"/>
    <n v="4633"/>
    <n v="4617"/>
    <n v="4824"/>
    <n v="4599"/>
    <n v="56831"/>
    <n v="100"/>
    <n v="5683100"/>
    <n v="0.62460100500994187"/>
    <x v="0"/>
    <n v="4735.916666666667"/>
    <n v="172.95951093895482"/>
    <n v="3.6520809615657963E-2"/>
    <x v="0"/>
    <s v="AX"/>
  </r>
  <r>
    <s v="ITM_834"/>
    <s v="Research Turn"/>
    <s v="Grocery"/>
    <n v="4633"/>
    <n v="4369"/>
    <n v="4519"/>
    <n v="4702"/>
    <n v="4412"/>
    <n v="4615"/>
    <n v="4511"/>
    <n v="4700"/>
    <n v="5040"/>
    <n v="4553"/>
    <n v="4899"/>
    <n v="4697"/>
    <n v="55650"/>
    <n v="100"/>
    <n v="5565000"/>
    <n v="0.62979084255263906"/>
    <x v="0"/>
    <n v="4637.5"/>
    <n v="191.32290648391933"/>
    <n v="4.1255613257987996E-2"/>
    <x v="0"/>
    <s v="AX"/>
  </r>
  <r>
    <s v="ITM_988"/>
    <s v="Fill Success"/>
    <s v="Apparel"/>
    <n v="823"/>
    <n v="923"/>
    <n v="1124"/>
    <n v="970"/>
    <n v="762"/>
    <n v="863"/>
    <n v="960"/>
    <n v="900"/>
    <n v="879"/>
    <n v="731"/>
    <n v="1068"/>
    <n v="1001"/>
    <n v="11004"/>
    <n v="500"/>
    <n v="5502000"/>
    <n v="0.63492192721749452"/>
    <x v="0"/>
    <n v="917"/>
    <n v="116.58239380564522"/>
    <n v="0.12713456249252478"/>
    <x v="0"/>
    <s v="AX"/>
  </r>
  <r>
    <s v="ITM_440"/>
    <s v="Strong For"/>
    <s v="Apparel"/>
    <n v="964"/>
    <n v="1073"/>
    <n v="958"/>
    <n v="1097"/>
    <n v="1062"/>
    <n v="776"/>
    <n v="768"/>
    <n v="677"/>
    <n v="1234"/>
    <n v="698"/>
    <n v="776"/>
    <n v="894"/>
    <n v="10977"/>
    <n v="500"/>
    <n v="5488500"/>
    <n v="0.64004042197995514"/>
    <x v="0"/>
    <n v="914.75"/>
    <n v="178.41021424081791"/>
    <n v="0.19503712953355332"/>
    <x v="0"/>
    <s v="AX"/>
  </r>
  <r>
    <s v="ITM_575"/>
    <s v="Book Reach"/>
    <s v="Apparel"/>
    <n v="798"/>
    <n v="1052"/>
    <n v="681"/>
    <n v="814"/>
    <n v="804"/>
    <n v="892"/>
    <n v="1035"/>
    <n v="933"/>
    <n v="1253"/>
    <n v="669"/>
    <n v="1127"/>
    <n v="749"/>
    <n v="10807"/>
    <n v="500"/>
    <n v="5403500"/>
    <n v="0.64507964698659759"/>
    <x v="0"/>
    <n v="900.58333333333337"/>
    <n v="183.34143921474293"/>
    <n v="0.20358075974617518"/>
    <x v="1"/>
    <s v="AY"/>
  </r>
  <r>
    <s v="ITM_994"/>
    <s v="Say Medical"/>
    <s v="Apparel"/>
    <n v="786"/>
    <n v="713"/>
    <n v="1069"/>
    <n v="1012"/>
    <n v="732"/>
    <n v="1217"/>
    <n v="987"/>
    <n v="963"/>
    <n v="916"/>
    <n v="798"/>
    <n v="728"/>
    <n v="872"/>
    <n v="10793"/>
    <n v="500"/>
    <n v="5396500"/>
    <n v="0.65011234389570194"/>
    <x v="0"/>
    <n v="899.41666666666663"/>
    <n v="156.76992889601166"/>
    <n v="0.17430178326249793"/>
    <x v="0"/>
    <s v="AX"/>
  </r>
  <r>
    <s v="ITM_386"/>
    <s v="Pressure Tree"/>
    <s v="Grocery"/>
    <n v="4387"/>
    <n v="3876"/>
    <n v="4119"/>
    <n v="4626"/>
    <n v="4411"/>
    <n v="4319"/>
    <n v="4800"/>
    <n v="4409"/>
    <n v="4295"/>
    <n v="4489"/>
    <n v="4219"/>
    <n v="4660"/>
    <n v="52610"/>
    <n v="100"/>
    <n v="5261000"/>
    <n v="0.65501867548817816"/>
    <x v="0"/>
    <n v="4384.166666666667"/>
    <n v="250.06247704172335"/>
    <n v="5.7037630193892415E-2"/>
    <x v="0"/>
    <s v="AX"/>
  </r>
  <r>
    <s v="ITM_381"/>
    <s v="Sign Risk"/>
    <s v="Grocery"/>
    <n v="4349"/>
    <n v="4623"/>
    <n v="4436"/>
    <n v="4204"/>
    <n v="4190"/>
    <n v="4598"/>
    <n v="4164"/>
    <n v="4779"/>
    <n v="4327"/>
    <n v="4264"/>
    <n v="4242"/>
    <n v="4193"/>
    <n v="52369"/>
    <n v="100"/>
    <n v="5236900"/>
    <n v="0.6599025317734164"/>
    <x v="0"/>
    <n v="4364.083333333333"/>
    <n v="202.44885250054611"/>
    <n v="4.6389776967414947E-2"/>
    <x v="0"/>
    <s v="AX"/>
  </r>
  <r>
    <s v="ITM_344"/>
    <s v="Trouble Sure"/>
    <s v="Grocery"/>
    <n v="4033"/>
    <n v="3927"/>
    <n v="4649"/>
    <n v="4137"/>
    <n v="4310"/>
    <n v="4658"/>
    <n v="4704"/>
    <n v="3982"/>
    <n v="4086"/>
    <n v="4116"/>
    <n v="4253"/>
    <n v="4360"/>
    <n v="51215"/>
    <n v="100"/>
    <n v="5121500"/>
    <n v="0.66467876770781431"/>
    <x v="0"/>
    <n v="4267.916666666667"/>
    <n v="273.77843009974106"/>
    <n v="6.4148026187579657E-2"/>
    <x v="0"/>
    <s v="AX"/>
  </r>
  <r>
    <s v="ITM_314"/>
    <s v="Unit It"/>
    <s v="Grocery"/>
    <n v="3960"/>
    <n v="4376"/>
    <n v="4281"/>
    <n v="4337"/>
    <n v="4153"/>
    <n v="4460"/>
    <n v="4177"/>
    <n v="3716"/>
    <n v="4376"/>
    <n v="4203"/>
    <n v="3732"/>
    <n v="3835"/>
    <n v="49606"/>
    <n v="100"/>
    <n v="4960600"/>
    <n v="0.66930495065737472"/>
    <x v="0"/>
    <n v="4133.833333333333"/>
    <n v="260.97677825407914"/>
    <n v="6.3131906201849566E-2"/>
    <x v="0"/>
    <s v="AX"/>
  </r>
  <r>
    <s v="ITM_652"/>
    <s v="Mrs No"/>
    <s v="Grocery"/>
    <n v="4382"/>
    <n v="3896"/>
    <n v="3698"/>
    <n v="4298"/>
    <n v="4161"/>
    <n v="3945"/>
    <n v="4076"/>
    <n v="4270"/>
    <n v="4140"/>
    <n v="4143"/>
    <n v="3994"/>
    <n v="3845"/>
    <n v="48848"/>
    <n v="100"/>
    <n v="4884800"/>
    <n v="0.67386044363645248"/>
    <x v="0"/>
    <n v="4070.6666666666665"/>
    <n v="201.93488299374371"/>
    <n v="4.9607324679105072E-2"/>
    <x v="0"/>
    <s v="AX"/>
  </r>
  <r>
    <s v="ITM_836"/>
    <s v="Strategy Concern"/>
    <s v="Grocery"/>
    <n v="4114"/>
    <n v="4045"/>
    <n v="4088"/>
    <n v="3896"/>
    <n v="3860"/>
    <n v="3916"/>
    <n v="4271"/>
    <n v="4094"/>
    <n v="3993"/>
    <n v="4012"/>
    <n v="3898"/>
    <n v="3866"/>
    <n v="48053"/>
    <n v="100"/>
    <n v="4805300"/>
    <n v="0.67834179607920597"/>
    <x v="0"/>
    <n v="4004.4166666666665"/>
    <n v="124.62048447793467"/>
    <n v="3.1120758615179406E-2"/>
    <x v="0"/>
    <s v="AX"/>
  </r>
  <r>
    <s v="ITM_521"/>
    <s v="Nature Nice"/>
    <s v="Grocery"/>
    <n v="3602"/>
    <n v="3796"/>
    <n v="3870"/>
    <n v="3680"/>
    <n v="3537"/>
    <n v="3784"/>
    <n v="3820"/>
    <n v="4052"/>
    <n v="3974"/>
    <n v="4063"/>
    <n v="3918"/>
    <n v="3937"/>
    <n v="46033"/>
    <n v="100"/>
    <n v="4603300"/>
    <n v="0.68263476627872044"/>
    <x v="0"/>
    <n v="3836.0833333333335"/>
    <n v="167.43056000695461"/>
    <n v="4.3646225970140014E-2"/>
    <x v="0"/>
    <s v="AX"/>
  </r>
  <r>
    <s v="ITM_019"/>
    <s v="Affect Some"/>
    <s v="Grocery"/>
    <n v="3875"/>
    <n v="3473"/>
    <n v="3437"/>
    <n v="3756"/>
    <n v="4021"/>
    <n v="3596"/>
    <n v="3812"/>
    <n v="3989"/>
    <n v="3989"/>
    <n v="3635"/>
    <n v="3857"/>
    <n v="4244"/>
    <n v="45684"/>
    <n v="100"/>
    <n v="4568400"/>
    <n v="0.68689518924908133"/>
    <x v="0"/>
    <n v="3807"/>
    <n v="240.32629334454288"/>
    <n v="6.3127473954437324E-2"/>
    <x v="0"/>
    <s v="AX"/>
  </r>
  <r>
    <s v="ITM_882"/>
    <s v="Level Share"/>
    <s v="Grocery"/>
    <n v="3846"/>
    <n v="3544"/>
    <n v="3790"/>
    <n v="3832"/>
    <n v="3914"/>
    <n v="3935"/>
    <n v="3604"/>
    <n v="4004"/>
    <n v="3509"/>
    <n v="3695"/>
    <n v="3713"/>
    <n v="3883"/>
    <n v="45269"/>
    <n v="100"/>
    <n v="4526900"/>
    <n v="0.69111690992689556"/>
    <x v="0"/>
    <n v="3772.4166666666665"/>
    <n v="159.84734668559327"/>
    <n v="4.2372664742475412E-2"/>
    <x v="0"/>
    <s v="AX"/>
  </r>
  <r>
    <s v="ITM_088"/>
    <s v="Organization Step"/>
    <s v="Grocery"/>
    <n v="3635"/>
    <n v="3993"/>
    <n v="3793"/>
    <n v="3996"/>
    <n v="3632"/>
    <n v="3837"/>
    <n v="3815"/>
    <n v="3841"/>
    <n v="3602"/>
    <n v="3873"/>
    <n v="3675"/>
    <n v="3554"/>
    <n v="45246"/>
    <n v="100"/>
    <n v="4524600"/>
    <n v="0.69533648565837591"/>
    <x v="0"/>
    <n v="3770.5"/>
    <n v="149.1396538940478"/>
    <n v="3.9554343958108418E-2"/>
    <x v="0"/>
    <s v="AX"/>
  </r>
  <r>
    <s v="ITM_253"/>
    <s v="Produce Win"/>
    <s v="Grocery"/>
    <n v="3476"/>
    <n v="3942"/>
    <n v="3829"/>
    <n v="3824"/>
    <n v="3620"/>
    <n v="3628"/>
    <n v="4033"/>
    <n v="4109"/>
    <n v="3329"/>
    <n v="3807"/>
    <n v="3820"/>
    <n v="3628"/>
    <n v="45045"/>
    <n v="100"/>
    <n v="4504500"/>
    <n v="0.69953731642406858"/>
    <x v="0"/>
    <n v="3753.75"/>
    <n v="226.53842740451142"/>
    <n v="6.0349897410459256E-2"/>
    <x v="0"/>
    <s v="AX"/>
  </r>
  <r>
    <s v="ITM_249"/>
    <s v="Will How"/>
    <s v="Grocery"/>
    <n v="3473"/>
    <n v="3864"/>
    <n v="3446"/>
    <n v="3792"/>
    <n v="3779"/>
    <n v="3659"/>
    <n v="3557"/>
    <n v="4028"/>
    <n v="3632"/>
    <n v="3593"/>
    <n v="3742"/>
    <n v="3564"/>
    <n v="44129"/>
    <n v="100"/>
    <n v="4412900"/>
    <n v="0.70365272237054988"/>
    <x v="1"/>
    <n v="3677.4166666666665"/>
    <n v="169.91252205624855"/>
    <n v="4.6204316088626136E-2"/>
    <x v="0"/>
    <s v="BX"/>
  </r>
  <r>
    <s v="ITM_418"/>
    <s v="Finally Turn"/>
    <s v="Toys"/>
    <n v="364"/>
    <n v="373"/>
    <n v="350"/>
    <n v="362"/>
    <n v="358"/>
    <n v="377"/>
    <n v="373"/>
    <n v="386"/>
    <n v="382"/>
    <n v="350"/>
    <n v="337"/>
    <n v="391"/>
    <n v="4403"/>
    <n v="1000"/>
    <n v="4403000"/>
    <n v="0.70775889572194184"/>
    <x v="1"/>
    <n v="366.91666666666669"/>
    <n v="16.312060977489427"/>
    <n v="4.4457127351776766E-2"/>
    <x v="0"/>
    <s v="BX"/>
  </r>
  <r>
    <s v="ITM_228"/>
    <s v="Him Mr"/>
    <s v="Apparel"/>
    <n v="556"/>
    <n v="619"/>
    <n v="694"/>
    <n v="648"/>
    <n v="498"/>
    <n v="908"/>
    <n v="684"/>
    <n v="959"/>
    <n v="830"/>
    <n v="937"/>
    <n v="703"/>
    <n v="577"/>
    <n v="8613"/>
    <n v="500"/>
    <n v="4306500"/>
    <n v="0.71177507458584588"/>
    <x v="1"/>
    <n v="717.75"/>
    <n v="155.46652665153007"/>
    <n v="0.21660261463118088"/>
    <x v="1"/>
    <s v="BY"/>
  </r>
  <r>
    <s v="ITM_198"/>
    <s v="Buy Media"/>
    <s v="Grocery"/>
    <n v="2986"/>
    <n v="3291"/>
    <n v="3494"/>
    <n v="3433"/>
    <n v="3595"/>
    <n v="3386"/>
    <n v="3468"/>
    <n v="3308"/>
    <n v="3541"/>
    <n v="3131"/>
    <n v="3269"/>
    <n v="3179"/>
    <n v="40081"/>
    <n v="100"/>
    <n v="4008100"/>
    <n v="0.7155129699775592"/>
    <x v="1"/>
    <n v="3340.0833333333335"/>
    <n v="180.82510803804237"/>
    <n v="5.4137903157518735E-2"/>
    <x v="0"/>
    <s v="BX"/>
  </r>
  <r>
    <s v="ITM_124"/>
    <s v="Issue Country"/>
    <s v="Grocery"/>
    <n v="2824"/>
    <n v="3453"/>
    <n v="3313"/>
    <n v="3313"/>
    <n v="3285"/>
    <n v="3517"/>
    <n v="3369"/>
    <n v="3207"/>
    <n v="3378"/>
    <n v="3310"/>
    <n v="3397"/>
    <n v="3576"/>
    <n v="39942"/>
    <n v="100"/>
    <n v="3994200"/>
    <n v="0.71923790243273289"/>
    <x v="1"/>
    <n v="3328.5"/>
    <n v="189.03318611964792"/>
    <n v="5.6792304677677007E-2"/>
    <x v="0"/>
    <s v="BX"/>
  </r>
  <r>
    <s v="ITM_580"/>
    <s v="Per Appear"/>
    <s v="Grocery"/>
    <n v="3388"/>
    <n v="3398"/>
    <n v="3390"/>
    <n v="3435"/>
    <n v="3042"/>
    <n v="3413"/>
    <n v="3084"/>
    <n v="3462"/>
    <n v="3409"/>
    <n v="3026"/>
    <n v="3367"/>
    <n v="3142"/>
    <n v="39556"/>
    <n v="100"/>
    <n v="3955600"/>
    <n v="0.72292683709291139"/>
    <x v="1"/>
    <n v="3296.3333333333335"/>
    <n v="168.45681039868043"/>
    <n v="5.110430085914059E-2"/>
    <x v="0"/>
    <s v="BX"/>
  </r>
  <r>
    <s v="ITM_719"/>
    <s v="Wonder Two"/>
    <s v="Grocery"/>
    <n v="3200"/>
    <n v="3539"/>
    <n v="2890"/>
    <n v="2840"/>
    <n v="3610"/>
    <n v="3135"/>
    <n v="3254"/>
    <n v="3207"/>
    <n v="3384"/>
    <n v="3345"/>
    <n v="3277"/>
    <n v="3558"/>
    <n v="39239"/>
    <n v="100"/>
    <n v="3923900"/>
    <n v="0.72658620879709634"/>
    <x v="1"/>
    <n v="3269.9166666666665"/>
    <n v="242.37928891918489"/>
    <n v="7.4123995693830602E-2"/>
    <x v="0"/>
    <s v="BX"/>
  </r>
  <r>
    <s v="ITM_298"/>
    <s v="Free Hard"/>
    <s v="Grocery"/>
    <n v="2958"/>
    <n v="3196"/>
    <n v="3009"/>
    <n v="3437"/>
    <n v="3174"/>
    <n v="3076"/>
    <n v="3453"/>
    <n v="3220"/>
    <n v="3334"/>
    <n v="3454"/>
    <n v="3220"/>
    <n v="3566"/>
    <n v="39097"/>
    <n v="100"/>
    <n v="3909700"/>
    <n v="0.73023233778913299"/>
    <x v="1"/>
    <n v="3258.0833333333335"/>
    <n v="192.59824332878361"/>
    <n v="5.9113970891510943E-2"/>
    <x v="0"/>
    <s v="BX"/>
  </r>
  <r>
    <s v="ITM_144"/>
    <s v="Research Born"/>
    <s v="Grocery"/>
    <n v="3109"/>
    <n v="3079"/>
    <n v="3148"/>
    <n v="3197"/>
    <n v="3623"/>
    <n v="3402"/>
    <n v="3442"/>
    <n v="3158"/>
    <n v="2983"/>
    <n v="3249"/>
    <n v="3148"/>
    <n v="3457"/>
    <n v="38995"/>
    <n v="100"/>
    <n v="3899500"/>
    <n v="0.73386895441047129"/>
    <x v="1"/>
    <n v="3249.5833333333335"/>
    <n v="189.36182697458196"/>
    <n v="5.8272648382997394E-2"/>
    <x v="0"/>
    <s v="BX"/>
  </r>
  <r>
    <s v="ITM_920"/>
    <s v="Affect Data"/>
    <s v="Grocery"/>
    <n v="3349"/>
    <n v="3122"/>
    <n v="3252"/>
    <n v="3040"/>
    <n v="3123"/>
    <n v="2816"/>
    <n v="3129"/>
    <n v="3157"/>
    <n v="3339"/>
    <n v="3246"/>
    <n v="3102"/>
    <n v="3316"/>
    <n v="37991"/>
    <n v="100"/>
    <n v="3799100"/>
    <n v="0.73741193946140771"/>
    <x v="1"/>
    <n v="3165.9166666666665"/>
    <n v="149.97603343888184"/>
    <n v="4.7372072366259961E-2"/>
    <x v="0"/>
    <s v="BX"/>
  </r>
  <r>
    <s v="ITM_365"/>
    <s v="Total Occur"/>
    <s v="Home &amp; Kitchen"/>
    <n v="282"/>
    <n v="327"/>
    <n v="299"/>
    <n v="298"/>
    <n v="298"/>
    <n v="345"/>
    <n v="333"/>
    <n v="324"/>
    <n v="320"/>
    <n v="315"/>
    <n v="309"/>
    <n v="314"/>
    <n v="3764"/>
    <n v="1000"/>
    <n v="3764000"/>
    <n v="0.74092219076611798"/>
    <x v="1"/>
    <n v="313.66666666666669"/>
    <n v="17.613699902133686"/>
    <n v="5.6154197350054252E-2"/>
    <x v="0"/>
    <s v="BX"/>
  </r>
  <r>
    <s v="ITM_918"/>
    <s v="Family Month"/>
    <s v="Grocery"/>
    <n v="2966"/>
    <n v="2816"/>
    <n v="2996"/>
    <n v="3321"/>
    <n v="3193"/>
    <n v="3088"/>
    <n v="2772"/>
    <n v="3148"/>
    <n v="2946"/>
    <n v="2900"/>
    <n v="3292"/>
    <n v="2980"/>
    <n v="36418"/>
    <n v="100"/>
    <n v="3641800"/>
    <n v="0.74431848013952218"/>
    <x v="1"/>
    <n v="3034.8333333333335"/>
    <n v="176.06033745350607"/>
    <n v="5.8013181653085638E-2"/>
    <x v="0"/>
    <s v="BX"/>
  </r>
  <r>
    <s v="ITM_033"/>
    <s v="Hear Leave"/>
    <s v="Grocery"/>
    <n v="2906"/>
    <n v="2662"/>
    <n v="2691"/>
    <n v="3216"/>
    <n v="2637"/>
    <n v="3068"/>
    <n v="3159"/>
    <n v="2626"/>
    <n v="3148"/>
    <n v="2786"/>
    <n v="3045"/>
    <n v="2778"/>
    <n v="34722"/>
    <n v="100"/>
    <n v="3472200"/>
    <n v="0.74755660303543481"/>
    <x v="1"/>
    <n v="2893.5"/>
    <n v="223.5395023053176"/>
    <n v="7.7255746433494935E-2"/>
    <x v="0"/>
    <s v="BX"/>
  </r>
  <r>
    <s v="ITM_560"/>
    <s v="Able Develop"/>
    <s v="Grocery"/>
    <n v="3060"/>
    <n v="3131"/>
    <n v="2620"/>
    <n v="2620"/>
    <n v="2669"/>
    <n v="2755"/>
    <n v="3456"/>
    <n v="2829"/>
    <n v="2787"/>
    <n v="2990"/>
    <n v="2867"/>
    <n v="2560"/>
    <n v="34344"/>
    <n v="100"/>
    <n v="3434400"/>
    <n v="0.75075947420464229"/>
    <x v="1"/>
    <n v="2862"/>
    <n v="260.16672975752931"/>
    <n v="9.0903818922966215E-2"/>
    <x v="0"/>
    <s v="BX"/>
  </r>
  <r>
    <s v="ITM_027"/>
    <s v="Program Pay"/>
    <s v="Grocery"/>
    <n v="3016"/>
    <n v="2727"/>
    <n v="2746"/>
    <n v="2880"/>
    <n v="2881"/>
    <n v="2833"/>
    <n v="2674"/>
    <n v="2667"/>
    <n v="2816"/>
    <n v="2974"/>
    <n v="2765"/>
    <n v="2956"/>
    <n v="33935"/>
    <n v="100"/>
    <n v="3393500"/>
    <n v="0.75392420263252058"/>
    <x v="1"/>
    <n v="2827.9166666666665"/>
    <n v="116.48523771732025"/>
    <n v="4.1191184694499575E-2"/>
    <x v="0"/>
    <s v="BX"/>
  </r>
  <r>
    <s v="ITM_752"/>
    <s v="Safe Key"/>
    <s v="Home &amp; Kitchen"/>
    <n v="288"/>
    <n v="284"/>
    <n v="282"/>
    <n v="297"/>
    <n v="280"/>
    <n v="270"/>
    <n v="261"/>
    <n v="271"/>
    <n v="286"/>
    <n v="247"/>
    <n v="271"/>
    <n v="248"/>
    <n v="3285"/>
    <n v="1000"/>
    <n v="3285000"/>
    <n v="0.75698774554856019"/>
    <x v="1"/>
    <n v="273.75"/>
    <n v="15.597931098240386"/>
    <n v="5.6978743737864421E-2"/>
    <x v="0"/>
    <s v="BX"/>
  </r>
  <r>
    <s v="ITM_875"/>
    <s v="Though Notice"/>
    <s v="Grocery"/>
    <n v="3051"/>
    <n v="2504"/>
    <n v="2796"/>
    <n v="3004"/>
    <n v="2329"/>
    <n v="2478"/>
    <n v="2478"/>
    <n v="2749"/>
    <n v="2812"/>
    <n v="3198"/>
    <n v="2671"/>
    <n v="2730"/>
    <n v="32800"/>
    <n v="100"/>
    <n v="3280000"/>
    <n v="0.76004662553778701"/>
    <x v="1"/>
    <n v="2733.3333333333335"/>
    <n v="261.25826070744404"/>
    <n v="9.5582290502723419E-2"/>
    <x v="0"/>
    <s v="BX"/>
  </r>
  <r>
    <s v="ITM_984"/>
    <s v="Expert Politics"/>
    <s v="Grocery"/>
    <n v="2756"/>
    <n v="3212"/>
    <n v="2726"/>
    <n v="2302"/>
    <n v="2803"/>
    <n v="2215"/>
    <n v="2689"/>
    <n v="2663"/>
    <n v="3082"/>
    <n v="2490"/>
    <n v="2566"/>
    <n v="2655"/>
    <n v="32159"/>
    <n v="100"/>
    <n v="3215900"/>
    <n v="0.76304572680527305"/>
    <x v="1"/>
    <n v="2679.9166666666665"/>
    <n v="282.3358600652569"/>
    <n v="0.10535247740237827"/>
    <x v="0"/>
    <s v="BX"/>
  </r>
  <r>
    <s v="ITM_634"/>
    <s v="Tree Similar"/>
    <s v="Apparel"/>
    <n v="701"/>
    <n v="558"/>
    <n v="222"/>
    <n v="660"/>
    <n v="473"/>
    <n v="486"/>
    <n v="580"/>
    <n v="548"/>
    <n v="569"/>
    <n v="721"/>
    <n v="655"/>
    <n v="236"/>
    <n v="6409"/>
    <n v="500"/>
    <n v="3204500"/>
    <n v="0.76603419659962591"/>
    <x v="1"/>
    <n v="534.08333333333337"/>
    <n v="162.27387530363782"/>
    <n v="0.30383624647271862"/>
    <x v="1"/>
    <s v="BY"/>
  </r>
  <r>
    <s v="ITM_132"/>
    <s v="Dream Moment"/>
    <s v="Grocery"/>
    <n v="2456"/>
    <n v="2535"/>
    <n v="2720"/>
    <n v="2627"/>
    <n v="2927"/>
    <n v="2549"/>
    <n v="2568"/>
    <n v="2114"/>
    <n v="2630"/>
    <n v="2653"/>
    <n v="2467"/>
    <n v="2664"/>
    <n v="30910"/>
    <n v="100"/>
    <n v="3091000"/>
    <n v="0.76891681795532707"/>
    <x v="1"/>
    <n v="2575.8333333333335"/>
    <n v="191.95777629152687"/>
    <n v="7.4522591895772317E-2"/>
    <x v="0"/>
    <s v="BX"/>
  </r>
  <r>
    <s v="ITM_482"/>
    <s v="Society Add"/>
    <s v="Toys"/>
    <n v="533"/>
    <n v="513"/>
    <n v="540"/>
    <n v="532"/>
    <n v="507"/>
    <n v="506"/>
    <n v="550"/>
    <n v="506"/>
    <n v="459"/>
    <n v="475"/>
    <n v="454"/>
    <n v="502"/>
    <n v="6077"/>
    <n v="500"/>
    <n v="3038500"/>
    <n v="0.77175047857949342"/>
    <x v="1"/>
    <n v="506.41666666666669"/>
    <n v="30.799817984507442"/>
    <n v="6.0819123879231413E-2"/>
    <x v="0"/>
    <s v="BX"/>
  </r>
  <r>
    <s v="ITM_022"/>
    <s v="Road Store"/>
    <s v="Electronics"/>
    <n v="458"/>
    <n v="456"/>
    <n v="505"/>
    <n v="522"/>
    <n v="516"/>
    <n v="464"/>
    <n v="473"/>
    <n v="541"/>
    <n v="508"/>
    <n v="522"/>
    <n v="477"/>
    <n v="461"/>
    <n v="5903"/>
    <n v="500"/>
    <n v="2951500"/>
    <n v="0.77450300427711627"/>
    <x v="1"/>
    <n v="491.91666666666669"/>
    <n v="30.128386896242834"/>
    <n v="6.124693253513705E-2"/>
    <x v="0"/>
    <s v="BX"/>
  </r>
  <r>
    <s v="ITM_592"/>
    <s v="Fire Treat"/>
    <s v="Toys"/>
    <n v="466"/>
    <n v="496"/>
    <n v="467"/>
    <n v="486"/>
    <n v="474"/>
    <n v="501"/>
    <n v="525"/>
    <n v="528"/>
    <n v="466"/>
    <n v="515"/>
    <n v="479"/>
    <n v="500"/>
    <n v="5903"/>
    <n v="500"/>
    <n v="2951500"/>
    <n v="0.77725552997473901"/>
    <x v="1"/>
    <n v="491.91666666666669"/>
    <n v="22.524565714038985"/>
    <n v="4.5789393286204946E-2"/>
    <x v="0"/>
    <s v="BX"/>
  </r>
  <r>
    <s v="ITM_092"/>
    <s v="Production Treatment"/>
    <s v="Apparel"/>
    <n v="343"/>
    <n v="226"/>
    <n v="565"/>
    <n v="683"/>
    <n v="658"/>
    <n v="326"/>
    <n v="316"/>
    <n v="389"/>
    <n v="718"/>
    <n v="358"/>
    <n v="712"/>
    <n v="597"/>
    <n v="5891"/>
    <n v="500"/>
    <n v="2945500"/>
    <n v="0.78000246016018648"/>
    <x v="1"/>
    <n v="490.91666666666669"/>
    <n v="180.88341716713722"/>
    <n v="0.3684605340359271"/>
    <x v="1"/>
    <s v="BY"/>
  </r>
  <r>
    <s v="ITM_264"/>
    <s v="Pass North"/>
    <s v="Grocery"/>
    <n v="2308"/>
    <n v="2614"/>
    <n v="2583"/>
    <n v="2090"/>
    <n v="2678"/>
    <n v="2251"/>
    <n v="2824"/>
    <n v="2384"/>
    <n v="2384"/>
    <n v="2308"/>
    <n v="2180"/>
    <n v="2279"/>
    <n v="28883"/>
    <n v="100"/>
    <n v="2888300"/>
    <n v="0.78269604646289492"/>
    <x v="1"/>
    <n v="2406.9166666666665"/>
    <n v="220.4443687123119"/>
    <n v="9.1587869146132428E-2"/>
    <x v="0"/>
    <s v="BX"/>
  </r>
  <r>
    <s v="ITM_705"/>
    <s v="Mind Within"/>
    <s v="Grocery"/>
    <n v="4579"/>
    <n v="4614"/>
    <n v="4760"/>
    <n v="4843"/>
    <n v="5027"/>
    <n v="5028"/>
    <n v="4825"/>
    <n v="4963"/>
    <n v="4551"/>
    <n v="4581"/>
    <n v="5162"/>
    <n v="4669"/>
    <n v="57602"/>
    <n v="50"/>
    <n v="2880100"/>
    <n v="0.78538198556563033"/>
    <x v="1"/>
    <n v="4800.166666666667"/>
    <n v="207.9684562328595"/>
    <n v="4.3325257365964966E-2"/>
    <x v="0"/>
    <s v="BX"/>
  </r>
  <r>
    <s v="ITM_469"/>
    <s v="And System"/>
    <s v="Grocery"/>
    <n v="4810"/>
    <n v="4610"/>
    <n v="4849"/>
    <n v="4755"/>
    <n v="5078"/>
    <n v="4627"/>
    <n v="4714"/>
    <n v="4701"/>
    <n v="4565"/>
    <n v="4687"/>
    <n v="4750"/>
    <n v="4792"/>
    <n v="56938"/>
    <n v="50"/>
    <n v="2846900"/>
    <n v="0.78803696283432834"/>
    <x v="1"/>
    <n v="4744.833333333333"/>
    <n v="134.52734317084412"/>
    <n v="2.8352385367419467E-2"/>
    <x v="0"/>
    <s v="BX"/>
  </r>
  <r>
    <s v="ITM_654"/>
    <s v="Mean Agent"/>
    <s v="Grocery"/>
    <n v="4879"/>
    <n v="4707"/>
    <n v="4540"/>
    <n v="4906"/>
    <n v="4787"/>
    <n v="4710"/>
    <n v="4612"/>
    <n v="4514"/>
    <n v="4270"/>
    <n v="4672"/>
    <n v="4902"/>
    <n v="4722"/>
    <n v="56221"/>
    <n v="50"/>
    <n v="2811050"/>
    <n v="0.79065850691777828"/>
    <x v="1"/>
    <n v="4685.083333333333"/>
    <n v="184.49856285881933"/>
    <n v="3.9379995985589583E-2"/>
    <x v="0"/>
    <s v="BX"/>
  </r>
  <r>
    <s v="ITM_453"/>
    <s v="Machine Executive"/>
    <s v="Grocery"/>
    <n v="4792"/>
    <n v="4595"/>
    <n v="4575"/>
    <n v="4711"/>
    <n v="4717"/>
    <n v="4911"/>
    <n v="4719"/>
    <n v="4809"/>
    <n v="4552"/>
    <n v="4293"/>
    <n v="4607"/>
    <n v="4367"/>
    <n v="55648"/>
    <n v="50"/>
    <n v="2782400"/>
    <n v="0.79325333243059071"/>
    <x v="1"/>
    <n v="4637.333333333333"/>
    <n v="178.94962893778151"/>
    <n v="3.8588907907802228E-2"/>
    <x v="0"/>
    <s v="BX"/>
  </r>
  <r>
    <s v="ITM_806"/>
    <s v="Prove Lose"/>
    <s v="Grocery"/>
    <n v="4909"/>
    <n v="4611"/>
    <n v="4184"/>
    <n v="4644"/>
    <n v="4706"/>
    <n v="4669"/>
    <n v="4725"/>
    <n v="4991"/>
    <n v="4743"/>
    <n v="4412"/>
    <n v="4526"/>
    <n v="4445"/>
    <n v="55565"/>
    <n v="50"/>
    <n v="2778250"/>
    <n v="0.79584428771414839"/>
    <x v="1"/>
    <n v="4630.416666666667"/>
    <n v="219.35627240273811"/>
    <n v="4.7372901445745651E-2"/>
    <x v="0"/>
    <s v="BX"/>
  </r>
  <r>
    <s v="ITM_447"/>
    <s v="Term Fall"/>
    <s v="Grocery"/>
    <n v="4545"/>
    <n v="4582"/>
    <n v="4612"/>
    <n v="4702"/>
    <n v="4582"/>
    <n v="4456"/>
    <n v="4368"/>
    <n v="4336"/>
    <n v="4554"/>
    <n v="4437"/>
    <n v="4558"/>
    <n v="4548"/>
    <n v="54280"/>
    <n v="50"/>
    <n v="2714000"/>
    <n v="0.79837532438816106"/>
    <x v="1"/>
    <n v="4523.333333333333"/>
    <n v="104.9227710212987"/>
    <n v="2.3195896320110251E-2"/>
    <x v="0"/>
    <s v="BX"/>
  </r>
  <r>
    <s v="ITM_437"/>
    <s v="Company Maybe"/>
    <s v="Grocery"/>
    <n v="2428"/>
    <n v="2478"/>
    <n v="2227"/>
    <n v="2267"/>
    <n v="2117"/>
    <n v="2215"/>
    <n v="2154"/>
    <n v="2101"/>
    <n v="2409"/>
    <n v="2086"/>
    <n v="2132"/>
    <n v="2221"/>
    <n v="26835"/>
    <n v="100"/>
    <n v="2683500"/>
    <n v="0.80087791720861534"/>
    <x v="1"/>
    <n v="2236.25"/>
    <n v="134.66802617075544"/>
    <n v="6.022047005958879E-2"/>
    <x v="0"/>
    <s v="BX"/>
  </r>
  <r>
    <s v="ITM_152"/>
    <s v="Stay Successful"/>
    <s v="Home &amp; Kitchen"/>
    <n v="429"/>
    <n v="470"/>
    <n v="425"/>
    <n v="469"/>
    <n v="426"/>
    <n v="442"/>
    <n v="415"/>
    <n v="447"/>
    <n v="400"/>
    <n v="450"/>
    <n v="442"/>
    <n v="427"/>
    <n v="5242"/>
    <n v="500"/>
    <n v="2621000"/>
    <n v="0.80332222344390902"/>
    <x v="1"/>
    <n v="436.83333333333331"/>
    <n v="20.700607515605707"/>
    <n v="4.7387884430993607E-2"/>
    <x v="0"/>
    <s v="BX"/>
  </r>
  <r>
    <s v="ITM_375"/>
    <s v="Race Food"/>
    <s v="Grocery"/>
    <n v="2095"/>
    <n v="2310"/>
    <n v="2738"/>
    <n v="2216"/>
    <n v="2221"/>
    <n v="2144"/>
    <n v="1822"/>
    <n v="1910"/>
    <n v="2147"/>
    <n v="2460"/>
    <n v="1764"/>
    <n v="1841"/>
    <n v="25668"/>
    <n v="100"/>
    <n v="2566800"/>
    <n v="0.80571598355255147"/>
    <x v="1"/>
    <n v="2139"/>
    <n v="284.1446494625261"/>
    <n v="0.13283994832282661"/>
    <x v="0"/>
    <s v="BX"/>
  </r>
  <r>
    <s v="ITM_220"/>
    <s v="Specific Style"/>
    <s v="Grocery"/>
    <n v="4367"/>
    <n v="3931"/>
    <n v="4490"/>
    <n v="4466"/>
    <n v="4370"/>
    <n v="4100"/>
    <n v="4302"/>
    <n v="4069"/>
    <n v="4230"/>
    <n v="4153"/>
    <n v="4421"/>
    <n v="4079"/>
    <n v="50978"/>
    <n v="50"/>
    <n v="2548900"/>
    <n v="0.808093050383204"/>
    <x v="1"/>
    <n v="4248.166666666667"/>
    <n v="180.98761049175479"/>
    <n v="4.260369818158926E-2"/>
    <x v="0"/>
    <s v="BX"/>
  </r>
  <r>
    <s v="ITM_742"/>
    <s v="Miss Develop"/>
    <s v="Grocery"/>
    <n v="4253"/>
    <n v="4531"/>
    <n v="4150"/>
    <n v="4269"/>
    <n v="3721"/>
    <n v="4391"/>
    <n v="3954"/>
    <n v="4204"/>
    <n v="4204"/>
    <n v="4478"/>
    <n v="4342"/>
    <n v="4282"/>
    <n v="50779"/>
    <n v="50"/>
    <n v="2538950"/>
    <n v="0.81046083798949886"/>
    <x v="1"/>
    <n v="4231.583333333333"/>
    <n v="221.2162489237144"/>
    <n v="5.2277417575859568E-2"/>
    <x v="0"/>
    <s v="BX"/>
  </r>
  <r>
    <s v="ITM_165"/>
    <s v="Successful Heavy"/>
    <s v="Grocery"/>
    <n v="4158"/>
    <n v="4272"/>
    <n v="4147"/>
    <n v="4005"/>
    <n v="3791"/>
    <n v="4240"/>
    <n v="4271"/>
    <n v="4020"/>
    <n v="4055"/>
    <n v="4317"/>
    <n v="3842"/>
    <n v="4581"/>
    <n v="49699"/>
    <n v="50"/>
    <n v="2484950"/>
    <n v="0.81277826598621505"/>
    <x v="1"/>
    <n v="4141.583333333333"/>
    <n v="217.67217149287652"/>
    <n v="5.2557718624409312E-2"/>
    <x v="0"/>
    <s v="BX"/>
  </r>
  <r>
    <s v="ITM_149"/>
    <s v="Heart Kind"/>
    <s v="Toys"/>
    <n v="389"/>
    <n v="419"/>
    <n v="415"/>
    <n v="407"/>
    <n v="402"/>
    <n v="442"/>
    <n v="380"/>
    <n v="439"/>
    <n v="418"/>
    <n v="414"/>
    <n v="406"/>
    <n v="407"/>
    <n v="4938"/>
    <n v="500"/>
    <n v="2469000"/>
    <n v="0.8150808192463983"/>
    <x v="1"/>
    <n v="411.5"/>
    <n v="17.743116462960554"/>
    <n v="4.311814450294181E-2"/>
    <x v="0"/>
    <s v="BX"/>
  </r>
  <r>
    <s v="ITM_203"/>
    <s v="Stage Including"/>
    <s v="Grocery"/>
    <n v="4057"/>
    <n v="3727"/>
    <n v="4223"/>
    <n v="4017"/>
    <n v="4308"/>
    <n v="4041"/>
    <n v="4104"/>
    <n v="4136"/>
    <n v="4179"/>
    <n v="3994"/>
    <n v="4087"/>
    <n v="3625"/>
    <n v="48498"/>
    <n v="50"/>
    <n v="2424900"/>
    <n v="0.81734224549209222"/>
    <x v="1"/>
    <n v="4041.5"/>
    <n v="193.82677364548528"/>
    <n v="4.7959117566617658E-2"/>
    <x v="0"/>
    <s v="BX"/>
  </r>
  <r>
    <s v="ITM_928"/>
    <s v="Kind Cost"/>
    <s v="Grocery"/>
    <n v="3842"/>
    <n v="4054"/>
    <n v="3943"/>
    <n v="3678"/>
    <n v="4024"/>
    <n v="3825"/>
    <n v="4186"/>
    <n v="3783"/>
    <n v="4103"/>
    <n v="3957"/>
    <n v="4039"/>
    <n v="4000"/>
    <n v="47434"/>
    <n v="50"/>
    <n v="2371700"/>
    <n v="0.8195540581964974"/>
    <x v="1"/>
    <n v="3952.8333333333335"/>
    <n v="146.15734568255436"/>
    <n v="3.6975337272645195E-2"/>
    <x v="0"/>
    <s v="BX"/>
  </r>
  <r>
    <s v="ITM_233"/>
    <s v="General Art"/>
    <s v="Grocery"/>
    <n v="3836"/>
    <n v="4246"/>
    <n v="3947"/>
    <n v="3464"/>
    <n v="3799"/>
    <n v="3731"/>
    <n v="3767"/>
    <n v="3810"/>
    <n v="3611"/>
    <n v="3872"/>
    <n v="3846"/>
    <n v="3972"/>
    <n v="45901"/>
    <n v="50"/>
    <n v="2295050"/>
    <n v="0.82169438823286167"/>
    <x v="1"/>
    <n v="3825.0833333333335"/>
    <n v="192.05181986940795"/>
    <n v="5.0208532241844302E-2"/>
    <x v="0"/>
    <s v="BX"/>
  </r>
  <r>
    <s v="ITM_796"/>
    <s v="Far Would"/>
    <s v="Grocery"/>
    <n v="3646"/>
    <n v="3665"/>
    <n v="3868"/>
    <n v="3825"/>
    <n v="3769"/>
    <n v="3742"/>
    <n v="3841"/>
    <n v="3704"/>
    <n v="4023"/>
    <n v="3872"/>
    <n v="3789"/>
    <n v="3813"/>
    <n v="45557"/>
    <n v="50"/>
    <n v="2277850"/>
    <n v="0.82381867780098983"/>
    <x v="1"/>
    <n v="3796.4166666666665"/>
    <n v="103.33569156644354"/>
    <n v="2.7219270338198796E-2"/>
    <x v="0"/>
    <s v="BX"/>
  </r>
  <r>
    <s v="ITM_041"/>
    <s v="Allow Land"/>
    <s v="Grocery"/>
    <n v="1978"/>
    <n v="1771"/>
    <n v="1497"/>
    <n v="1877"/>
    <n v="2137"/>
    <n v="1921"/>
    <n v="1911"/>
    <n v="1981"/>
    <n v="1917"/>
    <n v="1786"/>
    <n v="2055"/>
    <n v="1775"/>
    <n v="22606"/>
    <n v="100"/>
    <n v="2260600"/>
    <n v="0.82592688027161365"/>
    <x v="1"/>
    <n v="1883.8333333333333"/>
    <n v="164.80116577993084"/>
    <n v="8.7481818515401669E-2"/>
    <x v="0"/>
    <s v="BX"/>
  </r>
  <r>
    <s v="ITM_901"/>
    <s v="Full Article"/>
    <s v="Grocery"/>
    <n v="3675"/>
    <n v="4058"/>
    <n v="3408"/>
    <n v="3499"/>
    <n v="3479"/>
    <n v="3499"/>
    <n v="3768"/>
    <n v="3704"/>
    <n v="3777"/>
    <n v="3623"/>
    <n v="3531"/>
    <n v="3769"/>
    <n v="43790"/>
    <n v="50"/>
    <n v="2189500"/>
    <n v="0.8279687759229587"/>
    <x v="1"/>
    <n v="3649.1666666666665"/>
    <n v="181.53578827394452"/>
    <n v="4.9747190209804393E-2"/>
    <x v="0"/>
    <s v="BX"/>
  </r>
  <r>
    <s v="ITM_713"/>
    <s v="Then Never"/>
    <s v="Toys"/>
    <n v="385"/>
    <n v="364"/>
    <n v="341"/>
    <n v="361"/>
    <n v="367"/>
    <n v="403"/>
    <n v="349"/>
    <n v="368"/>
    <n v="372"/>
    <n v="350"/>
    <n v="348"/>
    <n v="330"/>
    <n v="4338"/>
    <n v="500"/>
    <n v="2169000"/>
    <n v="0.82999155357437127"/>
    <x v="1"/>
    <n v="361.5"/>
    <n v="19.879180520882098"/>
    <n v="5.4990817485151035E-2"/>
    <x v="0"/>
    <s v="BX"/>
  </r>
  <r>
    <s v="ITM_564"/>
    <s v="Apply Always"/>
    <s v="Grocery"/>
    <n v="3728"/>
    <n v="3174"/>
    <n v="3739"/>
    <n v="3529"/>
    <n v="3576"/>
    <n v="3852"/>
    <n v="3580"/>
    <n v="3561"/>
    <n v="3409"/>
    <n v="3421"/>
    <n v="3570"/>
    <n v="3495"/>
    <n v="42634"/>
    <n v="50"/>
    <n v="2131700"/>
    <n v="0.83197954579175981"/>
    <x v="1"/>
    <n v="3552.8333333333335"/>
    <n v="176.31935557820967"/>
    <n v="4.962781505227086E-2"/>
    <x v="0"/>
    <s v="BX"/>
  </r>
  <r>
    <s v="ITM_538"/>
    <s v="Project Several"/>
    <s v="Grocery"/>
    <n v="1445"/>
    <n v="1435"/>
    <n v="2165"/>
    <n v="1687"/>
    <n v="1835"/>
    <n v="1673"/>
    <n v="1664"/>
    <n v="2003"/>
    <n v="1830"/>
    <n v="1913"/>
    <n v="1616"/>
    <n v="1953"/>
    <n v="21219"/>
    <n v="100"/>
    <n v="2121900"/>
    <n v="0.83395839867259525"/>
    <x v="1"/>
    <n v="1768.25"/>
    <n v="221.79848552643045"/>
    <n v="0.12543389539173219"/>
    <x v="0"/>
    <s v="BX"/>
  </r>
  <r>
    <s v="ITM_077"/>
    <s v="Tough Stay"/>
    <s v="Grocery"/>
    <n v="3467"/>
    <n v="3364"/>
    <n v="3572"/>
    <n v="3208"/>
    <n v="3686"/>
    <n v="3264"/>
    <n v="3349"/>
    <n v="3554"/>
    <n v="3293"/>
    <n v="3594"/>
    <n v="3750"/>
    <n v="3368"/>
    <n v="41469"/>
    <n v="50"/>
    <n v="2073450"/>
    <n v="0.83589206779261427"/>
    <x v="1"/>
    <n v="3455.75"/>
    <n v="174.29187901594582"/>
    <n v="5.0435326344771998E-2"/>
    <x v="0"/>
    <s v="BX"/>
  </r>
  <r>
    <s v="ITM_378"/>
    <s v="There Wind"/>
    <s v="Grocery"/>
    <n v="2126"/>
    <n v="1468"/>
    <n v="1777"/>
    <n v="1668"/>
    <n v="1885"/>
    <n v="1772"/>
    <n v="1941"/>
    <n v="1499"/>
    <n v="1707"/>
    <n v="1693"/>
    <n v="1605"/>
    <n v="1588"/>
    <n v="20729"/>
    <n v="100"/>
    <n v="2072900"/>
    <n v="0.83782522399068382"/>
    <x v="1"/>
    <n v="1727.4166666666667"/>
    <n v="188.96630692140576"/>
    <n v="0.1093924300765531"/>
    <x v="0"/>
    <s v="BX"/>
  </r>
  <r>
    <s v="ITM_304"/>
    <s v="Traditional Camera"/>
    <s v="Electronics"/>
    <n v="179"/>
    <n v="168"/>
    <n v="165"/>
    <n v="171"/>
    <n v="190"/>
    <n v="165"/>
    <n v="177"/>
    <n v="146"/>
    <n v="149"/>
    <n v="178"/>
    <n v="182"/>
    <n v="158"/>
    <n v="2028"/>
    <n v="1000"/>
    <n v="2028000"/>
    <n v="0.83971650710597401"/>
    <x v="1"/>
    <n v="169"/>
    <n v="13.28704084984518"/>
    <n v="7.8621543490208168E-2"/>
    <x v="0"/>
    <s v="BX"/>
  </r>
  <r>
    <s v="ITM_997"/>
    <s v="Adult Meeting"/>
    <s v="Grocery"/>
    <n v="3357"/>
    <n v="3516"/>
    <n v="3102"/>
    <n v="3329"/>
    <n v="3068"/>
    <n v="3130"/>
    <n v="3443"/>
    <n v="3473"/>
    <n v="3637"/>
    <n v="3057"/>
    <n v="3556"/>
    <n v="3021"/>
    <n v="39689"/>
    <n v="50"/>
    <n v="1984450"/>
    <n v="0.84156717612872434"/>
    <x v="1"/>
    <n v="3307.4166666666665"/>
    <n v="221.23350820234069"/>
    <n v="6.6890123168336021E-2"/>
    <x v="0"/>
    <s v="BX"/>
  </r>
  <r>
    <s v="ITM_080"/>
    <s v="Thank Determine"/>
    <s v="Grocery"/>
    <n v="1745"/>
    <n v="1349"/>
    <n v="1730"/>
    <n v="1705"/>
    <n v="1643"/>
    <n v="1418"/>
    <n v="1355"/>
    <n v="1623"/>
    <n v="1641"/>
    <n v="1763"/>
    <n v="1812"/>
    <n v="1729"/>
    <n v="19513"/>
    <n v="100"/>
    <n v="1951300"/>
    <n v="0.8433869299467055"/>
    <x v="1"/>
    <n v="1626.0833333333333"/>
    <n v="162.13039552013419"/>
    <n v="9.9706080369067307E-2"/>
    <x v="0"/>
    <s v="BX"/>
  </r>
  <r>
    <s v="ITM_250"/>
    <s v="Choose Letter"/>
    <s v="Grocery"/>
    <n v="3323"/>
    <n v="3272"/>
    <n v="3531"/>
    <n v="3242"/>
    <n v="2967"/>
    <n v="3362"/>
    <n v="3107"/>
    <n v="3330"/>
    <n v="3300"/>
    <n v="3113"/>
    <n v="2985"/>
    <n v="3466"/>
    <n v="38998"/>
    <n v="50"/>
    <n v="1949900"/>
    <n v="0.84520537814517915"/>
    <x v="1"/>
    <n v="3249.8333333333335"/>
    <n v="176.44717640304154"/>
    <n v="5.4294223212382642E-2"/>
    <x v="0"/>
    <s v="BX"/>
  </r>
  <r>
    <s v="ITM_457"/>
    <s v="Make Thus"/>
    <s v="Electronics"/>
    <n v="175"/>
    <n v="150"/>
    <n v="154"/>
    <n v="169"/>
    <n v="152"/>
    <n v="155"/>
    <n v="168"/>
    <n v="168"/>
    <n v="148"/>
    <n v="172"/>
    <n v="155"/>
    <n v="164"/>
    <n v="1930"/>
    <n v="1000"/>
    <n v="1930000"/>
    <n v="0.84700526789493757"/>
    <x v="1"/>
    <n v="160.83333333333334"/>
    <n v="9.4371927001945899"/>
    <n v="5.8676845804318693E-2"/>
    <x v="0"/>
    <s v="BX"/>
  </r>
  <r>
    <s v="ITM_070"/>
    <s v="Defense Seat"/>
    <s v="Grocery"/>
    <n v="3085"/>
    <n v="3240"/>
    <n v="3287"/>
    <n v="2756"/>
    <n v="3255"/>
    <n v="3514"/>
    <n v="3517"/>
    <n v="3004"/>
    <n v="3307"/>
    <n v="3190"/>
    <n v="3135"/>
    <n v="3303"/>
    <n v="38593"/>
    <n v="50"/>
    <n v="1929650"/>
    <n v="0.84880483123981909"/>
    <x v="1"/>
    <n v="3216.0833333333335"/>
    <n v="209.61759916282767"/>
    <n v="6.5177912832739923E-2"/>
    <x v="0"/>
    <s v="BX"/>
  </r>
  <r>
    <s v="ITM_467"/>
    <s v="Check Rather"/>
    <s v="Grocery"/>
    <n v="3191"/>
    <n v="3158"/>
    <n v="2902"/>
    <n v="3447"/>
    <n v="2954"/>
    <n v="3281"/>
    <n v="3394"/>
    <n v="3350"/>
    <n v="3351"/>
    <n v="2825"/>
    <n v="2831"/>
    <n v="3371"/>
    <n v="38055"/>
    <n v="50"/>
    <n v="1902750"/>
    <n v="0.8505793080384475"/>
    <x v="1"/>
    <n v="3171.25"/>
    <n v="233.11726467790643"/>
    <n v="7.350958287044744E-2"/>
    <x v="0"/>
    <s v="BX"/>
  </r>
  <r>
    <s v="ITM_567"/>
    <s v="Physical Some"/>
    <s v="Grocery"/>
    <n v="3184"/>
    <n v="3070"/>
    <n v="3212"/>
    <n v="2935"/>
    <n v="3259"/>
    <n v="3314"/>
    <n v="3394"/>
    <n v="2728"/>
    <n v="3179"/>
    <n v="3295"/>
    <n v="3164"/>
    <n v="3255"/>
    <n v="37989"/>
    <n v="50"/>
    <n v="1899450"/>
    <n v="0.85235070730537943"/>
    <x v="1"/>
    <n v="3165.75"/>
    <n v="181.94211117325702"/>
    <n v="5.7472040171604524E-2"/>
    <x v="0"/>
    <s v="BX"/>
  </r>
  <r>
    <s v="ITM_756"/>
    <s v="Unit Respond"/>
    <s v="Grocery"/>
    <n v="1363"/>
    <n v="1518"/>
    <n v="1476"/>
    <n v="1613"/>
    <n v="1819"/>
    <n v="1680"/>
    <n v="1446"/>
    <n v="1495"/>
    <n v="1510"/>
    <n v="1959"/>
    <n v="1624"/>
    <n v="1379"/>
    <n v="18882"/>
    <n v="100"/>
    <n v="1888200"/>
    <n v="0.85411161498698251"/>
    <x v="1"/>
    <n v="1573.5"/>
    <n v="177.228922326721"/>
    <n v="0.11263356995660694"/>
    <x v="0"/>
    <s v="BX"/>
  </r>
  <r>
    <s v="ITM_500"/>
    <s v="Stand Often"/>
    <s v="Grocery"/>
    <n v="1983"/>
    <n v="1673"/>
    <n v="1748"/>
    <n v="1235"/>
    <n v="1564"/>
    <n v="1241"/>
    <n v="1460"/>
    <n v="1475"/>
    <n v="1483"/>
    <n v="1154"/>
    <n v="1499"/>
    <n v="1766"/>
    <n v="18281"/>
    <n v="100"/>
    <n v="1828100"/>
    <n v="0.8558164742882951"/>
    <x v="1"/>
    <n v="1523.4166666666667"/>
    <n v="243.55901220082688"/>
    <n v="0.15987681999944875"/>
    <x v="0"/>
    <s v="BX"/>
  </r>
  <r>
    <s v="ITM_803"/>
    <s v="Blue Street"/>
    <s v="Toys"/>
    <n v="152"/>
    <n v="152"/>
    <n v="166"/>
    <n v="158"/>
    <n v="179"/>
    <n v="147"/>
    <n v="136"/>
    <n v="157"/>
    <n v="142"/>
    <n v="143"/>
    <n v="151"/>
    <n v="134"/>
    <n v="1817"/>
    <n v="1000"/>
    <n v="1817000"/>
    <n v="0.8575109818920833"/>
    <x v="1"/>
    <n v="151.41666666666666"/>
    <n v="12.681112177589394"/>
    <n v="8.3749777727612953E-2"/>
    <x v="0"/>
    <s v="BX"/>
  </r>
  <r>
    <s v="ITM_471"/>
    <s v="Sometimes Building"/>
    <s v="Grocery"/>
    <n v="1646"/>
    <n v="1373"/>
    <n v="1524"/>
    <n v="1506"/>
    <n v="1751"/>
    <n v="1385"/>
    <n v="1387"/>
    <n v="1109"/>
    <n v="1652"/>
    <n v="1389"/>
    <n v="1300"/>
    <n v="1936"/>
    <n v="17958"/>
    <n v="100"/>
    <n v="1795800"/>
    <n v="0.85918571868618498"/>
    <x v="1"/>
    <n v="1496.5"/>
    <n v="222.65076608079218"/>
    <n v="0.14878099971987449"/>
    <x v="0"/>
    <s v="BX"/>
  </r>
  <r>
    <s v="ITM_260"/>
    <s v="Around Their"/>
    <s v="Grocery"/>
    <n v="2697"/>
    <n v="2663"/>
    <n v="2740"/>
    <n v="3121"/>
    <n v="3163"/>
    <n v="3144"/>
    <n v="2832"/>
    <n v="3005"/>
    <n v="2747"/>
    <n v="2609"/>
    <n v="2994"/>
    <n v="3030"/>
    <n v="34745"/>
    <n v="50"/>
    <n v="1737250"/>
    <n v="0.86080585260730813"/>
    <x v="1"/>
    <n v="2895.4166666666665"/>
    <n v="202.20307449030869"/>
    <n v="6.9835570409661957E-2"/>
    <x v="0"/>
    <s v="BX"/>
  </r>
  <r>
    <s v="ITM_236"/>
    <s v="Test Whole"/>
    <s v="Apparel"/>
    <n v="244"/>
    <n v="158"/>
    <n v="316"/>
    <n v="13"/>
    <n v="403"/>
    <n v="15"/>
    <n v="481"/>
    <n v="398"/>
    <n v="399"/>
    <n v="419"/>
    <n v="279"/>
    <n v="313"/>
    <n v="3438"/>
    <n v="500"/>
    <n v="1719000"/>
    <n v="0.86240896684556456"/>
    <x v="1"/>
    <n v="286.5"/>
    <n v="154.48124334512116"/>
    <n v="0.53920154745242987"/>
    <x v="2"/>
    <s v="BZ"/>
  </r>
  <r>
    <s v="ITM_158"/>
    <s v="One Blue"/>
    <s v="Grocery"/>
    <n v="2753"/>
    <n v="2588"/>
    <n v="2764"/>
    <n v="2963"/>
    <n v="2724"/>
    <n v="2851"/>
    <n v="2684"/>
    <n v="2710"/>
    <n v="2765"/>
    <n v="2957"/>
    <n v="2680"/>
    <n v="3265"/>
    <n v="33704"/>
    <n v="50"/>
    <n v="1685200"/>
    <n v="0.86398055969856602"/>
    <x v="1"/>
    <n v="2808.6666666666665"/>
    <n v="181.04461194730848"/>
    <n v="6.4459273183233495E-2"/>
    <x v="0"/>
    <s v="BX"/>
  </r>
  <r>
    <s v="ITM_807"/>
    <s v="Out Fill"/>
    <s v="Grocery"/>
    <n v="2816"/>
    <n v="2518"/>
    <n v="2340"/>
    <n v="2677"/>
    <n v="2946"/>
    <n v="2602"/>
    <n v="2634"/>
    <n v="2590"/>
    <n v="2550"/>
    <n v="2576"/>
    <n v="2850"/>
    <n v="2514"/>
    <n v="31613"/>
    <n v="50"/>
    <n v="1580650"/>
    <n v="0.86545465075191097"/>
    <x v="1"/>
    <n v="2634.4166666666665"/>
    <n v="166.96295633426831"/>
    <n v="6.3377581248575579E-2"/>
    <x v="0"/>
    <s v="BX"/>
  </r>
  <r>
    <s v="ITM_403"/>
    <s v="Form Know"/>
    <s v="Grocery"/>
    <n v="2862"/>
    <n v="2574"/>
    <n v="2136"/>
    <n v="2836"/>
    <n v="2416"/>
    <n v="2963"/>
    <n v="2538"/>
    <n v="2695"/>
    <n v="2911"/>
    <n v="2562"/>
    <n v="2124"/>
    <n v="2805"/>
    <n v="31422"/>
    <n v="50"/>
    <n v="1571100"/>
    <n v="0.86691983561504327"/>
    <x v="1"/>
    <n v="2618.5"/>
    <n v="283.07804898681536"/>
    <n v="0.10810695015727148"/>
    <x v="0"/>
    <s v="BX"/>
  </r>
  <r>
    <s v="ITM_337"/>
    <s v="Work Explain"/>
    <s v="Electronics"/>
    <n v="254"/>
    <n v="287"/>
    <n v="236"/>
    <n v="260"/>
    <n v="239"/>
    <n v="236"/>
    <n v="250"/>
    <n v="233"/>
    <n v="264"/>
    <n v="238"/>
    <n v="258"/>
    <n v="263"/>
    <n v="3018"/>
    <n v="500"/>
    <n v="1509000"/>
    <n v="0.86832710692716009"/>
    <x v="1"/>
    <n v="251.5"/>
    <n v="16.048222784640501"/>
    <n v="6.3810030952844932E-2"/>
    <x v="0"/>
    <s v="BX"/>
  </r>
  <r>
    <s v="ITM_525"/>
    <s v="Likely Guess"/>
    <s v="Grocery"/>
    <n v="2415"/>
    <n v="2729"/>
    <n v="2530"/>
    <n v="2101"/>
    <n v="2348"/>
    <n v="2496"/>
    <n v="3059"/>
    <n v="2959"/>
    <n v="2172"/>
    <n v="2541"/>
    <n v="2386"/>
    <n v="2422"/>
    <n v="30158"/>
    <n v="50"/>
    <n v="1507900"/>
    <n v="0.86973335239537819"/>
    <x v="1"/>
    <n v="2513.1666666666665"/>
    <n v="284.81471914636836"/>
    <n v="0.11332902147875921"/>
    <x v="0"/>
    <s v="BX"/>
  </r>
  <r>
    <s v="ITM_045"/>
    <s v="Most Better"/>
    <s v="Grocery"/>
    <n v="2130"/>
    <n v="2437"/>
    <n v="2216"/>
    <n v="2691"/>
    <n v="2284"/>
    <n v="2608"/>
    <n v="2705"/>
    <n v="2640"/>
    <n v="2471"/>
    <n v="2424"/>
    <n v="2578"/>
    <n v="2626"/>
    <n v="29810"/>
    <n v="50"/>
    <n v="1490500"/>
    <n v="0.8711233708782874"/>
    <x v="1"/>
    <n v="2484.1666666666665"/>
    <n v="191.5296479937403"/>
    <n v="7.7100160212173224E-2"/>
    <x v="0"/>
    <s v="BX"/>
  </r>
  <r>
    <s v="ITM_777"/>
    <s v="Low I"/>
    <s v="Grocery"/>
    <n v="2711"/>
    <n v="2604"/>
    <n v="2265"/>
    <n v="2333"/>
    <n v="2528"/>
    <n v="2612"/>
    <n v="2483"/>
    <n v="2416"/>
    <n v="2596"/>
    <n v="2547"/>
    <n v="2406"/>
    <n v="2304"/>
    <n v="29805"/>
    <n v="50"/>
    <n v="1490250"/>
    <n v="0.87251315621485614"/>
    <x v="1"/>
    <n v="2483.75"/>
    <n v="139.68544207351289"/>
    <n v="5.6239735107604584E-2"/>
    <x v="0"/>
    <s v="BX"/>
  </r>
  <r>
    <s v="ITM_655"/>
    <s v="Who Something"/>
    <s v="Grocery"/>
    <n v="2348"/>
    <n v="2852"/>
    <n v="2556"/>
    <n v="2499"/>
    <n v="2139"/>
    <n v="2503"/>
    <n v="2542"/>
    <n v="2495"/>
    <n v="2590"/>
    <n v="2452"/>
    <n v="2169"/>
    <n v="2364"/>
    <n v="29509"/>
    <n v="50"/>
    <n v="1475450"/>
    <n v="0.87388913928805878"/>
    <x v="1"/>
    <n v="2459.0833333333335"/>
    <n v="190.84380016287156"/>
    <n v="7.7607699412194878E-2"/>
    <x v="0"/>
    <s v="BX"/>
  </r>
  <r>
    <s v="ITM_812"/>
    <s v="That Skin"/>
    <s v="Grocery"/>
    <n v="2416"/>
    <n v="2424"/>
    <n v="2539"/>
    <n v="2297"/>
    <n v="2168"/>
    <n v="2268"/>
    <n v="2054"/>
    <n v="2361"/>
    <n v="2350"/>
    <n v="2476"/>
    <n v="2322"/>
    <n v="2361"/>
    <n v="28036"/>
    <n v="50"/>
    <n v="1401800"/>
    <n v="0.8751964374493082"/>
    <x v="1"/>
    <n v="2336.3333333333335"/>
    <n v="131.59395767651984"/>
    <n v="5.632499258518469E-2"/>
    <x v="0"/>
    <s v="BX"/>
  </r>
  <r>
    <s v="ITM_028"/>
    <s v="Month Trouble"/>
    <s v="Grocery"/>
    <n v="1881"/>
    <n v="2072"/>
    <n v="2399"/>
    <n v="2199"/>
    <n v="2434"/>
    <n v="2439"/>
    <n v="2860"/>
    <n v="2334"/>
    <n v="2367"/>
    <n v="2234"/>
    <n v="2120"/>
    <n v="2604"/>
    <n v="27943"/>
    <n v="50"/>
    <n v="1397150"/>
    <n v="0.87649939908862162"/>
    <x v="1"/>
    <n v="2328.5833333333335"/>
    <n v="256.4507602333091"/>
    <n v="0.11013166527572948"/>
    <x v="0"/>
    <s v="BX"/>
  </r>
  <r>
    <s v="ITM_102"/>
    <s v="Marriage Throw"/>
    <s v="Grocery"/>
    <n v="944"/>
    <n v="1004"/>
    <n v="999"/>
    <n v="1035"/>
    <n v="1503"/>
    <n v="1066"/>
    <n v="1103"/>
    <n v="1484"/>
    <n v="1233"/>
    <n v="1216"/>
    <n v="1070"/>
    <n v="848"/>
    <n v="13505"/>
    <n v="100"/>
    <n v="1350500"/>
    <n v="0.87775885562077127"/>
    <x v="1"/>
    <n v="1125.4166666666667"/>
    <n v="201.54063805565053"/>
    <n v="0.17908090756518372"/>
    <x v="0"/>
    <s v="BX"/>
  </r>
  <r>
    <s v="ITM_289"/>
    <s v="Similar Become"/>
    <s v="Apparel"/>
    <n v="231"/>
    <n v="233"/>
    <n v="323"/>
    <n v="484"/>
    <n v="302"/>
    <n v="251"/>
    <n v="215"/>
    <n v="37"/>
    <n v="101"/>
    <n v="126"/>
    <n v="255"/>
    <n v="61"/>
    <n v="2619"/>
    <n v="500"/>
    <n v="1309500"/>
    <n v="0.87898007615305551"/>
    <x v="1"/>
    <n v="218.25"/>
    <n v="124.77625429689591"/>
    <n v="0.57171250536951168"/>
    <x v="2"/>
    <s v="BZ"/>
  </r>
  <r>
    <s v="ITM_037"/>
    <s v="Property Economy"/>
    <s v="Grocery"/>
    <n v="2574"/>
    <n v="1779"/>
    <n v="1994"/>
    <n v="2135"/>
    <n v="2258"/>
    <n v="1984"/>
    <n v="2394"/>
    <n v="2243"/>
    <n v="2376"/>
    <n v="2439"/>
    <n v="1987"/>
    <n v="2001"/>
    <n v="26164"/>
    <n v="50"/>
    <n v="1308200"/>
    <n v="0.88020008432436847"/>
    <x v="1"/>
    <n v="2180.3333333333335"/>
    <n v="237.73718618880275"/>
    <n v="0.10903708279565941"/>
    <x v="0"/>
    <s v="BX"/>
  </r>
  <r>
    <s v="ITM_842"/>
    <s v="Development Rest"/>
    <s v="Grocery"/>
    <n v="1195"/>
    <n v="1000"/>
    <n v="1238"/>
    <n v="1135"/>
    <n v="1078"/>
    <n v="1083"/>
    <n v="1071"/>
    <n v="1227"/>
    <n v="940"/>
    <n v="826"/>
    <n v="992"/>
    <n v="1166"/>
    <n v="12951"/>
    <n v="100"/>
    <n v="1295100"/>
    <n v="0.88140787562743173"/>
    <x v="1"/>
    <n v="1079.25"/>
    <n v="123.79097117905872"/>
    <n v="0.11470092302900969"/>
    <x v="0"/>
    <s v="BX"/>
  </r>
  <r>
    <s v="ITM_674"/>
    <s v="Recognize Assume"/>
    <s v="Grocery"/>
    <n v="2143"/>
    <n v="2234"/>
    <n v="2305"/>
    <n v="2260"/>
    <n v="1970"/>
    <n v="2088"/>
    <n v="2391"/>
    <n v="1775"/>
    <n v="2271"/>
    <n v="2304"/>
    <n v="1885"/>
    <n v="1871"/>
    <n v="25497"/>
    <n v="50"/>
    <n v="1274850"/>
    <n v="0.88259678207690306"/>
    <x v="1"/>
    <n v="2124.75"/>
    <n v="203.81637234619706"/>
    <n v="9.5924872265535741E-2"/>
    <x v="0"/>
    <s v="BX"/>
  </r>
  <r>
    <s v="ITM_087"/>
    <s v="Dark Character"/>
    <s v="Grocery"/>
    <n v="2091"/>
    <n v="2013"/>
    <n v="1971"/>
    <n v="1823"/>
    <n v="1790"/>
    <n v="2012"/>
    <n v="2012"/>
    <n v="2150"/>
    <n v="2303"/>
    <n v="2379"/>
    <n v="2013"/>
    <n v="1836"/>
    <n v="24393"/>
    <n v="50"/>
    <n v="1219650"/>
    <n v="0.88373420981436046"/>
    <x v="1"/>
    <n v="2032.75"/>
    <n v="180.18986198905966"/>
    <n v="8.8643395394937721E-2"/>
    <x v="0"/>
    <s v="BX"/>
  </r>
  <r>
    <s v="ITM_534"/>
    <s v="Against Seek"/>
    <s v="Grocery"/>
    <n v="2012"/>
    <n v="2070"/>
    <n v="2326"/>
    <n v="2144"/>
    <n v="1397"/>
    <n v="2108"/>
    <n v="1905"/>
    <n v="2218"/>
    <n v="2012"/>
    <n v="2426"/>
    <n v="1869"/>
    <n v="1773"/>
    <n v="24260"/>
    <n v="50"/>
    <n v="1213000"/>
    <n v="0.88486543585915689"/>
    <x v="1"/>
    <n v="2021.6666666666667"/>
    <n v="271.11799958130683"/>
    <n v="0.13410618281020947"/>
    <x v="0"/>
    <s v="BX"/>
  </r>
  <r>
    <s v="ITM_035"/>
    <s v="Record Everyone"/>
    <s v="Apparel"/>
    <n v="803"/>
    <n v="919"/>
    <n v="824"/>
    <n v="1240"/>
    <n v="1246"/>
    <n v="1022"/>
    <n v="1222"/>
    <n v="810"/>
    <n v="1258"/>
    <n v="1212"/>
    <n v="677"/>
    <n v="789"/>
    <n v="12022"/>
    <n v="100"/>
    <n v="1202200"/>
    <n v="0.8859865899820375"/>
    <x v="1"/>
    <n v="1001.8333333333334"/>
    <n v="221.69751437214586"/>
    <n v="0.22129181271550077"/>
    <x v="1"/>
    <s v="BY"/>
  </r>
  <r>
    <s v="ITM_951"/>
    <s v="Trip Next"/>
    <s v="Electronics"/>
    <n v="191"/>
    <n v="191"/>
    <n v="193"/>
    <n v="208"/>
    <n v="196"/>
    <n v="179"/>
    <n v="202"/>
    <n v="202"/>
    <n v="206"/>
    <n v="193"/>
    <n v="197"/>
    <n v="221"/>
    <n v="2379"/>
    <n v="500"/>
    <n v="1189500"/>
    <n v="0.88709590027081342"/>
    <x v="1"/>
    <n v="198.25"/>
    <n v="10.609815352690253"/>
    <n v="5.351735360751704E-2"/>
    <x v="0"/>
    <s v="BX"/>
  </r>
  <r>
    <s v="ITM_978"/>
    <s v="Same Matter"/>
    <s v="Grocery"/>
    <n v="1862"/>
    <n v="2000"/>
    <n v="2023"/>
    <n v="2120"/>
    <n v="1942"/>
    <n v="1777"/>
    <n v="1857"/>
    <n v="2208"/>
    <n v="1604"/>
    <n v="1888"/>
    <n v="2222"/>
    <n v="2245"/>
    <n v="23748"/>
    <n v="50"/>
    <n v="1187400"/>
    <n v="0.88820325213032802"/>
    <x v="1"/>
    <n v="1979"/>
    <n v="196.36607742590459"/>
    <n v="9.9224900164681454E-2"/>
    <x v="0"/>
    <s v="BX"/>
  </r>
  <r>
    <s v="ITM_908"/>
    <s v="Moment Religious"/>
    <s v="Apparel"/>
    <n v="959"/>
    <n v="936"/>
    <n v="780"/>
    <n v="1085"/>
    <n v="1274"/>
    <n v="1005"/>
    <n v="713"/>
    <n v="778"/>
    <n v="951"/>
    <n v="1143"/>
    <n v="1148"/>
    <n v="799"/>
    <n v="11571"/>
    <n v="100"/>
    <n v="1157100"/>
    <n v="0.88928234665335681"/>
    <x v="1"/>
    <n v="964.25"/>
    <n v="175.28528694155085"/>
    <n v="0.1817840673492879"/>
    <x v="0"/>
    <s v="BX"/>
  </r>
  <r>
    <s v="ITM_130"/>
    <s v="Practice Mean"/>
    <s v="Grocery"/>
    <n v="1439"/>
    <n v="2100"/>
    <n v="1883"/>
    <n v="1764"/>
    <n v="1910"/>
    <n v="2112"/>
    <n v="1715"/>
    <n v="1932"/>
    <n v="1876"/>
    <n v="1700"/>
    <n v="2009"/>
    <n v="1794"/>
    <n v="22234"/>
    <n v="50"/>
    <n v="1111700"/>
    <n v="0.89031910180092488"/>
    <x v="1"/>
    <n v="1852.8333333333333"/>
    <n v="187.9544593455521"/>
    <n v="0.10144164397529123"/>
    <x v="0"/>
    <s v="BX"/>
  </r>
  <r>
    <s v="ITM_554"/>
    <s v="How Reduce"/>
    <s v="Apparel"/>
    <n v="796"/>
    <n v="906"/>
    <n v="969"/>
    <n v="1073"/>
    <n v="980"/>
    <n v="960"/>
    <n v="897"/>
    <n v="870"/>
    <n v="640"/>
    <n v="819"/>
    <n v="1143"/>
    <n v="898"/>
    <n v="10951"/>
    <n v="100"/>
    <n v="1095100"/>
    <n v="0.89134037603147442"/>
    <x v="1"/>
    <n v="912.58333333333337"/>
    <n v="130.65044155603846"/>
    <n v="0.14316549161468919"/>
    <x v="0"/>
    <s v="BX"/>
  </r>
  <r>
    <s v="ITM_171"/>
    <s v="Fear Service"/>
    <s v="Electronics"/>
    <n v="158"/>
    <n v="178"/>
    <n v="173"/>
    <n v="174"/>
    <n v="162"/>
    <n v="179"/>
    <n v="185"/>
    <n v="190"/>
    <n v="175"/>
    <n v="180"/>
    <n v="197"/>
    <n v="201"/>
    <n v="2152"/>
    <n v="500"/>
    <n v="1076000"/>
    <n v="0.89234383788159877"/>
    <x v="1"/>
    <n v="179.33333333333334"/>
    <n v="12.694546669791528"/>
    <n v="7.0787434961662787E-2"/>
    <x v="0"/>
    <s v="BX"/>
  </r>
  <r>
    <s v="ITM_443"/>
    <s v="Doctor His"/>
    <s v="Grocery"/>
    <n v="2278"/>
    <n v="1672"/>
    <n v="1781"/>
    <n v="2063"/>
    <n v="1259"/>
    <n v="1619"/>
    <n v="1408"/>
    <n v="1524"/>
    <n v="2063"/>
    <n v="1698"/>
    <n v="1672"/>
    <n v="2106"/>
    <n v="21143"/>
    <n v="50"/>
    <n v="1057150"/>
    <n v="0.8933297204976387"/>
    <x v="1"/>
    <n v="1761.9166666666667"/>
    <n v="307.75860030323412"/>
    <n v="0.17467261995170077"/>
    <x v="0"/>
    <s v="BX"/>
  </r>
  <r>
    <s v="ITM_129"/>
    <s v="Business Since"/>
    <s v="Apparel"/>
    <n v="941"/>
    <n v="946"/>
    <n v="1038"/>
    <n v="769"/>
    <n v="710"/>
    <n v="757"/>
    <n v="618"/>
    <n v="892"/>
    <n v="715"/>
    <n v="1012"/>
    <n v="1059"/>
    <n v="1057"/>
    <n v="10514"/>
    <n v="100"/>
    <n v="1051400"/>
    <n v="0.89431024074784393"/>
    <x v="1"/>
    <n v="876.16666666666663"/>
    <n v="155.51137539996174"/>
    <n v="0.177490631995391"/>
    <x v="0"/>
    <s v="BX"/>
  </r>
  <r>
    <s v="ITM_428"/>
    <s v="Hot Return"/>
    <s v="Grocery"/>
    <n v="1785"/>
    <n v="1610"/>
    <n v="1597"/>
    <n v="1667"/>
    <n v="1886"/>
    <n v="1795"/>
    <n v="1588"/>
    <n v="2046"/>
    <n v="1413"/>
    <n v="1778"/>
    <n v="1166"/>
    <n v="1721"/>
    <n v="20052"/>
    <n v="50"/>
    <n v="1002600"/>
    <n v="0.89524525083235573"/>
    <x v="1"/>
    <n v="1671"/>
    <n v="227.00861016910591"/>
    <n v="0.13585195102878869"/>
    <x v="0"/>
    <s v="BX"/>
  </r>
  <r>
    <s v="ITM_291"/>
    <s v="Offer Individual"/>
    <s v="Grocery"/>
    <n v="1821"/>
    <n v="1804"/>
    <n v="1920"/>
    <n v="1581"/>
    <n v="1653"/>
    <n v="1407"/>
    <n v="1336"/>
    <n v="1465"/>
    <n v="1408"/>
    <n v="1564"/>
    <n v="1939"/>
    <n v="2088"/>
    <n v="19986"/>
    <n v="50"/>
    <n v="999300"/>
    <n v="0.89617718338517105"/>
    <x v="1"/>
    <n v="1665.5"/>
    <n v="245.12316013866098"/>
    <n v="0.1471769199271456"/>
    <x v="0"/>
    <s v="BX"/>
  </r>
  <r>
    <s v="ITM_047"/>
    <s v="Suffer Short"/>
    <s v="Apparel"/>
    <n v="734"/>
    <n v="1086"/>
    <n v="877"/>
    <n v="774"/>
    <n v="559"/>
    <n v="813"/>
    <n v="730"/>
    <n v="808"/>
    <n v="596"/>
    <n v="786"/>
    <n v="1107"/>
    <n v="906"/>
    <n v="9776"/>
    <n v="100"/>
    <n v="977600"/>
    <n v="0.89708887883561872"/>
    <x v="1"/>
    <n v="814.66666666666663"/>
    <n v="165.33345552292658"/>
    <n v="0.20294614016725851"/>
    <x v="1"/>
    <s v="BY"/>
  </r>
  <r>
    <s v="ITM_394"/>
    <s v="Than Car"/>
    <s v="Grocery"/>
    <n v="1289"/>
    <n v="1664"/>
    <n v="1643"/>
    <n v="1589"/>
    <n v="1662"/>
    <n v="1642"/>
    <n v="1655"/>
    <n v="1850"/>
    <n v="1446"/>
    <n v="1683"/>
    <n v="1885"/>
    <n v="1517"/>
    <n v="19525"/>
    <n v="50"/>
    <n v="976250"/>
    <n v="0.89799931529582677"/>
    <x v="1"/>
    <n v="1627.0833333333333"/>
    <n v="160.63423066272659"/>
    <n v="9.8725263403468336E-2"/>
    <x v="0"/>
    <s v="BX"/>
  </r>
  <r>
    <s v="ITM_737"/>
    <s v="Action Actually"/>
    <s v="Grocery"/>
    <n v="1677"/>
    <n v="1263"/>
    <n v="1196"/>
    <n v="1534"/>
    <n v="1639"/>
    <n v="1506"/>
    <n v="1669"/>
    <n v="1745"/>
    <n v="1884"/>
    <n v="1781"/>
    <n v="1295"/>
    <n v="1732"/>
    <n v="18921"/>
    <n v="50"/>
    <n v="946050"/>
    <n v="0.89888158767808535"/>
    <x v="1"/>
    <n v="1576.75"/>
    <n v="221.68615202578621"/>
    <n v="0.14059689362662833"/>
    <x v="0"/>
    <s v="BX"/>
  </r>
  <r>
    <s v="ITM_107"/>
    <s v="Home Open"/>
    <s v="Grocery"/>
    <n v="1450"/>
    <n v="1596"/>
    <n v="1694"/>
    <n v="1678"/>
    <n v="1404"/>
    <n v="1495"/>
    <n v="1304"/>
    <n v="1712"/>
    <n v="1697"/>
    <n v="1301"/>
    <n v="1735"/>
    <n v="1734"/>
    <n v="18800"/>
    <n v="50"/>
    <n v="940000"/>
    <n v="0.89975821791890032"/>
    <x v="1"/>
    <n v="1566.6666666666667"/>
    <n v="167.52060027098645"/>
    <n v="0.10692804272616156"/>
    <x v="0"/>
    <s v="BX"/>
  </r>
  <r>
    <s v="ITM_472"/>
    <s v="After Phone"/>
    <s v="Grocery"/>
    <n v="1826"/>
    <n v="1480"/>
    <n v="1600"/>
    <n v="1365"/>
    <n v="1218"/>
    <n v="1307"/>
    <n v="1389"/>
    <n v="1551"/>
    <n v="1536"/>
    <n v="1683"/>
    <n v="1259"/>
    <n v="1315"/>
    <n v="17529"/>
    <n v="50"/>
    <n v="876450"/>
    <n v="0.90057558235992408"/>
    <x v="2"/>
    <n v="1460.75"/>
    <n v="184.68652803159097"/>
    <n v="0.12643267364818825"/>
    <x v="0"/>
    <s v="CX"/>
  </r>
  <r>
    <s v="ITM_125"/>
    <s v="Difficult Rule"/>
    <s v="Apparel"/>
    <n v="503"/>
    <n v="883"/>
    <n v="678"/>
    <n v="497"/>
    <n v="684"/>
    <n v="676"/>
    <n v="796"/>
    <n v="774"/>
    <n v="901"/>
    <n v="629"/>
    <n v="654"/>
    <n v="796"/>
    <n v="8471"/>
    <n v="100"/>
    <n v="847100"/>
    <n v="0.9013655754205564"/>
    <x v="2"/>
    <n v="705.91666666666663"/>
    <n v="129.98913124728648"/>
    <n v="0.18414231790431329"/>
    <x v="0"/>
    <s v="CX"/>
  </r>
  <r>
    <s v="ITM_190"/>
    <s v="Your While"/>
    <s v="Grocery"/>
    <n v="1520"/>
    <n v="1165"/>
    <n v="1367"/>
    <n v="1279"/>
    <n v="1338"/>
    <n v="1102"/>
    <n v="1354"/>
    <n v="1304"/>
    <n v="1263"/>
    <n v="1389"/>
    <n v="1284"/>
    <n v="1573"/>
    <n v="15938"/>
    <n v="50"/>
    <n v="796900"/>
    <n v="0.90210875269598767"/>
    <x v="2"/>
    <n v="1328.1666666666667"/>
    <n v="131.31837324424617"/>
    <n v="9.8871908578927969E-2"/>
    <x v="0"/>
    <s v="CX"/>
  </r>
  <r>
    <s v="ITM_813"/>
    <s v="Party To"/>
    <s v="Apparel"/>
    <n v="895"/>
    <n v="473"/>
    <n v="609"/>
    <n v="450"/>
    <n v="567"/>
    <n v="963"/>
    <n v="820"/>
    <n v="793"/>
    <n v="695"/>
    <n v="456"/>
    <n v="371"/>
    <n v="849"/>
    <n v="7941"/>
    <n v="100"/>
    <n v="794100"/>
    <n v="0.90284931873240382"/>
    <x v="2"/>
    <n v="661.75"/>
    <n v="200.61003555065824"/>
    <n v="0.30315079040522591"/>
    <x v="1"/>
    <s v="CY"/>
  </r>
  <r>
    <s v="ITM_741"/>
    <s v="Economic Act"/>
    <s v="Grocery"/>
    <n v="1043"/>
    <n v="1431"/>
    <n v="1292"/>
    <n v="1223"/>
    <n v="1531"/>
    <n v="947"/>
    <n v="1274"/>
    <n v="1509"/>
    <n v="980"/>
    <n v="1488"/>
    <n v="1366"/>
    <n v="1186"/>
    <n v="15270"/>
    <n v="50"/>
    <n v="763500"/>
    <n v="0.90356134765672536"/>
    <x v="2"/>
    <n v="1272.5"/>
    <n v="203.94986014838415"/>
    <n v="0.16027493921287556"/>
    <x v="0"/>
    <s v="CX"/>
  </r>
  <r>
    <s v="ITM_421"/>
    <s v="Magazine Late"/>
    <s v="Electronics"/>
    <n v="116"/>
    <n v="107"/>
    <n v="115"/>
    <n v="95"/>
    <n v="99"/>
    <n v="115"/>
    <n v="121"/>
    <n v="108"/>
    <n v="112"/>
    <n v="108"/>
    <n v="102"/>
    <n v="91"/>
    <n v="1289"/>
    <n v="500"/>
    <n v="644500"/>
    <n v="0.90416239892290118"/>
    <x v="2"/>
    <n v="107.41666666666667"/>
    <n v="9.1399058413026761"/>
    <n v="8.5088339872484181E-2"/>
    <x v="0"/>
    <s v="CX"/>
  </r>
  <r>
    <s v="ITM_617"/>
    <s v="Itself Follow"/>
    <s v="Grocery"/>
    <n v="1192"/>
    <n v="964"/>
    <n v="1006"/>
    <n v="727"/>
    <n v="1201"/>
    <n v="712"/>
    <n v="1184"/>
    <n v="1198"/>
    <n v="1120"/>
    <n v="790"/>
    <n v="1170"/>
    <n v="1421"/>
    <n v="12685"/>
    <n v="50"/>
    <n v="634250"/>
    <n v="0.90475389118911065"/>
    <x v="2"/>
    <n v="1057.0833333333333"/>
    <n v="220.46828604476221"/>
    <n v="0.20856282479599106"/>
    <x v="1"/>
    <s v="CY"/>
  </r>
  <r>
    <s v="ITM_247"/>
    <s v="Control Analysis"/>
    <s v="Apparel"/>
    <n v="459"/>
    <n v="400"/>
    <n v="704"/>
    <n v="764"/>
    <n v="712"/>
    <n v="617"/>
    <n v="355"/>
    <n v="439"/>
    <n v="476"/>
    <n v="229"/>
    <n v="557"/>
    <n v="444"/>
    <n v="6156"/>
    <n v="100"/>
    <n v="615600"/>
    <n v="0.90532799073830827"/>
    <x v="2"/>
    <n v="513"/>
    <n v="160.89126763127948"/>
    <n v="0.3136282020102914"/>
    <x v="1"/>
    <s v="CY"/>
  </r>
  <r>
    <s v="ITM_661"/>
    <s v="Product Treat"/>
    <s v="Apparel"/>
    <n v="929"/>
    <n v="1183"/>
    <n v="1228"/>
    <n v="787"/>
    <n v="933"/>
    <n v="777"/>
    <n v="940"/>
    <n v="1072"/>
    <n v="1211"/>
    <n v="1011"/>
    <n v="941"/>
    <n v="1228"/>
    <n v="12240"/>
    <n v="50"/>
    <n v="612000"/>
    <n v="0.90589873298020052"/>
    <x v="2"/>
    <n v="1020"/>
    <n v="163.53815234595038"/>
    <n v="0.16033152190779448"/>
    <x v="0"/>
    <s v="CX"/>
  </r>
  <r>
    <s v="ITM_990"/>
    <s v="Light Sport"/>
    <s v="Grocery"/>
    <n v="4815"/>
    <n v="5067"/>
    <n v="4966"/>
    <n v="5089"/>
    <n v="4878"/>
    <n v="4726"/>
    <n v="4969"/>
    <n v="4904"/>
    <n v="5240"/>
    <n v="4963"/>
    <n v="4968"/>
    <n v="5054"/>
    <n v="59639"/>
    <n v="10"/>
    <n v="596390"/>
    <n v="0.90645491756458318"/>
    <x v="2"/>
    <n v="4969.916666666667"/>
    <n v="134.83219087803067"/>
    <n v="2.7129668346826202E-2"/>
    <x v="0"/>
    <s v="CX"/>
  </r>
  <r>
    <s v="ITM_528"/>
    <s v="What Friend"/>
    <s v="Grocery"/>
    <n v="4476"/>
    <n v="5066"/>
    <n v="5208"/>
    <n v="4874"/>
    <n v="5384"/>
    <n v="4876"/>
    <n v="4927"/>
    <n v="5090"/>
    <n v="4979"/>
    <n v="4720"/>
    <n v="4805"/>
    <n v="4898"/>
    <n v="59303"/>
    <n v="10"/>
    <n v="593030"/>
    <n v="0.9070079686621475"/>
    <x v="2"/>
    <n v="4941.916666666667"/>
    <n v="233.76735067674494"/>
    <n v="4.7302973005091467E-2"/>
    <x v="0"/>
    <s v="CX"/>
  </r>
  <r>
    <s v="ITM_632"/>
    <s v="Store Wear"/>
    <s v="Grocery"/>
    <n v="4869"/>
    <n v="5171"/>
    <n v="4997"/>
    <n v="5186"/>
    <n v="4993"/>
    <n v="4702"/>
    <n v="4887"/>
    <n v="4851"/>
    <n v="4865"/>
    <n v="4669"/>
    <n v="4819"/>
    <n v="4809"/>
    <n v="58818"/>
    <n v="10"/>
    <n v="588180"/>
    <n v="0.90755649672070349"/>
    <x v="2"/>
    <n v="4901.5"/>
    <n v="161.08467564381388"/>
    <n v="3.2864363081467687E-2"/>
    <x v="0"/>
    <s v="CX"/>
  </r>
  <r>
    <s v="ITM_177"/>
    <s v="Carry Arrive"/>
    <s v="Grocery"/>
    <n v="5214"/>
    <n v="4788"/>
    <n v="4879"/>
    <n v="4769"/>
    <n v="5085"/>
    <n v="4879"/>
    <n v="4878"/>
    <n v="4885"/>
    <n v="4591"/>
    <n v="5006"/>
    <n v="4900"/>
    <n v="4860"/>
    <n v="58734"/>
    <n v="10"/>
    <n v="587340"/>
    <n v="0.90810424140755486"/>
    <x v="2"/>
    <n v="4894.5"/>
    <n v="157.26960059950324"/>
    <n v="3.2131903279089435E-2"/>
    <x v="0"/>
    <s v="CX"/>
  </r>
  <r>
    <s v="ITM_533"/>
    <s v="Ten Generation"/>
    <s v="Toys"/>
    <n v="520"/>
    <n v="471"/>
    <n v="472"/>
    <n v="465"/>
    <n v="498"/>
    <n v="493"/>
    <n v="502"/>
    <n v="492"/>
    <n v="491"/>
    <n v="470"/>
    <n v="469"/>
    <n v="500"/>
    <n v="5843"/>
    <n v="100"/>
    <n v="584300"/>
    <n v="0.90864915103490396"/>
    <x v="2"/>
    <n v="486.91666666666669"/>
    <n v="17.21235461856255"/>
    <n v="3.5349692867148827E-2"/>
    <x v="0"/>
    <s v="CX"/>
  </r>
  <r>
    <s v="ITM_015"/>
    <s v="Movie Give"/>
    <s v="Toys"/>
    <n v="490"/>
    <n v="487"/>
    <n v="507"/>
    <n v="487"/>
    <n v="497"/>
    <n v="490"/>
    <n v="465"/>
    <n v="456"/>
    <n v="474"/>
    <n v="517"/>
    <n v="473"/>
    <n v="469"/>
    <n v="5812"/>
    <n v="100"/>
    <n v="581200"/>
    <n v="0.90919116964762914"/>
    <x v="2"/>
    <n v="484.33333333333331"/>
    <n v="17.752507291971892"/>
    <n v="3.6653490623479473E-2"/>
    <x v="0"/>
    <s v="CX"/>
  </r>
  <r>
    <s v="ITM_103"/>
    <s v="Seven Mother"/>
    <s v="Apparel"/>
    <n v="258"/>
    <n v="527"/>
    <n v="640"/>
    <n v="448"/>
    <n v="729"/>
    <n v="813"/>
    <n v="393"/>
    <n v="221"/>
    <n v="588"/>
    <n v="428"/>
    <n v="252"/>
    <n v="507"/>
    <n v="5804"/>
    <n v="100"/>
    <n v="580400"/>
    <n v="0.90973244219206428"/>
    <x v="2"/>
    <n v="483.66666666666669"/>
    <n v="188.9147635278616"/>
    <n v="0.39058875987841818"/>
    <x v="1"/>
    <s v="CY"/>
  </r>
  <r>
    <s v="ITM_285"/>
    <s v="Account Spring"/>
    <s v="Grocery"/>
    <n v="4763"/>
    <n v="4972"/>
    <n v="4664"/>
    <n v="4657"/>
    <n v="4784"/>
    <n v="5156"/>
    <n v="4913"/>
    <n v="4545"/>
    <n v="4662"/>
    <n v="5010"/>
    <n v="4920"/>
    <n v="4768"/>
    <n v="57814"/>
    <n v="10"/>
    <n v="578140"/>
    <n v="0.91027160709358002"/>
    <x v="2"/>
    <n v="4817.833333333333"/>
    <n v="178.23265353991334"/>
    <n v="3.6994358502766805E-2"/>
    <x v="0"/>
    <s v="CX"/>
  </r>
  <r>
    <s v="ITM_309"/>
    <s v="Poor Her"/>
    <s v="Grocery"/>
    <n v="4760"/>
    <n v="4681"/>
    <n v="5224"/>
    <n v="4789"/>
    <n v="4436"/>
    <n v="4922"/>
    <n v="5136"/>
    <n v="4646"/>
    <n v="4584"/>
    <n v="4969"/>
    <n v="4685"/>
    <n v="4674"/>
    <n v="57506"/>
    <n v="10"/>
    <n v="575060"/>
    <n v="0.91080789963217901"/>
    <x v="2"/>
    <n v="4792.166666666667"/>
    <n v="230.26302483477585"/>
    <n v="4.8049878239093485E-2"/>
    <x v="0"/>
    <s v="CX"/>
  </r>
  <r>
    <s v="ITM_347"/>
    <s v="Present Training"/>
    <s v="Apparel"/>
    <n v="859"/>
    <n v="672"/>
    <n v="1179"/>
    <n v="1138"/>
    <n v="1195"/>
    <n v="753"/>
    <n v="749"/>
    <n v="943"/>
    <n v="815"/>
    <n v="1201"/>
    <n v="840"/>
    <n v="1146"/>
    <n v="11490"/>
    <n v="50"/>
    <n v="574500"/>
    <n v="0.911343669922975"/>
    <x v="2"/>
    <n v="957.5"/>
    <n v="200.83937498771138"/>
    <n v="0.2097539164362521"/>
    <x v="1"/>
    <s v="CY"/>
  </r>
  <r>
    <s v="ITM_945"/>
    <s v="Team Experience"/>
    <s v="Apparel"/>
    <n v="421"/>
    <n v="452"/>
    <n v="748"/>
    <n v="666"/>
    <n v="285"/>
    <n v="584"/>
    <n v="226"/>
    <n v="666"/>
    <n v="556"/>
    <n v="460"/>
    <n v="181"/>
    <n v="477"/>
    <n v="5722"/>
    <n v="100"/>
    <n v="572200"/>
    <n v="0.91187729526743699"/>
    <x v="2"/>
    <n v="476.83333333333331"/>
    <n v="179.4191807590326"/>
    <n v="0.3762723119728052"/>
    <x v="1"/>
    <s v="CY"/>
  </r>
  <r>
    <s v="ITM_607"/>
    <s v="Property Consider"/>
    <s v="Electronics"/>
    <n v="488"/>
    <n v="496"/>
    <n v="483"/>
    <n v="490"/>
    <n v="482"/>
    <n v="479"/>
    <n v="465"/>
    <n v="474"/>
    <n v="450"/>
    <n v="455"/>
    <n v="473"/>
    <n v="480"/>
    <n v="5715"/>
    <n v="100"/>
    <n v="571500"/>
    <n v="0.91241026780214529"/>
    <x v="2"/>
    <n v="476.25"/>
    <n v="13.817808009297936"/>
    <n v="2.9013770098263381E-2"/>
    <x v="0"/>
    <s v="CX"/>
  </r>
  <r>
    <s v="ITM_591"/>
    <s v="Music Game"/>
    <s v="Grocery"/>
    <n v="4750"/>
    <n v="4723"/>
    <n v="4947"/>
    <n v="4801"/>
    <n v="4752"/>
    <n v="4473"/>
    <n v="4860"/>
    <n v="4535"/>
    <n v="4972"/>
    <n v="4706"/>
    <n v="4870"/>
    <n v="4687"/>
    <n v="57076"/>
    <n v="10"/>
    <n v="570760"/>
    <n v="0.91294255022368531"/>
    <x v="2"/>
    <n v="4756.333333333333"/>
    <n v="149.63733936866603"/>
    <n v="3.1460650228186851E-2"/>
    <x v="0"/>
    <s v="CX"/>
  </r>
  <r>
    <s v="ITM_256"/>
    <s v="Check Section"/>
    <s v="Apparel"/>
    <n v="594"/>
    <n v="300"/>
    <n v="398"/>
    <n v="523"/>
    <n v="300"/>
    <n v="474"/>
    <n v="409"/>
    <n v="681"/>
    <n v="588"/>
    <n v="652"/>
    <n v="276"/>
    <n v="504"/>
    <n v="5699"/>
    <n v="100"/>
    <n v="569900"/>
    <n v="0.91347403062181343"/>
    <x v="2"/>
    <n v="474.91666666666669"/>
    <n v="139.79755384342764"/>
    <n v="0.2943622821760189"/>
    <x v="1"/>
    <s v="CY"/>
  </r>
  <r>
    <s v="ITM_049"/>
    <s v="Figure Machine"/>
    <s v="Apparel"/>
    <n v="822"/>
    <n v="729"/>
    <n v="1175"/>
    <n v="1199"/>
    <n v="948"/>
    <n v="1087"/>
    <n v="768"/>
    <n v="751"/>
    <n v="1073"/>
    <n v="728"/>
    <n v="1039"/>
    <n v="849"/>
    <n v="11168"/>
    <n v="50"/>
    <n v="558400"/>
    <n v="0.91399478628827202"/>
    <x v="2"/>
    <n v="930.66666666666663"/>
    <n v="177.71239959467351"/>
    <n v="0.190951718762185"/>
    <x v="0"/>
    <s v="CX"/>
  </r>
  <r>
    <s v="ITM_384"/>
    <s v="Character Sing"/>
    <s v="Grocery"/>
    <n v="4581"/>
    <n v="4430"/>
    <n v="4863"/>
    <n v="4836"/>
    <n v="4458"/>
    <n v="4690"/>
    <n v="4528"/>
    <n v="4464"/>
    <n v="4742"/>
    <n v="4600"/>
    <n v="4869"/>
    <n v="4591"/>
    <n v="55652"/>
    <n v="10"/>
    <n v="556520"/>
    <n v="0.91451378869424904"/>
    <x v="2"/>
    <n v="4637.666666666667"/>
    <n v="160.01439329199752"/>
    <n v="3.4503211376122514E-2"/>
    <x v="0"/>
    <s v="CX"/>
  </r>
  <r>
    <s v="ITM_576"/>
    <s v="Represent Whose"/>
    <s v="Electronics"/>
    <n v="451"/>
    <n v="470"/>
    <n v="456"/>
    <n v="500"/>
    <n v="469"/>
    <n v="467"/>
    <n v="451"/>
    <n v="468"/>
    <n v="492"/>
    <n v="436"/>
    <n v="443"/>
    <n v="459"/>
    <n v="5562"/>
    <n v="100"/>
    <n v="556200"/>
    <n v="0.91503249267290998"/>
    <x v="2"/>
    <n v="463.5"/>
    <n v="18.62305511504978"/>
    <n v="4.0179191186730918E-2"/>
    <x v="0"/>
    <s v="CX"/>
  </r>
  <r>
    <s v="ITM_947"/>
    <s v="Class Now"/>
    <s v="Grocery"/>
    <n v="4776"/>
    <n v="4573"/>
    <n v="4617"/>
    <n v="4590"/>
    <n v="4420"/>
    <n v="4659"/>
    <n v="4707"/>
    <n v="4610"/>
    <n v="4644"/>
    <n v="4319"/>
    <n v="4591"/>
    <n v="5009"/>
    <n v="55515"/>
    <n v="10"/>
    <n v="555150"/>
    <n v="0.91555021743694021"/>
    <x v="2"/>
    <n v="4626.25"/>
    <n v="170.43107111087463"/>
    <n v="3.6840004563280113E-2"/>
    <x v="0"/>
    <s v="CX"/>
  </r>
  <r>
    <s v="ITM_339"/>
    <s v="Message Exactly"/>
    <s v="Electronics"/>
    <n v="501"/>
    <n v="461"/>
    <n v="513"/>
    <n v="457"/>
    <n v="450"/>
    <n v="443"/>
    <n v="454"/>
    <n v="474"/>
    <n v="486"/>
    <n v="453"/>
    <n v="426"/>
    <n v="433"/>
    <n v="5551"/>
    <n v="100"/>
    <n v="555100"/>
    <n v="0.91606789557170232"/>
    <x v="2"/>
    <n v="462.58333333333331"/>
    <n v="26.373052132581826"/>
    <n v="5.7012542891547814E-2"/>
    <x v="0"/>
    <s v="CX"/>
  </r>
  <r>
    <s v="ITM_543"/>
    <s v="Present Maybe"/>
    <s v="Grocery"/>
    <n v="4679"/>
    <n v="4346"/>
    <n v="4493"/>
    <n v="4836"/>
    <n v="4481"/>
    <n v="4669"/>
    <n v="4885"/>
    <n v="4534"/>
    <n v="4567"/>
    <n v="4717"/>
    <n v="4342"/>
    <n v="4766"/>
    <n v="55315"/>
    <n v="10"/>
    <n v="553150"/>
    <n v="0.91658375516500745"/>
    <x v="2"/>
    <n v="4609.583333333333"/>
    <n v="178.42770796515032"/>
    <n v="3.8707990519421566E-2"/>
    <x v="0"/>
    <s v="CX"/>
  </r>
  <r>
    <s v="ITM_760"/>
    <s v="She Spring"/>
    <s v="Grocery"/>
    <n v="4419"/>
    <n v="4346"/>
    <n v="4592"/>
    <n v="4721"/>
    <n v="4570"/>
    <n v="4302"/>
    <n v="4953"/>
    <n v="4818"/>
    <n v="4652"/>
    <n v="4423"/>
    <n v="4407"/>
    <n v="4870"/>
    <n v="55073"/>
    <n v="10"/>
    <n v="550730"/>
    <n v="0.91709735790173519"/>
    <x v="2"/>
    <n v="4589.416666666667"/>
    <n v="216.72288897590076"/>
    <n v="4.7222317064819587E-2"/>
    <x v="0"/>
    <s v="CX"/>
  </r>
  <r>
    <s v="ITM_433"/>
    <s v="Reduce Recognize"/>
    <s v="Grocery"/>
    <n v="4457"/>
    <n v="4330"/>
    <n v="4470"/>
    <n v="4554"/>
    <n v="4218"/>
    <n v="4407"/>
    <n v="4622"/>
    <n v="4391"/>
    <n v="4634"/>
    <n v="4884"/>
    <n v="4773"/>
    <n v="4614"/>
    <n v="54354"/>
    <n v="10"/>
    <n v="543540"/>
    <n v="0.91760425534970602"/>
    <x v="2"/>
    <n v="4529.5"/>
    <n v="188.77523913133024"/>
    <n v="4.1676838311365545E-2"/>
    <x v="0"/>
    <s v="CX"/>
  </r>
  <r>
    <s v="ITM_099"/>
    <s v="Specific Work"/>
    <s v="Grocery"/>
    <n v="4708"/>
    <n v="4490"/>
    <n v="4114"/>
    <n v="4660"/>
    <n v="4199"/>
    <n v="4482"/>
    <n v="4714"/>
    <n v="4624"/>
    <n v="4188"/>
    <n v="4421"/>
    <n v="4475"/>
    <n v="4768"/>
    <n v="53843"/>
    <n v="10"/>
    <n v="538430"/>
    <n v="0.91810638728647409"/>
    <x v="2"/>
    <n v="4486.916666666667"/>
    <n v="222.39132517962906"/>
    <n v="4.9564398383365502E-2"/>
    <x v="0"/>
    <s v="CX"/>
  </r>
  <r>
    <s v="ITM_001"/>
    <s v="Surface Near"/>
    <s v="Grocery"/>
    <n v="4516"/>
    <n v="4069"/>
    <n v="4664"/>
    <n v="4653"/>
    <n v="4508"/>
    <n v="4125"/>
    <n v="4669"/>
    <n v="4210"/>
    <n v="4824"/>
    <n v="4497"/>
    <n v="4259"/>
    <n v="4782"/>
    <n v="53776"/>
    <n v="10"/>
    <n v="537760"/>
    <n v="0.91860789439104928"/>
    <x v="2"/>
    <n v="4481.333333333333"/>
    <n v="257.27252382474018"/>
    <n v="5.7409816384574576E-2"/>
    <x v="0"/>
    <s v="CX"/>
  </r>
  <r>
    <s v="ITM_288"/>
    <s v="Learn Keep"/>
    <s v="Apparel"/>
    <n v="983"/>
    <n v="1081"/>
    <n v="927"/>
    <n v="752"/>
    <n v="1170"/>
    <n v="654"/>
    <n v="739"/>
    <n v="1153"/>
    <n v="653"/>
    <n v="744"/>
    <n v="1163"/>
    <n v="666"/>
    <n v="10685"/>
    <n v="50"/>
    <n v="534250"/>
    <n v="0.91910612812100179"/>
    <x v="2"/>
    <n v="890.41666666666663"/>
    <n v="211.87408710807165"/>
    <n v="0.23794937251257461"/>
    <x v="1"/>
    <s v="CY"/>
  </r>
  <r>
    <s v="ITM_147"/>
    <s v="Hair Good"/>
    <s v="Grocery"/>
    <n v="4215"/>
    <n v="4896"/>
    <n v="4536"/>
    <n v="4629"/>
    <n v="4373"/>
    <n v="4948"/>
    <n v="4446"/>
    <n v="4077"/>
    <n v="4552"/>
    <n v="4211"/>
    <n v="4274"/>
    <n v="4200"/>
    <n v="53357"/>
    <n v="10"/>
    <n v="533570"/>
    <n v="0.91960372769290788"/>
    <x v="2"/>
    <n v="4446.416666666667"/>
    <n v="277.57110746071845"/>
    <n v="6.2425797730918553E-2"/>
    <x v="0"/>
    <s v="CX"/>
  </r>
  <r>
    <s v="ITM_068"/>
    <s v="Allow Those"/>
    <s v="Apparel"/>
    <n v="1022"/>
    <n v="1119"/>
    <n v="744"/>
    <n v="872"/>
    <n v="858"/>
    <n v="697"/>
    <n v="847"/>
    <n v="879"/>
    <n v="827"/>
    <n v="735"/>
    <n v="834"/>
    <n v="1219"/>
    <n v="10653"/>
    <n v="50"/>
    <n v="532650"/>
    <n v="0.92010046928628031"/>
    <x v="2"/>
    <n v="887.75"/>
    <n v="156.97661956772126"/>
    <n v="0.17682525437084906"/>
    <x v="0"/>
    <s v="CX"/>
  </r>
  <r>
    <s v="ITM_323"/>
    <s v="Give Cut"/>
    <s v="Grocery"/>
    <n v="4131"/>
    <n v="4217"/>
    <n v="4408"/>
    <n v="5003"/>
    <n v="4471"/>
    <n v="4496"/>
    <n v="4079"/>
    <n v="4289"/>
    <n v="4338"/>
    <n v="4681"/>
    <n v="4277"/>
    <n v="4420"/>
    <n v="52810"/>
    <n v="10"/>
    <n v="528100"/>
    <n v="0.92059296761625309"/>
    <x v="2"/>
    <n v="4400.833333333333"/>
    <n v="251.80578133782296"/>
    <n v="5.7217749972616472E-2"/>
    <x v="0"/>
    <s v="CX"/>
  </r>
  <r>
    <s v="ITM_578"/>
    <s v="Glass Career"/>
    <s v="Grocery"/>
    <n v="4464"/>
    <n v="3966"/>
    <n v="4222"/>
    <n v="4529"/>
    <n v="4546"/>
    <n v="4449"/>
    <n v="4333"/>
    <n v="4288"/>
    <n v="4174"/>
    <n v="4507"/>
    <n v="4448"/>
    <n v="4883"/>
    <n v="52809"/>
    <n v="10"/>
    <n v="528090"/>
    <n v="0.92108545662037222"/>
    <x v="2"/>
    <n v="4400.75"/>
    <n v="229.55257864732508"/>
    <n v="5.2162149326211459E-2"/>
    <x v="0"/>
    <s v="CX"/>
  </r>
  <r>
    <s v="ITM_566"/>
    <s v="Reach Big"/>
    <s v="Grocery"/>
    <n v="4537"/>
    <n v="4504"/>
    <n v="4420"/>
    <n v="4449"/>
    <n v="4780"/>
    <n v="4236"/>
    <n v="4430"/>
    <n v="4267"/>
    <n v="4396"/>
    <n v="4034"/>
    <n v="4126"/>
    <n v="4267"/>
    <n v="52446"/>
    <n v="10"/>
    <n v="524460"/>
    <n v="0.92157456033962526"/>
    <x v="2"/>
    <n v="4370.5"/>
    <n v="199.67359728954014"/>
    <n v="4.5686671385319788E-2"/>
    <x v="0"/>
    <s v="CX"/>
  </r>
  <r>
    <s v="ITM_157"/>
    <s v="Attorney These"/>
    <s v="Grocery"/>
    <n v="4420"/>
    <n v="4525"/>
    <n v="3938"/>
    <n v="4375"/>
    <n v="4477"/>
    <n v="4216"/>
    <n v="4435"/>
    <n v="4532"/>
    <n v="4391"/>
    <n v="4406"/>
    <n v="4498"/>
    <n v="4201"/>
    <n v="52414"/>
    <n v="10"/>
    <n v="524140"/>
    <n v="0.92206336563156222"/>
    <x v="2"/>
    <n v="4367.833333333333"/>
    <n v="172.00255459695586"/>
    <n v="3.9379376791763086E-2"/>
    <x v="0"/>
    <s v="CX"/>
  </r>
  <r>
    <s v="ITM_694"/>
    <s v="Republican Individual"/>
    <s v="Grocery"/>
    <n v="4176"/>
    <n v="3853"/>
    <n v="4488"/>
    <n v="4318"/>
    <n v="4238"/>
    <n v="4568"/>
    <n v="4291"/>
    <n v="4630"/>
    <n v="4356"/>
    <n v="4459"/>
    <n v="4314"/>
    <n v="4721"/>
    <n v="52412"/>
    <n v="10"/>
    <n v="524120"/>
    <n v="0.92255215227179188"/>
    <x v="2"/>
    <n v="4367.666666666667"/>
    <n v="230.88971524531061"/>
    <n v="5.2863401185677464E-2"/>
    <x v="0"/>
    <s v="CX"/>
  </r>
  <r>
    <s v="ITM_118"/>
    <s v="List Long"/>
    <s v="Grocery"/>
    <n v="4459"/>
    <n v="4665"/>
    <n v="4334"/>
    <n v="4494"/>
    <n v="4528"/>
    <n v="4418"/>
    <n v="4052"/>
    <n v="4327"/>
    <n v="4209"/>
    <n v="4185"/>
    <n v="4276"/>
    <n v="4456"/>
    <n v="52403"/>
    <n v="10"/>
    <n v="524030"/>
    <n v="0.92304085497933908"/>
    <x v="2"/>
    <n v="4366.916666666667"/>
    <n v="170.05959294175426"/>
    <n v="3.8942715403718318E-2"/>
    <x v="0"/>
    <s v="CX"/>
  </r>
  <r>
    <s v="ITM_217"/>
    <s v="Certain Say"/>
    <s v="Grocery"/>
    <n v="4115"/>
    <n v="4125"/>
    <n v="4670"/>
    <n v="4338"/>
    <n v="4743"/>
    <n v="4373"/>
    <n v="4398"/>
    <n v="4252"/>
    <n v="4300"/>
    <n v="4401"/>
    <n v="4395"/>
    <n v="4260"/>
    <n v="52370"/>
    <n v="10"/>
    <n v="523700"/>
    <n v="0.92352924993371655"/>
    <x v="2"/>
    <n v="4364.166666666667"/>
    <n v="187.83398537167349"/>
    <n v="4.3040057751767842E-2"/>
    <x v="0"/>
    <s v="CX"/>
  </r>
  <r>
    <s v="ITM_199"/>
    <s v="Trip Sense"/>
    <s v="Apparel"/>
    <n v="615"/>
    <n v="288"/>
    <n v="281"/>
    <n v="441"/>
    <n v="274"/>
    <n v="260"/>
    <n v="381"/>
    <n v="613"/>
    <n v="560"/>
    <n v="373"/>
    <n v="544"/>
    <n v="604"/>
    <n v="5234"/>
    <n v="100"/>
    <n v="523400"/>
    <n v="0.92401736511248522"/>
    <x v="2"/>
    <n v="436.16666666666669"/>
    <n v="144.22257630187966"/>
    <n v="0.33065932663785935"/>
    <x v="1"/>
    <s v="CY"/>
  </r>
  <r>
    <s v="ITM_870"/>
    <s v="Respond Quickly"/>
    <s v="Apparel"/>
    <n v="1069"/>
    <n v="883"/>
    <n v="954"/>
    <n v="954"/>
    <n v="1010"/>
    <n v="689"/>
    <n v="1080"/>
    <n v="528"/>
    <n v="635"/>
    <n v="1005"/>
    <n v="1071"/>
    <n v="565"/>
    <n v="10443"/>
    <n v="50"/>
    <n v="522150"/>
    <n v="0.92450431455955062"/>
    <x v="2"/>
    <n v="870.25"/>
    <n v="207.6234025169785"/>
    <n v="0.23857903190689858"/>
    <x v="1"/>
    <s v="CY"/>
  </r>
  <r>
    <s v="ITM_514"/>
    <s v="Official Impact"/>
    <s v="Electronics"/>
    <n v="455"/>
    <n v="445"/>
    <n v="427"/>
    <n v="435"/>
    <n v="433"/>
    <n v="426"/>
    <n v="444"/>
    <n v="421"/>
    <n v="425"/>
    <n v="427"/>
    <n v="412"/>
    <n v="443"/>
    <n v="5193"/>
    <n v="100"/>
    <n v="519300"/>
    <n v="0.92498860613833278"/>
    <x v="2"/>
    <n v="432.75"/>
    <n v="12.144022098434798"/>
    <n v="2.8062442746238699E-2"/>
    <x v="0"/>
    <s v="CX"/>
  </r>
  <r>
    <s v="ITM_529"/>
    <s v="Good Seven"/>
    <s v="Grocery"/>
    <n v="4108"/>
    <n v="4173"/>
    <n v="4384"/>
    <n v="4587"/>
    <n v="4389"/>
    <n v="4361"/>
    <n v="4366"/>
    <n v="4412"/>
    <n v="4009"/>
    <n v="4233"/>
    <n v="4106"/>
    <n v="4361"/>
    <n v="51489"/>
    <n v="10"/>
    <n v="514890"/>
    <n v="0.92546878501566598"/>
    <x v="2"/>
    <n v="4290.75"/>
    <n v="165.27119586249196"/>
    <n v="3.8518020360657684E-2"/>
    <x v="0"/>
    <s v="CX"/>
  </r>
  <r>
    <s v="ITM_346"/>
    <s v="Raise Use"/>
    <s v="Grocery"/>
    <n v="4044"/>
    <n v="4208"/>
    <n v="4330"/>
    <n v="4401"/>
    <n v="4185"/>
    <n v="4041"/>
    <n v="4361"/>
    <n v="3835"/>
    <n v="4570"/>
    <n v="4243"/>
    <n v="4311"/>
    <n v="4444"/>
    <n v="50973"/>
    <n v="10"/>
    <n v="509730"/>
    <n v="0.92594415175252842"/>
    <x v="2"/>
    <n v="4247.75"/>
    <n v="202.16965198025687"/>
    <n v="4.759452698022644E-2"/>
    <x v="0"/>
    <s v="CX"/>
  </r>
  <r>
    <s v="ITM_089"/>
    <s v="Mother Pass"/>
    <s v="Grocery"/>
    <n v="3998"/>
    <n v="4324"/>
    <n v="4433"/>
    <n v="4439"/>
    <n v="4103"/>
    <n v="4373"/>
    <n v="4292"/>
    <n v="4281"/>
    <n v="4142"/>
    <n v="4209"/>
    <n v="3973"/>
    <n v="4377"/>
    <n v="50944"/>
    <n v="10"/>
    <n v="509440"/>
    <n v="0.9264192480396356"/>
    <x v="2"/>
    <n v="4245.333333333333"/>
    <n v="160.56566673275248"/>
    <n v="3.7821686573355641E-2"/>
    <x v="0"/>
    <s v="CX"/>
  </r>
  <r>
    <s v="ITM_832"/>
    <s v="None Well"/>
    <s v="Grocery"/>
    <n v="4261"/>
    <n v="4164"/>
    <n v="3967"/>
    <n v="4307"/>
    <n v="4724"/>
    <n v="4262"/>
    <n v="3831"/>
    <n v="4303"/>
    <n v="4009"/>
    <n v="4620"/>
    <n v="4132"/>
    <n v="3920"/>
    <n v="50500"/>
    <n v="10"/>
    <n v="505000"/>
    <n v="0.926890203647733"/>
    <x v="2"/>
    <n v="4208.333333333333"/>
    <n v="268.16152979241087"/>
    <n v="6.3721551633840218E-2"/>
    <x v="0"/>
    <s v="CX"/>
  </r>
  <r>
    <s v="ITM_293"/>
    <s v="White Music"/>
    <s v="Grocery"/>
    <n v="4268"/>
    <n v="4188"/>
    <n v="4391"/>
    <n v="3998"/>
    <n v="4785"/>
    <n v="3749"/>
    <n v="4369"/>
    <n v="4235"/>
    <n v="4032"/>
    <n v="3738"/>
    <n v="4372"/>
    <n v="4108"/>
    <n v="50233"/>
    <n v="10"/>
    <n v="502330"/>
    <n v="0.92735866925291244"/>
    <x v="2"/>
    <n v="4186.083333333333"/>
    <n v="291.52528608037142"/>
    <n v="6.9641539087143059E-2"/>
    <x v="0"/>
    <s v="CX"/>
  </r>
  <r>
    <s v="ITM_358"/>
    <s v="Win Expert"/>
    <s v="Apparel"/>
    <n v="549"/>
    <n v="1037"/>
    <n v="1050"/>
    <n v="930"/>
    <n v="1090"/>
    <n v="678"/>
    <n v="813"/>
    <n v="777"/>
    <n v="969"/>
    <n v="593"/>
    <n v="662"/>
    <n v="825"/>
    <n v="9973"/>
    <n v="50"/>
    <n v="498650"/>
    <n v="0.92782370294395744"/>
    <x v="2"/>
    <n v="831.08333333333337"/>
    <n v="185.30979385064819"/>
    <n v="0.22297378183172348"/>
    <x v="1"/>
    <s v="CY"/>
  </r>
  <r>
    <s v="ITM_316"/>
    <s v="Laugh Likely"/>
    <s v="Apparel"/>
    <n v="947"/>
    <n v="1001"/>
    <n v="1022"/>
    <n v="959"/>
    <n v="862"/>
    <n v="906"/>
    <n v="688"/>
    <n v="523"/>
    <n v="632"/>
    <n v="1065"/>
    <n v="789"/>
    <n v="568"/>
    <n v="9962"/>
    <n v="50"/>
    <n v="498100"/>
    <n v="0.9282882237130532"/>
    <x v="2"/>
    <n v="830.16666666666663"/>
    <n v="186.45049712668484"/>
    <n v="0.22459405395705864"/>
    <x v="1"/>
    <s v="CY"/>
  </r>
  <r>
    <s v="ITM_224"/>
    <s v="Home Way"/>
    <s v="Electronics"/>
    <n v="388"/>
    <n v="399"/>
    <n v="388"/>
    <n v="429"/>
    <n v="409"/>
    <n v="419"/>
    <n v="407"/>
    <n v="443"/>
    <n v="424"/>
    <n v="402"/>
    <n v="396"/>
    <n v="461"/>
    <n v="4965"/>
    <n v="100"/>
    <n v="496500"/>
    <n v="0.92875125234556877"/>
    <x v="2"/>
    <n v="413.75"/>
    <n v="22.397747451676718"/>
    <n v="5.4133528584112911E-2"/>
    <x v="0"/>
    <s v="CX"/>
  </r>
  <r>
    <s v="ITM_653"/>
    <s v="Effort Give"/>
    <s v="Grocery"/>
    <n v="4176"/>
    <n v="4458"/>
    <n v="3916"/>
    <n v="3807"/>
    <n v="4244"/>
    <n v="4014"/>
    <n v="4001"/>
    <n v="4176"/>
    <n v="4333"/>
    <n v="4066"/>
    <n v="4123"/>
    <n v="4220"/>
    <n v="49534"/>
    <n v="10"/>
    <n v="495340"/>
    <n v="0.92921319917906375"/>
    <x v="2"/>
    <n v="4127.833333333333"/>
    <n v="180.51231805529775"/>
    <n v="4.3730524824637081E-2"/>
    <x v="0"/>
    <s v="CX"/>
  </r>
  <r>
    <s v="ITM_642"/>
    <s v="Simply Check"/>
    <s v="Grocery"/>
    <n v="3774"/>
    <n v="4130"/>
    <n v="4063"/>
    <n v="4000"/>
    <n v="4581"/>
    <n v="4432"/>
    <n v="4276"/>
    <n v="3840"/>
    <n v="4172"/>
    <n v="4077"/>
    <n v="4082"/>
    <n v="4020"/>
    <n v="49447"/>
    <n v="10"/>
    <n v="494470"/>
    <n v="0.9296743346632933"/>
    <x v="2"/>
    <n v="4120.583333333333"/>
    <n v="226.84774963651614"/>
    <n v="5.5052338779666997E-2"/>
    <x v="0"/>
    <s v="CX"/>
  </r>
  <r>
    <s v="ITM_057"/>
    <s v="Plan Town"/>
    <s v="Apparel"/>
    <n v="639"/>
    <n v="816"/>
    <n v="688"/>
    <n v="689"/>
    <n v="851"/>
    <n v="997"/>
    <n v="726"/>
    <n v="746"/>
    <n v="647"/>
    <n v="793"/>
    <n v="1122"/>
    <n v="1014"/>
    <n v="9728"/>
    <n v="50"/>
    <n v="486400"/>
    <n v="0.93012794418364697"/>
    <x v="2"/>
    <n v="810.66666666666663"/>
    <n v="157.36947453414066"/>
    <n v="0.19412352944178538"/>
    <x v="0"/>
    <s v="CX"/>
  </r>
  <r>
    <s v="ITM_703"/>
    <s v="Although Kind"/>
    <s v="Grocery"/>
    <n v="4228"/>
    <n v="3657"/>
    <n v="4230"/>
    <n v="4003"/>
    <n v="4245"/>
    <n v="4233"/>
    <n v="3979"/>
    <n v="4038"/>
    <n v="3905"/>
    <n v="3818"/>
    <n v="4107"/>
    <n v="4172"/>
    <n v="48615"/>
    <n v="10"/>
    <n v="486150"/>
    <n v="0.93058132055765996"/>
    <x v="2"/>
    <n v="4051.25"/>
    <n v="188.39133593280096"/>
    <n v="4.6502026765270217E-2"/>
    <x v="0"/>
    <s v="CX"/>
  </r>
  <r>
    <s v="ITM_774"/>
    <s v="Green Method"/>
    <s v="Grocery"/>
    <n v="4287"/>
    <n v="4004"/>
    <n v="4269"/>
    <n v="4087"/>
    <n v="3743"/>
    <n v="4268"/>
    <n v="4136"/>
    <n v="3601"/>
    <n v="3713"/>
    <n v="4195"/>
    <n v="4283"/>
    <n v="3904"/>
    <n v="48490"/>
    <n v="10"/>
    <n v="484900"/>
    <n v="0.93103353119996968"/>
    <x v="2"/>
    <n v="4040.8333333333335"/>
    <n v="246.35076003474595"/>
    <n v="6.0965335541698314E-2"/>
    <x v="0"/>
    <s v="CX"/>
  </r>
  <r>
    <s v="ITM_475"/>
    <s v="Pattern Contain"/>
    <s v="Grocery"/>
    <n v="4266"/>
    <n v="3539"/>
    <n v="4405"/>
    <n v="4224"/>
    <n v="3925"/>
    <n v="3988"/>
    <n v="3962"/>
    <n v="4025"/>
    <n v="3898"/>
    <n v="4206"/>
    <n v="4269"/>
    <n v="3667"/>
    <n v="48374"/>
    <n v="10"/>
    <n v="483740"/>
    <n v="0.93148466004325892"/>
    <x v="2"/>
    <n v="4031.1666666666665"/>
    <n v="257.56723158794637"/>
    <n v="6.3893967400987239E-2"/>
    <x v="0"/>
    <s v="CX"/>
  </r>
  <r>
    <s v="ITM_481"/>
    <s v="Trip Mind"/>
    <s v="Grocery"/>
    <n v="4178"/>
    <n v="3974"/>
    <n v="4151"/>
    <n v="4005"/>
    <n v="3995"/>
    <n v="3786"/>
    <n v="4301"/>
    <n v="3615"/>
    <n v="4145"/>
    <n v="4234"/>
    <n v="3826"/>
    <n v="3974"/>
    <n v="48184"/>
    <n v="10"/>
    <n v="481840"/>
    <n v="0.93193401697435918"/>
    <x v="2"/>
    <n v="4015.3333333333335"/>
    <n v="200.84925751026378"/>
    <n v="5.0020568863588855E-2"/>
    <x v="0"/>
    <s v="CX"/>
  </r>
  <r>
    <s v="ITM_626"/>
    <s v="Tend Care"/>
    <s v="Apparel"/>
    <n v="226"/>
    <n v="580"/>
    <n v="540"/>
    <n v="458"/>
    <n v="442"/>
    <n v="285"/>
    <n v="197"/>
    <n v="261"/>
    <n v="580"/>
    <n v="394"/>
    <n v="349"/>
    <n v="504"/>
    <n v="4816"/>
    <n v="100"/>
    <n v="481600"/>
    <n v="0.93238315008497252"/>
    <x v="2"/>
    <n v="401.33333333333331"/>
    <n v="137.17628560845836"/>
    <n v="0.34180137610080985"/>
    <x v="1"/>
    <s v="CY"/>
  </r>
  <r>
    <s v="ITM_151"/>
    <s v="Yes Human"/>
    <s v="Grocery"/>
    <n v="4208"/>
    <n v="4414"/>
    <n v="3960"/>
    <n v="3813"/>
    <n v="4008"/>
    <n v="3947"/>
    <n v="4012"/>
    <n v="3929"/>
    <n v="3971"/>
    <n v="4022"/>
    <n v="3904"/>
    <n v="3810"/>
    <n v="47998"/>
    <n v="10"/>
    <n v="479980"/>
    <n v="0.9328307724072985"/>
    <x v="2"/>
    <n v="3999.8333333333335"/>
    <n v="166.76812063642757"/>
    <n v="4.1693767399415202E-2"/>
    <x v="0"/>
    <s v="CX"/>
  </r>
  <r>
    <s v="ITM_712"/>
    <s v="Back Smile"/>
    <s v="Electronics"/>
    <n v="373"/>
    <n v="405"/>
    <n v="402"/>
    <n v="370"/>
    <n v="379"/>
    <n v="403"/>
    <n v="408"/>
    <n v="388"/>
    <n v="394"/>
    <n v="429"/>
    <n v="426"/>
    <n v="412"/>
    <n v="4789"/>
    <n v="100"/>
    <n v="478900"/>
    <n v="0.93327738753743283"/>
    <x v="2"/>
    <n v="399.08333333333331"/>
    <n v="19.076202849401533"/>
    <n v="4.7800048902238129E-2"/>
    <x v="0"/>
    <s v="CX"/>
  </r>
  <r>
    <s v="ITM_258"/>
    <s v="Present Audience"/>
    <s v="Grocery"/>
    <n v="3760"/>
    <n v="4151"/>
    <n v="4221"/>
    <n v="3939"/>
    <n v="3943"/>
    <n v="3996"/>
    <n v="3789"/>
    <n v="4197"/>
    <n v="3730"/>
    <n v="4091"/>
    <n v="3772"/>
    <n v="4024"/>
    <n v="47613"/>
    <n v="10"/>
    <n v="476130"/>
    <n v="0.93372141940611286"/>
    <x v="2"/>
    <n v="3967.75"/>
    <n v="176.0212409703081"/>
    <n v="4.4362986823844271E-2"/>
    <x v="0"/>
    <s v="CX"/>
  </r>
  <r>
    <s v="ITM_884"/>
    <s v="Sing Room"/>
    <s v="Grocery"/>
    <n v="3667"/>
    <n v="4044"/>
    <n v="3934"/>
    <n v="3941"/>
    <n v="4132"/>
    <n v="3686"/>
    <n v="4009"/>
    <n v="4066"/>
    <n v="4036"/>
    <n v="3857"/>
    <n v="4110"/>
    <n v="4085"/>
    <n v="47567"/>
    <n v="10"/>
    <n v="475670"/>
    <n v="0.93416502228552611"/>
    <x v="2"/>
    <n v="3963.9166666666665"/>
    <n v="155.67008139788533"/>
    <n v="3.9271784572805182E-2"/>
    <x v="0"/>
    <s v="CX"/>
  </r>
  <r>
    <s v="ITM_643"/>
    <s v="In Soon"/>
    <s v="Grocery"/>
    <n v="3875"/>
    <n v="3838"/>
    <n v="4437"/>
    <n v="4156"/>
    <n v="4073"/>
    <n v="4115"/>
    <n v="3541"/>
    <n v="3837"/>
    <n v="3963"/>
    <n v="4041"/>
    <n v="3871"/>
    <n v="3670"/>
    <n v="47417"/>
    <n v="10"/>
    <n v="474170"/>
    <n v="0.93460722628689552"/>
    <x v="2"/>
    <n v="3951.4166666666665"/>
    <n v="236.1134004642428"/>
    <n v="5.9754113621083446E-2"/>
    <x v="0"/>
    <s v="CX"/>
  </r>
  <r>
    <s v="ITM_477"/>
    <s v="Stock Lose"/>
    <s v="Grocery"/>
    <n v="3945"/>
    <n v="4096"/>
    <n v="3731"/>
    <n v="3842"/>
    <n v="3891"/>
    <n v="3979"/>
    <n v="3926"/>
    <n v="3687"/>
    <n v="4097"/>
    <n v="4062"/>
    <n v="3918"/>
    <n v="4227"/>
    <n v="47401"/>
    <n v="10"/>
    <n v="474010"/>
    <n v="0.93504928107460694"/>
    <x v="2"/>
    <n v="3950.0833333333335"/>
    <n v="155.77924843323723"/>
    <n v="3.943695241026237E-2"/>
    <x v="0"/>
    <s v="CX"/>
  </r>
  <r>
    <s v="ITM_079"/>
    <s v="Show Performance"/>
    <s v="Apparel"/>
    <n v="1109"/>
    <n v="805"/>
    <n v="869"/>
    <n v="619"/>
    <n v="676"/>
    <n v="724"/>
    <n v="822"/>
    <n v="604"/>
    <n v="974"/>
    <n v="756"/>
    <n v="689"/>
    <n v="784"/>
    <n v="9431"/>
    <n v="50"/>
    <n v="471550"/>
    <n v="0.93548904170232638"/>
    <x v="2"/>
    <n v="785.91666666666663"/>
    <n v="146.31501403934377"/>
    <n v="0.18617115560090397"/>
    <x v="0"/>
    <s v="CX"/>
  </r>
  <r>
    <s v="ITM_044"/>
    <s v="Task Action"/>
    <s v="Grocery"/>
    <n v="3805"/>
    <n v="4042"/>
    <n v="3563"/>
    <n v="3915"/>
    <n v="3966"/>
    <n v="4032"/>
    <n v="3937"/>
    <n v="4058"/>
    <n v="4350"/>
    <n v="3882"/>
    <n v="3893"/>
    <n v="3639"/>
    <n v="47082"/>
    <n v="10"/>
    <n v="470820"/>
    <n v="0.9359281215427312"/>
    <x v="2"/>
    <n v="3923.5"/>
    <n v="203.48397301194822"/>
    <n v="5.1862870654249577E-2"/>
    <x v="0"/>
    <s v="CX"/>
  </r>
  <r>
    <s v="ITM_631"/>
    <s v="Guess Interview"/>
    <s v="Grocery"/>
    <n v="3732"/>
    <n v="3953"/>
    <n v="3808"/>
    <n v="3911"/>
    <n v="3837"/>
    <n v="4240"/>
    <n v="4215"/>
    <n v="3720"/>
    <n v="3950"/>
    <n v="3872"/>
    <n v="3920"/>
    <n v="3786"/>
    <n v="46944"/>
    <n v="10"/>
    <n v="469440"/>
    <n v="0.93636591441533568"/>
    <x v="2"/>
    <n v="3912"/>
    <n v="166.72350545957002"/>
    <n v="4.2618482990687635E-2"/>
    <x v="0"/>
    <s v="CX"/>
  </r>
  <r>
    <s v="ITM_502"/>
    <s v="Many Which"/>
    <s v="Grocery"/>
    <n v="3922"/>
    <n v="3937"/>
    <n v="3687"/>
    <n v="3677"/>
    <n v="4007"/>
    <n v="3731"/>
    <n v="3565"/>
    <n v="4217"/>
    <n v="3814"/>
    <n v="4236"/>
    <n v="3975"/>
    <n v="3916"/>
    <n v="46684"/>
    <n v="10"/>
    <n v="466840"/>
    <n v="0.93680128256599748"/>
    <x v="2"/>
    <n v="3890.3333333333335"/>
    <n v="207.74255629737902"/>
    <n v="5.3399680309496794E-2"/>
    <x v="0"/>
    <s v="CX"/>
  </r>
  <r>
    <s v="ITM_678"/>
    <s v="While Level"/>
    <s v="Grocery"/>
    <n v="3743"/>
    <n v="4072"/>
    <n v="4050"/>
    <n v="3644"/>
    <n v="4049"/>
    <n v="3562"/>
    <n v="4092"/>
    <n v="3442"/>
    <n v="4094"/>
    <n v="4033"/>
    <n v="3930"/>
    <n v="3815"/>
    <n v="46526"/>
    <n v="10"/>
    <n v="465260"/>
    <n v="0.9372351772317864"/>
    <x v="2"/>
    <n v="3877.1666666666665"/>
    <n v="230.12559153381414"/>
    <n v="5.9354062210501005E-2"/>
    <x v="0"/>
    <s v="CX"/>
  </r>
  <r>
    <s v="ITM_374"/>
    <s v="Nearly Start"/>
    <s v="Grocery"/>
    <n v="3532"/>
    <n v="4116"/>
    <n v="4253"/>
    <n v="3847"/>
    <n v="3812"/>
    <n v="3542"/>
    <n v="4242"/>
    <n v="3604"/>
    <n v="4038"/>
    <n v="3883"/>
    <n v="3845"/>
    <n v="3779"/>
    <n v="46493"/>
    <n v="10"/>
    <n v="464930"/>
    <n v="0.93766876414440559"/>
    <x v="2"/>
    <n v="3874.4166666666665"/>
    <n v="248.47368923575036"/>
    <n v="6.4131896647430894E-2"/>
    <x v="0"/>
    <s v="CX"/>
  </r>
  <r>
    <s v="ITM_765"/>
    <s v="Natural Win"/>
    <s v="Grocery"/>
    <n v="3827"/>
    <n v="3599"/>
    <n v="3825"/>
    <n v="3967"/>
    <n v="3826"/>
    <n v="3783"/>
    <n v="3767"/>
    <n v="3634"/>
    <n v="3819"/>
    <n v="3861"/>
    <n v="4039"/>
    <n v="4059"/>
    <n v="46006"/>
    <n v="10"/>
    <n v="460060"/>
    <n v="0.93809780936630915"/>
    <x v="2"/>
    <n v="3833.8333333333335"/>
    <n v="139.41490290322321"/>
    <n v="3.6364361927545941E-2"/>
    <x v="0"/>
    <s v="CX"/>
  </r>
  <r>
    <s v="ITM_949"/>
    <s v="Do Coach"/>
    <s v="Grocery"/>
    <n v="3815"/>
    <n v="3854"/>
    <n v="3985"/>
    <n v="3506"/>
    <n v="3777"/>
    <n v="3916"/>
    <n v="3629"/>
    <n v="3655"/>
    <n v="4039"/>
    <n v="3416"/>
    <n v="3658"/>
    <n v="3895"/>
    <n v="45145"/>
    <n v="10"/>
    <n v="451450"/>
    <n v="0.93851882502824102"/>
    <x v="2"/>
    <n v="3762.0833333333335"/>
    <n v="191.77802430429981"/>
    <n v="5.0976548713071161E-2"/>
    <x v="0"/>
    <s v="CX"/>
  </r>
  <r>
    <s v="ITM_459"/>
    <s v="Herself Develop"/>
    <s v="Apparel"/>
    <n v="797"/>
    <n v="709"/>
    <n v="671"/>
    <n v="591"/>
    <n v="637"/>
    <n v="1120"/>
    <n v="719"/>
    <n v="540"/>
    <n v="799"/>
    <n v="869"/>
    <n v="862"/>
    <n v="701"/>
    <n v="9015"/>
    <n v="50"/>
    <n v="450750"/>
    <n v="0.93893918788041908"/>
    <x v="2"/>
    <n v="751.25"/>
    <n v="154.22246328540527"/>
    <n v="0.20528780470603031"/>
    <x v="1"/>
    <s v="CY"/>
  </r>
  <r>
    <s v="ITM_645"/>
    <s v="Herself Notice"/>
    <s v="Apparel"/>
    <n v="811"/>
    <n v="1096"/>
    <n v="516"/>
    <n v="726"/>
    <n v="577"/>
    <n v="582"/>
    <n v="1057"/>
    <n v="698"/>
    <n v="905"/>
    <n v="839"/>
    <n v="543"/>
    <n v="650"/>
    <n v="9000"/>
    <n v="50"/>
    <n v="450000"/>
    <n v="0.93935885129357521"/>
    <x v="2"/>
    <n v="750"/>
    <n v="195.09205286456208"/>
    <n v="0.26012273715274942"/>
    <x v="1"/>
    <s v="CY"/>
  </r>
  <r>
    <s v="ITM_644"/>
    <s v="Wear Worry"/>
    <s v="Grocery"/>
    <n v="3975"/>
    <n v="3428"/>
    <n v="3486"/>
    <n v="3808"/>
    <n v="3603"/>
    <n v="3720"/>
    <n v="3643"/>
    <n v="3639"/>
    <n v="3776"/>
    <n v="3396"/>
    <n v="3676"/>
    <n v="3673"/>
    <n v="43823"/>
    <n v="10"/>
    <n v="438230"/>
    <n v="0.93976753817701386"/>
    <x v="2"/>
    <n v="3651.9166666666665"/>
    <n v="163.92928538263263"/>
    <n v="4.4888561362562848E-2"/>
    <x v="0"/>
    <s v="CX"/>
  </r>
  <r>
    <s v="ITM_682"/>
    <s v="History Become"/>
    <s v="Electronics"/>
    <n v="352"/>
    <n v="368"/>
    <n v="377"/>
    <n v="362"/>
    <n v="352"/>
    <n v="380"/>
    <n v="370"/>
    <n v="367"/>
    <n v="371"/>
    <n v="344"/>
    <n v="314"/>
    <n v="393"/>
    <n v="4350"/>
    <n v="100"/>
    <n v="435000"/>
    <n v="0.94017321280973143"/>
    <x v="2"/>
    <n v="362.5"/>
    <n v="20.317927596538528"/>
    <n v="5.6049455438726976E-2"/>
    <x v="0"/>
    <s v="CX"/>
  </r>
  <r>
    <s v="ITM_686"/>
    <s v="Society Set"/>
    <s v="Grocery"/>
    <n v="3905"/>
    <n v="3546"/>
    <n v="3933"/>
    <n v="3812"/>
    <n v="3313"/>
    <n v="3374"/>
    <n v="3467"/>
    <n v="3827"/>
    <n v="3184"/>
    <n v="3616"/>
    <n v="3688"/>
    <n v="3640"/>
    <n v="43305"/>
    <n v="10"/>
    <n v="433050"/>
    <n v="0.94057706890099202"/>
    <x v="2"/>
    <n v="3608.75"/>
    <n v="240.48705313856863"/>
    <n v="6.663998701449772E-2"/>
    <x v="0"/>
    <s v="CX"/>
  </r>
  <r>
    <s v="ITM_357"/>
    <s v="Along Test"/>
    <s v="Grocery"/>
    <n v="3449"/>
    <n v="3816"/>
    <n v="3635"/>
    <n v="3629"/>
    <n v="3352"/>
    <n v="3656"/>
    <n v="3615"/>
    <n v="3323"/>
    <n v="3354"/>
    <n v="3765"/>
    <n v="3498"/>
    <n v="3602"/>
    <n v="42694"/>
    <n v="10"/>
    <n v="426940"/>
    <n v="0.94097522689568724"/>
    <x v="2"/>
    <n v="3557.8333333333335"/>
    <n v="162.34913742993041"/>
    <n v="4.5631462246666157E-2"/>
    <x v="0"/>
    <s v="CX"/>
  </r>
  <r>
    <s v="ITM_436"/>
    <s v="Sense Yeah"/>
    <s v="Apparel"/>
    <n v="951"/>
    <n v="395"/>
    <n v="918"/>
    <n v="711"/>
    <n v="561"/>
    <n v="763"/>
    <n v="383"/>
    <n v="945"/>
    <n v="635"/>
    <n v="931"/>
    <n v="614"/>
    <n v="674"/>
    <n v="8481"/>
    <n v="50"/>
    <n v="424050"/>
    <n v="0.94137068971868465"/>
    <x v="2"/>
    <n v="706.75"/>
    <n v="202.84034249984529"/>
    <n v="0.28700437566302833"/>
    <x v="1"/>
    <s v="CY"/>
  </r>
  <r>
    <s v="ITM_624"/>
    <s v="Experience Language"/>
    <s v="Grocery"/>
    <n v="3760"/>
    <n v="3756"/>
    <n v="3239"/>
    <n v="3017"/>
    <n v="3288"/>
    <n v="3619"/>
    <n v="3674"/>
    <n v="3507"/>
    <n v="3175"/>
    <n v="3361"/>
    <n v="3740"/>
    <n v="3761"/>
    <n v="41897"/>
    <n v="10"/>
    <n v="418970"/>
    <n v="0.94176141500804034"/>
    <x v="2"/>
    <n v="3491.4166666666665"/>
    <n v="265.22013441096379"/>
    <n v="7.5963472633638826E-2"/>
    <x v="0"/>
    <s v="CX"/>
  </r>
  <r>
    <s v="ITM_202"/>
    <s v="Meet Fly"/>
    <s v="Grocery"/>
    <n v="3399"/>
    <n v="3002"/>
    <n v="3647"/>
    <n v="3619"/>
    <n v="3574"/>
    <n v="3532"/>
    <n v="3385"/>
    <n v="3411"/>
    <n v="3563"/>
    <n v="3303"/>
    <n v="3509"/>
    <n v="3693"/>
    <n v="41637"/>
    <n v="10"/>
    <n v="416370"/>
    <n v="0.94214971557545324"/>
    <x v="2"/>
    <n v="3469.75"/>
    <n v="188.47431703502252"/>
    <n v="5.4319278632472809E-2"/>
    <x v="0"/>
    <s v="CX"/>
  </r>
  <r>
    <s v="ITM_209"/>
    <s v="Wrong Strong"/>
    <s v="Grocery"/>
    <n v="3463"/>
    <n v="3295"/>
    <n v="3591"/>
    <n v="3412"/>
    <n v="2965"/>
    <n v="3681"/>
    <n v="3582"/>
    <n v="3299"/>
    <n v="3292"/>
    <n v="3596"/>
    <n v="3698"/>
    <n v="3439"/>
    <n v="41313"/>
    <n v="10"/>
    <n v="413130"/>
    <n v="0.94253499456629142"/>
    <x v="2"/>
    <n v="3442.75"/>
    <n v="209.24197605990665"/>
    <n v="6.0777569111874707E-2"/>
    <x v="0"/>
    <s v="CX"/>
  </r>
  <r>
    <s v="ITM_926"/>
    <s v="Research True"/>
    <s v="Home &amp; Kitchen"/>
    <n v="345"/>
    <n v="325"/>
    <n v="351"/>
    <n v="348"/>
    <n v="352"/>
    <n v="331"/>
    <n v="327"/>
    <n v="348"/>
    <n v="318"/>
    <n v="370"/>
    <n v="338"/>
    <n v="372"/>
    <n v="4125"/>
    <n v="100"/>
    <n v="412500"/>
    <n v="0.94291968602835119"/>
    <x v="2"/>
    <n v="343.75"/>
    <n v="16.88530829933633"/>
    <n v="4.9120896870796599E-2"/>
    <x v="0"/>
    <s v="CX"/>
  </r>
  <r>
    <s v="ITM_046"/>
    <s v="Ahead Successful"/>
    <s v="Grocery"/>
    <n v="3357"/>
    <n v="3753"/>
    <n v="3193"/>
    <n v="3244"/>
    <n v="3456"/>
    <n v="3278"/>
    <n v="3744"/>
    <n v="3211"/>
    <n v="3311"/>
    <n v="3462"/>
    <n v="3587"/>
    <n v="3616"/>
    <n v="41212"/>
    <n v="10"/>
    <n v="412120"/>
    <n v="0.94330402310797312"/>
    <x v="2"/>
    <n v="3434.3333333333335"/>
    <n v="201.12516832394036"/>
    <n v="5.8563088903408819E-2"/>
    <x v="0"/>
    <s v="CX"/>
  </r>
  <r>
    <s v="ITM_854"/>
    <s v="More Upon"/>
    <s v="Grocery"/>
    <n v="3585"/>
    <n v="3427"/>
    <n v="3256"/>
    <n v="3438"/>
    <n v="3482"/>
    <n v="3601"/>
    <n v="3360"/>
    <n v="3419"/>
    <n v="3082"/>
    <n v="3485"/>
    <n v="3306"/>
    <n v="3692"/>
    <n v="41133"/>
    <n v="10"/>
    <n v="411330"/>
    <n v="0.94368762344515866"/>
    <x v="2"/>
    <n v="3427.75"/>
    <n v="164.9871207094663"/>
    <n v="4.8132775351022186E-2"/>
    <x v="0"/>
    <s v="CX"/>
  </r>
  <r>
    <s v="ITM_172"/>
    <s v="Social Often"/>
    <s v="Grocery"/>
    <n v="3299"/>
    <n v="3572"/>
    <n v="3571"/>
    <n v="3454"/>
    <n v="3037"/>
    <n v="3755"/>
    <n v="3183"/>
    <n v="3465"/>
    <n v="3608"/>
    <n v="3323"/>
    <n v="3241"/>
    <n v="3556"/>
    <n v="41064"/>
    <n v="10"/>
    <n v="410640"/>
    <n v="0.94407058029844415"/>
    <x v="2"/>
    <n v="3422"/>
    <n v="207.59488520586521"/>
    <n v="6.0664782351217188E-2"/>
    <x v="0"/>
    <s v="CX"/>
  </r>
  <r>
    <s v="ITM_944"/>
    <s v="Project Up"/>
    <s v="Apparel"/>
    <n v="579"/>
    <n v="444"/>
    <n v="184"/>
    <n v="43"/>
    <n v="452"/>
    <n v="403"/>
    <n v="332"/>
    <n v="398"/>
    <n v="128"/>
    <n v="151"/>
    <n v="455"/>
    <n v="480"/>
    <n v="4049"/>
    <n v="100"/>
    <n v="404900"/>
    <n v="0.94444818411174836"/>
    <x v="2"/>
    <n v="337.41666666666669"/>
    <n v="168.90904401930396"/>
    <n v="0.50059484520416087"/>
    <x v="2"/>
    <s v="CZ"/>
  </r>
  <r>
    <s v="ITM_910"/>
    <s v="Attack Serve"/>
    <s v="Grocery"/>
    <n v="3399"/>
    <n v="3811"/>
    <n v="3648"/>
    <n v="3034"/>
    <n v="3473"/>
    <n v="3050"/>
    <n v="3454"/>
    <n v="3201"/>
    <n v="3309"/>
    <n v="3131"/>
    <n v="3378"/>
    <n v="3557"/>
    <n v="40445"/>
    <n v="10"/>
    <n v="404450"/>
    <n v="0.94482536826163943"/>
    <x v="2"/>
    <n v="3370.4166666666665"/>
    <n v="239.31738467161264"/>
    <n v="7.1005281643203161E-2"/>
    <x v="0"/>
    <s v="CX"/>
  </r>
  <r>
    <s v="ITM_416"/>
    <s v="Use Popular"/>
    <s v="Grocery"/>
    <n v="3291"/>
    <n v="3236"/>
    <n v="3556"/>
    <n v="3299"/>
    <n v="3403"/>
    <n v="3321"/>
    <n v="3126"/>
    <n v="3413"/>
    <n v="3505"/>
    <n v="3614"/>
    <n v="3425"/>
    <n v="2909"/>
    <n v="40098"/>
    <n v="10"/>
    <n v="400980"/>
    <n v="0.94519931634032239"/>
    <x v="2"/>
    <n v="3341.5"/>
    <n v="193.59493795035036"/>
    <n v="5.7936536869774159E-2"/>
    <x v="0"/>
    <s v="CX"/>
  </r>
  <r>
    <s v="ITM_239"/>
    <s v="Every Successful"/>
    <s v="Apparel"/>
    <n v="616"/>
    <n v="739"/>
    <n v="832"/>
    <n v="698"/>
    <n v="844"/>
    <n v="594"/>
    <n v="858"/>
    <n v="400"/>
    <n v="516"/>
    <n v="663"/>
    <n v="766"/>
    <n v="484"/>
    <n v="8010"/>
    <n v="50"/>
    <n v="400500"/>
    <n v="0.9455728167780314"/>
    <x v="2"/>
    <n v="667.5"/>
    <n v="149.69757391609136"/>
    <n v="0.22426602833871365"/>
    <x v="1"/>
    <s v="CY"/>
  </r>
  <r>
    <s v="ITM_078"/>
    <s v="Benefit West"/>
    <s v="Apparel"/>
    <n v="476"/>
    <n v="357"/>
    <n v="176"/>
    <n v="304"/>
    <n v="119"/>
    <n v="172"/>
    <n v="499"/>
    <n v="148"/>
    <n v="270"/>
    <n v="236"/>
    <n v="585"/>
    <n v="635"/>
    <n v="3977"/>
    <n v="100"/>
    <n v="397700"/>
    <n v="0.94594370597672506"/>
    <x v="2"/>
    <n v="331.41666666666669"/>
    <n v="177.88375076964954"/>
    <n v="0.53673749289308381"/>
    <x v="2"/>
    <s v="CZ"/>
  </r>
  <r>
    <s v="ITM_976"/>
    <s v="Smile Maybe"/>
    <s v="Electronics"/>
    <n v="329"/>
    <n v="345"/>
    <n v="314"/>
    <n v="329"/>
    <n v="351"/>
    <n v="339"/>
    <n v="325"/>
    <n v="327"/>
    <n v="320"/>
    <n v="288"/>
    <n v="328"/>
    <n v="338"/>
    <n v="3933"/>
    <n v="100"/>
    <n v="393300"/>
    <n v="0.94631049179982352"/>
    <x v="2"/>
    <n v="327.75"/>
    <n v="16.265551998569915"/>
    <n v="4.9627923717986008E-2"/>
    <x v="0"/>
    <s v="CX"/>
  </r>
  <r>
    <s v="ITM_929"/>
    <s v="Company Civil"/>
    <s v="Grocery"/>
    <n v="3263"/>
    <n v="3035"/>
    <n v="3070"/>
    <n v="3233"/>
    <n v="3167"/>
    <n v="3300"/>
    <n v="3043"/>
    <n v="3285"/>
    <n v="3502"/>
    <n v="3012"/>
    <n v="3362"/>
    <n v="3651"/>
    <n v="38923"/>
    <n v="10"/>
    <n v="389230"/>
    <n v="0.94667348200049628"/>
    <x v="2"/>
    <n v="3243.5833333333335"/>
    <n v="196.68731915187496"/>
    <n v="6.0638898076265949E-2"/>
    <x v="0"/>
    <s v="CX"/>
  </r>
  <r>
    <s v="ITM_877"/>
    <s v="Interest Discover"/>
    <s v="Grocery"/>
    <n v="3100"/>
    <n v="3193"/>
    <n v="3093"/>
    <n v="3437"/>
    <n v="3209"/>
    <n v="2935"/>
    <n v="3138"/>
    <n v="3270"/>
    <n v="3261"/>
    <n v="3131"/>
    <n v="3483"/>
    <n v="3357"/>
    <n v="38607"/>
    <n v="10"/>
    <n v="386070"/>
    <n v="0.94703352523142337"/>
    <x v="2"/>
    <n v="3217.25"/>
    <n v="155.61206134603975"/>
    <n v="4.8368035230721813E-2"/>
    <x v="0"/>
    <s v="CX"/>
  </r>
  <r>
    <s v="ITM_845"/>
    <s v="Might Issue"/>
    <s v="Grocery"/>
    <n v="3043"/>
    <n v="3356"/>
    <n v="3221"/>
    <n v="3028"/>
    <n v="2735"/>
    <n v="3204"/>
    <n v="3624"/>
    <n v="3096"/>
    <n v="3243"/>
    <n v="2828"/>
    <n v="3094"/>
    <n v="3359"/>
    <n v="37831"/>
    <n v="10"/>
    <n v="378310"/>
    <n v="0.9473863315999369"/>
    <x v="2"/>
    <n v="3152.5833333333335"/>
    <n v="240.38093190651048"/>
    <n v="7.624887480844085E-2"/>
    <x v="0"/>
    <s v="CX"/>
  </r>
  <r>
    <s v="ITM_122"/>
    <s v="Alone National"/>
    <s v="Grocery"/>
    <n v="2947"/>
    <n v="3353"/>
    <n v="3242"/>
    <n v="3432"/>
    <n v="2937"/>
    <n v="3609"/>
    <n v="2941"/>
    <n v="2672"/>
    <n v="3198"/>
    <n v="3486"/>
    <n v="3199"/>
    <n v="2806"/>
    <n v="37822"/>
    <n v="10"/>
    <n v="378220"/>
    <n v="0.94773905403576786"/>
    <x v="2"/>
    <n v="3151.8333333333335"/>
    <n v="291.47238551044848"/>
    <n v="9.2477093388117534E-2"/>
    <x v="0"/>
    <s v="CX"/>
  </r>
  <r>
    <s v="ITM_520"/>
    <s v="Bank Happen"/>
    <s v="Apparel"/>
    <n v="527"/>
    <n v="511"/>
    <n v="828"/>
    <n v="598"/>
    <n v="879"/>
    <n v="659"/>
    <n v="328"/>
    <n v="733"/>
    <n v="652"/>
    <n v="821"/>
    <n v="499"/>
    <n v="443"/>
    <n v="7478"/>
    <n v="50"/>
    <n v="373900"/>
    <n v="0.94808774770283244"/>
    <x v="2"/>
    <n v="623.16666666666663"/>
    <n v="170.07689882859324"/>
    <n v="0.27292361406032617"/>
    <x v="1"/>
    <s v="CY"/>
  </r>
  <r>
    <s v="ITM_896"/>
    <s v="School Entire"/>
    <s v="Grocery"/>
    <n v="3414"/>
    <n v="3090"/>
    <n v="3003"/>
    <n v="3145"/>
    <n v="2903"/>
    <n v="2851"/>
    <n v="3231"/>
    <n v="3195"/>
    <n v="3144"/>
    <n v="3476"/>
    <n v="2814"/>
    <n v="3116"/>
    <n v="37382"/>
    <n v="10"/>
    <n v="373820"/>
    <n v="0.94843636676306797"/>
    <x v="2"/>
    <n v="3115.1666666666665"/>
    <n v="204.43484551466773"/>
    <n v="6.562565261826582E-2"/>
    <x v="0"/>
    <s v="CX"/>
  </r>
  <r>
    <s v="ITM_911"/>
    <s v="Animal Morning"/>
    <s v="Apparel"/>
    <n v="284"/>
    <n v="287"/>
    <n v="307"/>
    <n v="506"/>
    <n v="121"/>
    <n v="581"/>
    <n v="213"/>
    <n v="556"/>
    <n v="2"/>
    <n v="236"/>
    <n v="388"/>
    <n v="254"/>
    <n v="3735"/>
    <n v="100"/>
    <n v="373500"/>
    <n v="0.94878468739598754"/>
    <x v="2"/>
    <n v="311.25"/>
    <n v="172.74738519268271"/>
    <n v="0.55501167933392037"/>
    <x v="2"/>
    <s v="CZ"/>
  </r>
  <r>
    <s v="ITM_767"/>
    <s v="Home Enter"/>
    <s v="Grocery"/>
    <n v="2969"/>
    <n v="2918"/>
    <n v="3232"/>
    <n v="2950"/>
    <n v="3043"/>
    <n v="3374"/>
    <n v="3633"/>
    <n v="3125"/>
    <n v="3373"/>
    <n v="2632"/>
    <n v="3345"/>
    <n v="2646"/>
    <n v="37240"/>
    <n v="10"/>
    <n v="372400"/>
    <n v="0.94913198218500838"/>
    <x v="2"/>
    <n v="3103.3333333333335"/>
    <n v="303.43617970096307"/>
    <n v="9.7777501514810863E-2"/>
    <x v="0"/>
    <s v="CX"/>
  </r>
  <r>
    <s v="ITM_726"/>
    <s v="Six Poor"/>
    <s v="Apparel"/>
    <n v="504"/>
    <n v="502"/>
    <n v="708"/>
    <n v="810"/>
    <n v="540"/>
    <n v="659"/>
    <n v="511"/>
    <n v="622"/>
    <n v="608"/>
    <n v="938"/>
    <n v="434"/>
    <n v="425"/>
    <n v="7261"/>
    <n v="50"/>
    <n v="363050"/>
    <n v="0.94947055730088903"/>
    <x v="2"/>
    <n v="605.08333333333337"/>
    <n v="154.40469748702802"/>
    <n v="0.25517922735771054"/>
    <x v="1"/>
    <s v="CY"/>
  </r>
  <r>
    <s v="ITM_985"/>
    <s v="Year Rest"/>
    <s v="Toys"/>
    <n v="268"/>
    <n v="334"/>
    <n v="315"/>
    <n v="309"/>
    <n v="296"/>
    <n v="269"/>
    <n v="313"/>
    <n v="318"/>
    <n v="310"/>
    <n v="318"/>
    <n v="282"/>
    <n v="284"/>
    <n v="3616"/>
    <n v="100"/>
    <n v="361600"/>
    <n v="0.94980778016799405"/>
    <x v="2"/>
    <n v="301.33333333333331"/>
    <n v="21.188905044142725"/>
    <n v="7.0317162757110821E-2"/>
    <x v="0"/>
    <s v="CX"/>
  </r>
  <r>
    <s v="ITM_064"/>
    <s v="Laugh Carry"/>
    <s v="Electronics"/>
    <n v="299"/>
    <n v="281"/>
    <n v="278"/>
    <n v="344"/>
    <n v="308"/>
    <n v="281"/>
    <n v="300"/>
    <n v="309"/>
    <n v="307"/>
    <n v="307"/>
    <n v="283"/>
    <n v="283"/>
    <n v="3580"/>
    <n v="100"/>
    <n v="358000"/>
    <n v="0.9501416457277938"/>
    <x v="2"/>
    <n v="298.33333333333331"/>
    <n v="18.903262505010431"/>
    <n v="6.336289107824726E-2"/>
    <x v="0"/>
    <s v="CX"/>
  </r>
  <r>
    <s v="ITM_599"/>
    <s v="Ready Wife"/>
    <s v="Grocery"/>
    <n v="2972"/>
    <n v="2928"/>
    <n v="2625"/>
    <n v="2951"/>
    <n v="2991"/>
    <n v="2655"/>
    <n v="2600"/>
    <n v="3055"/>
    <n v="3322"/>
    <n v="3350"/>
    <n v="3027"/>
    <n v="2975"/>
    <n v="35451"/>
    <n v="10"/>
    <n v="354510"/>
    <n v="0.95047225656467815"/>
    <x v="2"/>
    <n v="2954.25"/>
    <n v="239.9898198598508"/>
    <n v="8.1235447189591539E-2"/>
    <x v="0"/>
    <s v="CX"/>
  </r>
  <r>
    <s v="ITM_635"/>
    <s v="Huge Success"/>
    <s v="Grocery"/>
    <n v="2813"/>
    <n v="3238"/>
    <n v="3151"/>
    <n v="2828"/>
    <n v="2746"/>
    <n v="2848"/>
    <n v="2632"/>
    <n v="2622"/>
    <n v="2829"/>
    <n v="2951"/>
    <n v="2935"/>
    <n v="3419"/>
    <n v="35012"/>
    <n v="10"/>
    <n v="350120"/>
    <n v="0.95079877335182095"/>
    <x v="2"/>
    <n v="2917.6666666666665"/>
    <n v="241.2107088431317"/>
    <n v="8.2672469613777583E-2"/>
    <x v="0"/>
    <s v="CX"/>
  </r>
  <r>
    <s v="ITM_430"/>
    <s v="Thousand Party"/>
    <s v="Grocery"/>
    <n v="2996"/>
    <n v="3251"/>
    <n v="2881"/>
    <n v="3123"/>
    <n v="2765"/>
    <n v="2672"/>
    <n v="2752"/>
    <n v="2916"/>
    <n v="2481"/>
    <n v="2959"/>
    <n v="3098"/>
    <n v="3098"/>
    <n v="34992"/>
    <n v="10"/>
    <n v="349920"/>
    <n v="0.95112510362189107"/>
    <x v="2"/>
    <n v="2916"/>
    <n v="219.34903692517094"/>
    <n v="7.5222577820703337E-2"/>
    <x v="0"/>
    <s v="CX"/>
  </r>
  <r>
    <s v="ITM_145"/>
    <s v="But Affect"/>
    <s v="Grocery"/>
    <n v="2684"/>
    <n v="3070"/>
    <n v="2806"/>
    <n v="2987"/>
    <n v="2678"/>
    <n v="3099"/>
    <n v="2892"/>
    <n v="2834"/>
    <n v="2920"/>
    <n v="2855"/>
    <n v="2863"/>
    <n v="3263"/>
    <n v="34951"/>
    <n v="10"/>
    <n v="349510"/>
    <n v="0.95145105153196263"/>
    <x v="2"/>
    <n v="2912.5833333333335"/>
    <n v="170.27488916099131"/>
    <n v="5.8461808529996155E-2"/>
    <x v="0"/>
    <s v="CX"/>
  </r>
  <r>
    <s v="ITM_759"/>
    <s v="Per West"/>
    <s v="Grocery"/>
    <n v="3053"/>
    <n v="3104"/>
    <n v="2980"/>
    <n v="2803"/>
    <n v="2958"/>
    <n v="2984"/>
    <n v="2833"/>
    <n v="2558"/>
    <n v="2665"/>
    <n v="2770"/>
    <n v="2703"/>
    <n v="3148"/>
    <n v="34559"/>
    <n v="10"/>
    <n v="345590"/>
    <n v="0.95177334370741296"/>
    <x v="2"/>
    <n v="2879.9166666666665"/>
    <n v="185.93863031232709"/>
    <n v="6.4563892582190613E-2"/>
    <x v="0"/>
    <s v="CX"/>
  </r>
  <r>
    <s v="ITM_636"/>
    <s v="Season Buy"/>
    <s v="Grocery"/>
    <n v="2735"/>
    <n v="2613"/>
    <n v="3102"/>
    <n v="2815"/>
    <n v="2949"/>
    <n v="2880"/>
    <n v="2910"/>
    <n v="2864"/>
    <n v="2803"/>
    <n v="3043"/>
    <n v="3110"/>
    <n v="2676"/>
    <n v="34500"/>
    <n v="10"/>
    <n v="345000"/>
    <n v="0.95209508565749923"/>
    <x v="2"/>
    <n v="2875"/>
    <n v="159.10373974234545"/>
    <n v="5.5340431214728855E-2"/>
    <x v="0"/>
    <s v="CX"/>
  </r>
  <r>
    <s v="ITM_931"/>
    <s v="Account West"/>
    <s v="Grocery"/>
    <n v="2486"/>
    <n v="2801"/>
    <n v="3056"/>
    <n v="2539"/>
    <n v="2565"/>
    <n v="3226"/>
    <n v="3046"/>
    <n v="2852"/>
    <n v="2991"/>
    <n v="2882"/>
    <n v="2687"/>
    <n v="3206"/>
    <n v="34337"/>
    <n v="10"/>
    <n v="343370"/>
    <n v="0.95241530749344461"/>
    <x v="2"/>
    <n v="2861.4166666666665"/>
    <n v="253.6498869534839"/>
    <n v="8.8644862493572729E-2"/>
    <x v="0"/>
    <s v="CX"/>
  </r>
  <r>
    <s v="ITM_798"/>
    <s v="Box Up"/>
    <s v="Grocery"/>
    <n v="2910"/>
    <n v="2682"/>
    <n v="2957"/>
    <n v="2907"/>
    <n v="2629"/>
    <n v="2894"/>
    <n v="3079"/>
    <n v="2823"/>
    <n v="2570"/>
    <n v="2754"/>
    <n v="3187"/>
    <n v="2881"/>
    <n v="34273"/>
    <n v="10"/>
    <n v="342730"/>
    <n v="0.95273493247475793"/>
    <x v="2"/>
    <n v="2856.0833333333335"/>
    <n v="178.92886262084124"/>
    <n v="6.2648334007822326E-2"/>
    <x v="0"/>
    <s v="CX"/>
  </r>
  <r>
    <s v="ITM_840"/>
    <s v="Group Hit"/>
    <s v="Apparel"/>
    <n v="286"/>
    <n v="689"/>
    <n v="314"/>
    <n v="776"/>
    <n v="863"/>
    <n v="837"/>
    <n v="554"/>
    <n v="298"/>
    <n v="330"/>
    <n v="489"/>
    <n v="521"/>
    <n v="881"/>
    <n v="6838"/>
    <n v="50"/>
    <n v="341900"/>
    <n v="0.95305378341022029"/>
    <x v="2"/>
    <n v="569.83333333333337"/>
    <n v="233.05279672341641"/>
    <n v="0.40898414166145025"/>
    <x v="1"/>
    <s v="CY"/>
  </r>
  <r>
    <s v="ITM_393"/>
    <s v="Get Story"/>
    <s v="Apparel"/>
    <n v="275"/>
    <n v="758"/>
    <n v="553"/>
    <n v="225"/>
    <n v="531"/>
    <n v="708"/>
    <n v="727"/>
    <n v="385"/>
    <n v="438"/>
    <n v="803"/>
    <n v="742"/>
    <n v="675"/>
    <n v="6820"/>
    <n v="50"/>
    <n v="341000"/>
    <n v="0.95337179501885638"/>
    <x v="2"/>
    <n v="568.33333333333337"/>
    <n v="198.49677502914167"/>
    <n v="0.34926118773456011"/>
    <x v="1"/>
    <s v="CY"/>
  </r>
  <r>
    <s v="ITM_937"/>
    <s v="Lawyer Sing"/>
    <s v="Grocery"/>
    <n v="2742"/>
    <n v="2514"/>
    <n v="2799"/>
    <n v="2984"/>
    <n v="2979"/>
    <n v="3137"/>
    <n v="2794"/>
    <n v="2898"/>
    <n v="2842"/>
    <n v="2885"/>
    <n v="2787"/>
    <n v="2181"/>
    <n v="33542"/>
    <n v="10"/>
    <n v="335420"/>
    <n v="0.9536846028011694"/>
    <x v="2"/>
    <n v="2795.1666666666665"/>
    <n v="246.11631889056531"/>
    <n v="8.8050677559083648E-2"/>
    <x v="0"/>
    <s v="CX"/>
  </r>
  <r>
    <s v="ITM_095"/>
    <s v="Growth Yes"/>
    <s v="Grocery"/>
    <n v="2685"/>
    <n v="2636"/>
    <n v="2428"/>
    <n v="2648"/>
    <n v="2897"/>
    <n v="2651"/>
    <n v="2794"/>
    <n v="2928"/>
    <n v="2791"/>
    <n v="2813"/>
    <n v="2585"/>
    <n v="2680"/>
    <n v="32536"/>
    <n v="10"/>
    <n v="325360"/>
    <n v="0.95398802877473488"/>
    <x v="2"/>
    <n v="2711.3333333333335"/>
    <n v="140.18580743449249"/>
    <n v="5.1703641787985914E-2"/>
    <x v="0"/>
    <s v="CX"/>
  </r>
  <r>
    <s v="ITM_732"/>
    <s v="Reason Somebody"/>
    <s v="Grocery"/>
    <n v="2724"/>
    <n v="2685"/>
    <n v="2671"/>
    <n v="2704"/>
    <n v="2799"/>
    <n v="2603"/>
    <n v="2907"/>
    <n v="2573"/>
    <n v="2863"/>
    <n v="2311"/>
    <n v="2939"/>
    <n v="2692"/>
    <n v="32471"/>
    <n v="10"/>
    <n v="324710"/>
    <n v="0.95429084856781465"/>
    <x v="2"/>
    <n v="2705.9166666666665"/>
    <n v="169.08871169963544"/>
    <n v="6.2488514070882489E-2"/>
    <x v="0"/>
    <s v="CX"/>
  </r>
  <r>
    <s v="ITM_781"/>
    <s v="Spring Contain"/>
    <s v="Grocery"/>
    <n v="2692"/>
    <n v="2867"/>
    <n v="2511"/>
    <n v="2751"/>
    <n v="2699"/>
    <n v="2443"/>
    <n v="2755"/>
    <n v="2562"/>
    <n v="2777"/>
    <n v="2729"/>
    <n v="2930"/>
    <n v="2547"/>
    <n v="32263"/>
    <n v="10"/>
    <n v="322630"/>
    <n v="0.9545917285833404"/>
    <x v="2"/>
    <n v="2688.5833333333335"/>
    <n v="146.44543404119895"/>
    <n v="5.4469367650075547E-2"/>
    <x v="0"/>
    <s v="CX"/>
  </r>
  <r>
    <s v="ITM_641"/>
    <s v="Sort Yet"/>
    <s v="Grocery"/>
    <n v="2623"/>
    <n v="2664"/>
    <n v="2541"/>
    <n v="2803"/>
    <n v="2858"/>
    <n v="2579"/>
    <n v="2727"/>
    <n v="2402"/>
    <n v="2482"/>
    <n v="2805"/>
    <n v="2768"/>
    <n v="2741"/>
    <n v="31993"/>
    <n v="10"/>
    <n v="319930"/>
    <n v="0.95489009061838714"/>
    <x v="2"/>
    <n v="2666.0833333333335"/>
    <n v="142.47899898411399"/>
    <n v="5.3441314906678576E-2"/>
    <x v="0"/>
    <s v="CX"/>
  </r>
  <r>
    <s v="ITM_063"/>
    <s v="Meet Place"/>
    <s v="Electronics"/>
    <n v="260"/>
    <n v="278"/>
    <n v="254"/>
    <n v="263"/>
    <n v="280"/>
    <n v="283"/>
    <n v="268"/>
    <n v="283"/>
    <n v="254"/>
    <n v="245"/>
    <n v="261"/>
    <n v="241"/>
    <n v="3170"/>
    <n v="100"/>
    <n v="317000"/>
    <n v="0.95518572017832148"/>
    <x v="2"/>
    <n v="264.16666666666669"/>
    <n v="14.477778165383686"/>
    <n v="5.4805469395774201E-2"/>
    <x v="0"/>
    <s v="CX"/>
  </r>
  <r>
    <s v="ITM_596"/>
    <s v="Gun Team"/>
    <s v="Grocery"/>
    <n v="2197"/>
    <n v="2634"/>
    <n v="2792"/>
    <n v="2656"/>
    <n v="2448"/>
    <n v="2433"/>
    <n v="2633"/>
    <n v="2587"/>
    <n v="2753"/>
    <n v="2581"/>
    <n v="2717"/>
    <n v="2779"/>
    <n v="31210"/>
    <n v="10"/>
    <n v="312100"/>
    <n v="0.95547678006997938"/>
    <x v="2"/>
    <n v="2600.8333333333335"/>
    <n v="171.96925377062101"/>
    <n v="6.6120828107896573E-2"/>
    <x v="0"/>
    <s v="CX"/>
  </r>
  <r>
    <s v="ITM_676"/>
    <s v="Home Perhaps"/>
    <s v="Grocery"/>
    <n v="2724"/>
    <n v="2645"/>
    <n v="2613"/>
    <n v="2616"/>
    <n v="2486"/>
    <n v="2453"/>
    <n v="2549"/>
    <n v="2546"/>
    <n v="2536"/>
    <n v="2700"/>
    <n v="2866"/>
    <n v="2240"/>
    <n v="30974"/>
    <n v="10"/>
    <n v="309740"/>
    <n v="0.95576563906018153"/>
    <x v="2"/>
    <n v="2581.1666666666665"/>
    <n v="156.1303845178669"/>
    <n v="6.0488300323316424E-2"/>
    <x v="0"/>
    <s v="CX"/>
  </r>
  <r>
    <s v="ITM_677"/>
    <s v="There Care"/>
    <s v="Apparel"/>
    <n v="322"/>
    <n v="8"/>
    <n v="205"/>
    <n v="199"/>
    <n v="406"/>
    <n v="512"/>
    <n v="341"/>
    <n v="498"/>
    <n v="26"/>
    <n v="108"/>
    <n v="9"/>
    <n v="449"/>
    <n v="3083"/>
    <n v="100"/>
    <n v="308300"/>
    <n v="0.95605315512746158"/>
    <x v="2"/>
    <n v="256.91666666666669"/>
    <n v="190.35538931804436"/>
    <n v="0.7409226960157419"/>
    <x v="2"/>
    <s v="CZ"/>
  </r>
  <r>
    <s v="ITM_404"/>
    <s v="Suggest Seem"/>
    <s v="Grocery"/>
    <n v="2491"/>
    <n v="2572"/>
    <n v="2625"/>
    <n v="2756"/>
    <n v="2771"/>
    <n v="2527"/>
    <n v="2547"/>
    <n v="2460"/>
    <n v="2306"/>
    <n v="2681"/>
    <n v="2328"/>
    <n v="2730"/>
    <n v="30794"/>
    <n v="10"/>
    <n v="307940"/>
    <n v="0.95634033546401109"/>
    <x v="2"/>
    <n v="2566.1666666666665"/>
    <n v="155.13913598815586"/>
    <n v="6.0455596280375085E-2"/>
    <x v="0"/>
    <s v="CX"/>
  </r>
  <r>
    <s v="ITM_195"/>
    <s v="Chance Benefit"/>
    <s v="Electronics"/>
    <n v="250"/>
    <n v="262"/>
    <n v="248"/>
    <n v="272"/>
    <n v="244"/>
    <n v="262"/>
    <n v="250"/>
    <n v="250"/>
    <n v="262"/>
    <n v="254"/>
    <n v="262"/>
    <n v="257"/>
    <n v="3073"/>
    <n v="100"/>
    <n v="307300"/>
    <n v="0.95662691894592866"/>
    <x v="2"/>
    <n v="256.08333333333331"/>
    <n v="8.0955468492177101"/>
    <n v="3.161293920944111E-2"/>
    <x v="0"/>
    <s v="CX"/>
  </r>
  <r>
    <s v="ITM_583"/>
    <s v="Most Exactly"/>
    <s v="Grocery"/>
    <n v="2413"/>
    <n v="2573"/>
    <n v="2339"/>
    <n v="2291"/>
    <n v="2760"/>
    <n v="2558"/>
    <n v="2665"/>
    <n v="2734"/>
    <n v="2467"/>
    <n v="2594"/>
    <n v="2441"/>
    <n v="2754"/>
    <n v="30589"/>
    <n v="10"/>
    <n v="305890"/>
    <n v="0.95691218748248486"/>
    <x v="2"/>
    <n v="2549.0833333333335"/>
    <n v="160.80957588704004"/>
    <n v="6.3085256485811245E-2"/>
    <x v="0"/>
    <s v="CX"/>
  </r>
  <r>
    <s v="ITM_545"/>
    <s v="Rich Program"/>
    <s v="Grocery"/>
    <n v="2654"/>
    <n v="2776"/>
    <n v="2104"/>
    <n v="2643"/>
    <n v="2444"/>
    <n v="2642"/>
    <n v="2506"/>
    <n v="2385"/>
    <n v="2207"/>
    <n v="2533"/>
    <n v="2600"/>
    <n v="2494"/>
    <n v="29988"/>
    <n v="10"/>
    <n v="299880"/>
    <n v="0.95719185118101213"/>
    <x v="2"/>
    <n v="2499"/>
    <n v="193.22149325203304"/>
    <n v="7.7319525110857559E-2"/>
    <x v="0"/>
    <s v="CX"/>
  </r>
  <r>
    <s v="ITM_977"/>
    <s v="Method Open"/>
    <s v="Grocery"/>
    <n v="2461"/>
    <n v="2528"/>
    <n v="2156"/>
    <n v="2751"/>
    <n v="2432"/>
    <n v="2571"/>
    <n v="2731"/>
    <n v="2401"/>
    <n v="2370"/>
    <n v="2492"/>
    <n v="2687"/>
    <n v="2302"/>
    <n v="29882"/>
    <n v="10"/>
    <n v="298820"/>
    <n v="0.95747052633905505"/>
    <x v="2"/>
    <n v="2490.1666666666665"/>
    <n v="177.4684777814376"/>
    <n v="7.1267710774956541E-2"/>
    <x v="0"/>
    <s v="CX"/>
  </r>
  <r>
    <s v="ITM_900"/>
    <s v="Daughter Energy"/>
    <s v="Grocery"/>
    <n v="2575"/>
    <n v="2353"/>
    <n v="2606"/>
    <n v="2405"/>
    <n v="2647"/>
    <n v="2296"/>
    <n v="2707"/>
    <n v="2435"/>
    <n v="2533"/>
    <n v="2490"/>
    <n v="2454"/>
    <n v="2371"/>
    <n v="29872"/>
    <n v="10"/>
    <n v="298720"/>
    <n v="0.95774910823856163"/>
    <x v="2"/>
    <n v="2489.3333333333335"/>
    <n v="126.62567119688094"/>
    <n v="5.0867302301907176E-2"/>
    <x v="0"/>
    <s v="CX"/>
  </r>
  <r>
    <s v="ITM_905"/>
    <s v="Between Start"/>
    <s v="Electronics"/>
    <n v="509"/>
    <n v="456"/>
    <n v="488"/>
    <n v="498"/>
    <n v="519"/>
    <n v="498"/>
    <n v="491"/>
    <n v="481"/>
    <n v="460"/>
    <n v="503"/>
    <n v="478"/>
    <n v="506"/>
    <n v="5887"/>
    <n v="50"/>
    <n v="294350"/>
    <n v="0.95802361474003395"/>
    <x v="2"/>
    <n v="490.58333333333331"/>
    <n v="19.157046333984379"/>
    <n v="3.9049525396265085E-2"/>
    <x v="0"/>
    <s v="CX"/>
  </r>
  <r>
    <s v="ITM_819"/>
    <s v="West Way"/>
    <s v="Electronics"/>
    <n v="464"/>
    <n v="478"/>
    <n v="503"/>
    <n v="471"/>
    <n v="487"/>
    <n v="486"/>
    <n v="508"/>
    <n v="457"/>
    <n v="482"/>
    <n v="467"/>
    <n v="486"/>
    <n v="549"/>
    <n v="5838"/>
    <n v="50"/>
    <n v="291900"/>
    <n v="0.95829583640736782"/>
    <x v="2"/>
    <n v="486.5"/>
    <n v="24.736796294368656"/>
    <n v="5.0846446648239785E-2"/>
    <x v="0"/>
    <s v="CX"/>
  </r>
  <r>
    <s v="ITM_995"/>
    <s v="Street Others"/>
    <s v="Grocery"/>
    <n v="2362"/>
    <n v="2603"/>
    <n v="2531"/>
    <n v="2447"/>
    <n v="2433"/>
    <n v="2457"/>
    <n v="2647"/>
    <n v="2284"/>
    <n v="2271"/>
    <n v="2418"/>
    <n v="2378"/>
    <n v="2330"/>
    <n v="29161"/>
    <n v="10"/>
    <n v="291610"/>
    <n v="0.95856778762494665"/>
    <x v="2"/>
    <n v="2430.0833333333335"/>
    <n v="117.6724717428023"/>
    <n v="4.8423224886445168E-2"/>
    <x v="0"/>
    <s v="CX"/>
  </r>
  <r>
    <s v="ITM_401"/>
    <s v="Morning Indeed"/>
    <s v="Electronics"/>
    <n v="478"/>
    <n v="501"/>
    <n v="493"/>
    <n v="472"/>
    <n v="468"/>
    <n v="485"/>
    <n v="461"/>
    <n v="499"/>
    <n v="475"/>
    <n v="494"/>
    <n v="487"/>
    <n v="517"/>
    <n v="5830"/>
    <n v="50"/>
    <n v="291500"/>
    <n v="0.95883963625813551"/>
    <x v="2"/>
    <n v="485.83333333333331"/>
    <n v="15.953531004613101"/>
    <n v="3.2837456613268819E-2"/>
    <x v="0"/>
    <s v="CX"/>
  </r>
  <r>
    <s v="ITM_628"/>
    <s v="Somebody Rest"/>
    <s v="Home &amp; Kitchen"/>
    <n v="470"/>
    <n v="503"/>
    <n v="476"/>
    <n v="468"/>
    <n v="489"/>
    <n v="483"/>
    <n v="488"/>
    <n v="440"/>
    <n v="470"/>
    <n v="498"/>
    <n v="506"/>
    <n v="464"/>
    <n v="5755"/>
    <n v="50"/>
    <n v="287750"/>
    <n v="0.95910798769621475"/>
    <x v="2"/>
    <n v="479.58333333333331"/>
    <n v="18.821932725284924"/>
    <n v="3.9246427924138849E-2"/>
    <x v="0"/>
    <s v="CX"/>
  </r>
  <r>
    <s v="ITM_935"/>
    <s v="Claim Rest"/>
    <s v="Grocery"/>
    <n v="2260"/>
    <n v="2257"/>
    <n v="2615"/>
    <n v="2305"/>
    <n v="2372"/>
    <n v="2820"/>
    <n v="2619"/>
    <n v="2356"/>
    <n v="1997"/>
    <n v="2365"/>
    <n v="2398"/>
    <n v="2290"/>
    <n v="28654"/>
    <n v="10"/>
    <n v="286540"/>
    <n v="0.9593752107060054"/>
    <x v="2"/>
    <n v="2387.8333333333335"/>
    <n v="212.41932514950162"/>
    <n v="8.8959024980596754E-2"/>
    <x v="0"/>
    <s v="CX"/>
  </r>
  <r>
    <s v="ITM_492"/>
    <s v="Recognize Dinner"/>
    <s v="Grocery"/>
    <n v="2427"/>
    <n v="2307"/>
    <n v="2549"/>
    <n v="2268"/>
    <n v="2697"/>
    <n v="2407"/>
    <n v="2522"/>
    <n v="2405"/>
    <n v="2205"/>
    <n v="2370"/>
    <n v="2615"/>
    <n v="1866"/>
    <n v="28638"/>
    <n v="10"/>
    <n v="286380"/>
    <n v="0.95964228450213795"/>
    <x v="2"/>
    <n v="2386.5"/>
    <n v="217.48333269471479"/>
    <n v="9.1130665281673906E-2"/>
    <x v="0"/>
    <s v="CX"/>
  </r>
  <r>
    <s v="ITM_156"/>
    <s v="Rest Control"/>
    <s v="Grocery"/>
    <n v="2594"/>
    <n v="2517"/>
    <n v="2810"/>
    <n v="1938"/>
    <n v="2349"/>
    <n v="2288"/>
    <n v="2138"/>
    <n v="2311"/>
    <n v="2307"/>
    <n v="2477"/>
    <n v="2543"/>
    <n v="2294"/>
    <n v="28566"/>
    <n v="10"/>
    <n v="285660"/>
    <n v="0.95990868683680941"/>
    <x v="2"/>
    <n v="2380.5"/>
    <n v="226.89184447861737"/>
    <n v="9.531268409099658E-2"/>
    <x v="0"/>
    <s v="CX"/>
  </r>
  <r>
    <s v="ITM_058"/>
    <s v="Onto Partner"/>
    <s v="Toys"/>
    <n v="254"/>
    <n v="243"/>
    <n v="222"/>
    <n v="235"/>
    <n v="251"/>
    <n v="226"/>
    <n v="222"/>
    <n v="239"/>
    <n v="239"/>
    <n v="238"/>
    <n v="228"/>
    <n v="253"/>
    <n v="2850"/>
    <n v="100"/>
    <n v="285000"/>
    <n v="0.96017447366514164"/>
    <x v="2"/>
    <n v="237.5"/>
    <n v="11.437577620203582"/>
    <n v="4.8158221558751921E-2"/>
    <x v="0"/>
    <s v="CX"/>
  </r>
  <r>
    <s v="ITM_274"/>
    <s v="Whose Debate"/>
    <s v="Grocery"/>
    <n v="2693"/>
    <n v="2095"/>
    <n v="2551"/>
    <n v="2427"/>
    <n v="2157"/>
    <n v="2451"/>
    <n v="2450"/>
    <n v="2523"/>
    <n v="2262"/>
    <n v="2567"/>
    <n v="2209"/>
    <n v="2090"/>
    <n v="28475"/>
    <n v="10"/>
    <n v="284750"/>
    <n v="0.96044002734713319"/>
    <x v="2"/>
    <n v="2372.9166666666665"/>
    <n v="202.79746203061964"/>
    <n v="8.5463372936521009E-2"/>
    <x v="0"/>
    <s v="CX"/>
  </r>
  <r>
    <s v="ITM_862"/>
    <s v="Nothing Role"/>
    <s v="Grocery"/>
    <n v="2330"/>
    <n v="2282"/>
    <n v="2151"/>
    <n v="2168"/>
    <n v="2262"/>
    <n v="2608"/>
    <n v="2625"/>
    <n v="2025"/>
    <n v="2431"/>
    <n v="2402"/>
    <n v="2241"/>
    <n v="2363"/>
    <n v="27888"/>
    <n v="10"/>
    <n v="278880"/>
    <n v="0.9607001067530464"/>
    <x v="2"/>
    <n v="2324"/>
    <n v="177.48495454800977"/>
    <n v="7.6370462370055833E-2"/>
    <x v="0"/>
    <s v="CX"/>
  </r>
  <r>
    <s v="ITM_983"/>
    <s v="Test Six"/>
    <s v="Electronics"/>
    <n v="430"/>
    <n v="421"/>
    <n v="436"/>
    <n v="432"/>
    <n v="452"/>
    <n v="439"/>
    <n v="478"/>
    <n v="501"/>
    <n v="454"/>
    <n v="468"/>
    <n v="468"/>
    <n v="513"/>
    <n v="5492"/>
    <n v="50"/>
    <n v="274600"/>
    <n v="0.96095619469360793"/>
    <x v="2"/>
    <n v="457.66666666666669"/>
    <n v="28.917856494602507"/>
    <n v="6.3185411131687921E-2"/>
    <x v="0"/>
    <s v="CX"/>
  </r>
  <r>
    <s v="ITM_138"/>
    <s v="Result Learn"/>
    <s v="Grocery"/>
    <n v="2088"/>
    <n v="2252"/>
    <n v="2051"/>
    <n v="2118"/>
    <n v="2364"/>
    <n v="2132"/>
    <n v="2302"/>
    <n v="2490"/>
    <n v="2233"/>
    <n v="2306"/>
    <n v="2288"/>
    <n v="2514"/>
    <n v="27138"/>
    <n v="10"/>
    <n v="271380"/>
    <n v="0.96120927970930192"/>
    <x v="2"/>
    <n v="2261.5"/>
    <n v="148.77530342463064"/>
    <n v="6.5786116924444235E-2"/>
    <x v="0"/>
    <s v="CX"/>
  </r>
  <r>
    <s v="ITM_665"/>
    <s v="Sell Such"/>
    <s v="Electronics"/>
    <n v="195"/>
    <n v="237"/>
    <n v="212"/>
    <n v="221"/>
    <n v="239"/>
    <n v="208"/>
    <n v="222"/>
    <n v="205"/>
    <n v="214"/>
    <n v="186"/>
    <n v="227"/>
    <n v="222"/>
    <n v="2588"/>
    <n v="100"/>
    <n v="258800"/>
    <n v="0.96145063280113485"/>
    <x v="2"/>
    <n v="215.66666666666666"/>
    <n v="15.761479702878232"/>
    <n v="7.3082595222001071E-2"/>
    <x v="0"/>
    <s v="CX"/>
  </r>
  <r>
    <s v="ITM_113"/>
    <s v="More Than"/>
    <s v="Grocery"/>
    <n v="2078"/>
    <n v="2624"/>
    <n v="1847"/>
    <n v="1914"/>
    <n v="2205"/>
    <n v="2348"/>
    <n v="2204"/>
    <n v="2247"/>
    <n v="2026"/>
    <n v="2528"/>
    <n v="1876"/>
    <n v="1925"/>
    <n v="25822"/>
    <n v="10"/>
    <n v="258220"/>
    <n v="0.96169144499345749"/>
    <x v="2"/>
    <n v="2151.8333333333335"/>
    <n v="255.10063373761562"/>
    <n v="0.1185503680912163"/>
    <x v="0"/>
    <s v="CX"/>
  </r>
  <r>
    <s v="ITM_396"/>
    <s v="Thing Teach"/>
    <s v="Electronics"/>
    <n v="458"/>
    <n v="443"/>
    <n v="423"/>
    <n v="406"/>
    <n v="417"/>
    <n v="398"/>
    <n v="481"/>
    <n v="425"/>
    <n v="427"/>
    <n v="413"/>
    <n v="413"/>
    <n v="409"/>
    <n v="5113"/>
    <n v="50"/>
    <n v="255650"/>
    <n v="0.96192986044139828"/>
    <x v="2"/>
    <n v="426.08333333333331"/>
    <n v="23.819237196141703"/>
    <n v="5.5902766742362692E-2"/>
    <x v="0"/>
    <s v="CX"/>
  </r>
  <r>
    <s v="ITM_867"/>
    <s v="Economic All"/>
    <s v="Electronics"/>
    <n v="212"/>
    <n v="227"/>
    <n v="207"/>
    <n v="203"/>
    <n v="240"/>
    <n v="220"/>
    <n v="207"/>
    <n v="187"/>
    <n v="198"/>
    <n v="213"/>
    <n v="204"/>
    <n v="230"/>
    <n v="2548"/>
    <n v="100"/>
    <n v="254800"/>
    <n v="0.96216748319178091"/>
    <x v="2"/>
    <n v="212.33333333333334"/>
    <n v="14.809906594348709"/>
    <n v="6.9748382704938966E-2"/>
    <x v="0"/>
    <s v="CX"/>
  </r>
  <r>
    <s v="ITM_348"/>
    <s v="Without Sort"/>
    <s v="Grocery"/>
    <n v="2340"/>
    <n v="2002"/>
    <n v="2112"/>
    <n v="2282"/>
    <n v="1938"/>
    <n v="1899"/>
    <n v="2271"/>
    <n v="1808"/>
    <n v="2188"/>
    <n v="1973"/>
    <n v="2250"/>
    <n v="2415"/>
    <n v="25478"/>
    <n v="10"/>
    <n v="254780"/>
    <n v="0.96240508729045626"/>
    <x v="2"/>
    <n v="2123.1666666666665"/>
    <n v="195.58296697232345"/>
    <n v="9.211851808100642E-2"/>
    <x v="0"/>
    <s v="CX"/>
  </r>
  <r>
    <s v="ITM_941"/>
    <s v="Anyone Option"/>
    <s v="Grocery"/>
    <n v="2028"/>
    <n v="2023"/>
    <n v="2036"/>
    <n v="2156"/>
    <n v="2332"/>
    <n v="1933"/>
    <n v="2036"/>
    <n v="2358"/>
    <n v="2192"/>
    <n v="2206"/>
    <n v="1926"/>
    <n v="2205"/>
    <n v="25431"/>
    <n v="10"/>
    <n v="254310"/>
    <n v="0.96264225307401119"/>
    <x v="2"/>
    <n v="2119.25"/>
    <n v="143.73974271704967"/>
    <n v="6.7825760394974483E-2"/>
    <x v="0"/>
    <s v="CX"/>
  </r>
  <r>
    <s v="ITM_455"/>
    <s v="My Rock"/>
    <s v="Apparel"/>
    <n v="324"/>
    <n v="316"/>
    <n v="79"/>
    <n v="259"/>
    <n v="502"/>
    <n v="129"/>
    <n v="587"/>
    <n v="465"/>
    <n v="446"/>
    <n v="651"/>
    <n v="593"/>
    <n v="658"/>
    <n v="5009"/>
    <n v="50"/>
    <n v="250450"/>
    <n v="0.96287581907806663"/>
    <x v="2"/>
    <n v="417.41666666666669"/>
    <n v="196.34915946915186"/>
    <n v="0.47039127842479977"/>
    <x v="1"/>
    <s v="CY"/>
  </r>
  <r>
    <s v="ITM_610"/>
    <s v="Weight First"/>
    <s v="Grocery"/>
    <n v="1955"/>
    <n v="2629"/>
    <n v="1876"/>
    <n v="1693"/>
    <n v="1703"/>
    <n v="1981"/>
    <n v="1871"/>
    <n v="2279"/>
    <n v="2228"/>
    <n v="2361"/>
    <n v="2088"/>
    <n v="2321"/>
    <n v="24985"/>
    <n v="10"/>
    <n v="249850"/>
    <n v="0.96310882553090449"/>
    <x v="2"/>
    <n v="2082.0833333333335"/>
    <n v="286.44861774157749"/>
    <n v="0.13757788324590473"/>
    <x v="0"/>
    <s v="CX"/>
  </r>
  <r>
    <s v="ITM_191"/>
    <s v="Soon Sell"/>
    <s v="Apparel"/>
    <n v="563"/>
    <n v="699"/>
    <n v="208"/>
    <n v="430"/>
    <n v="263"/>
    <n v="521"/>
    <n v="448"/>
    <n v="331"/>
    <n v="381"/>
    <n v="267"/>
    <n v="437"/>
    <n v="435"/>
    <n v="4983"/>
    <n v="50"/>
    <n v="249150"/>
    <n v="0.96334117917398865"/>
    <x v="2"/>
    <n v="415.25"/>
    <n v="138.84662892427878"/>
    <n v="0.33436876321319392"/>
    <x v="1"/>
    <s v="CY"/>
  </r>
  <r>
    <s v="ITM_833"/>
    <s v="Effort Good"/>
    <s v="Toys"/>
    <n v="210"/>
    <n v="204"/>
    <n v="200"/>
    <n v="203"/>
    <n v="207"/>
    <n v="216"/>
    <n v="209"/>
    <n v="218"/>
    <n v="188"/>
    <n v="224"/>
    <n v="211"/>
    <n v="198"/>
    <n v="2488"/>
    <n v="100"/>
    <n v="248800"/>
    <n v="0.96357320641219579"/>
    <x v="2"/>
    <n v="207.33333333333334"/>
    <n v="9.6984847301321278"/>
    <n v="4.6777257540830196E-2"/>
    <x v="0"/>
    <s v="CX"/>
  </r>
  <r>
    <s v="ITM_776"/>
    <s v="Late Human"/>
    <s v="Grocery"/>
    <n v="1888"/>
    <n v="2130"/>
    <n v="2304"/>
    <n v="1682"/>
    <n v="2074"/>
    <n v="2320"/>
    <n v="1897"/>
    <n v="2111"/>
    <n v="1977"/>
    <n v="2152"/>
    <n v="2054"/>
    <n v="2163"/>
    <n v="24752"/>
    <n v="10"/>
    <n v="247520"/>
    <n v="0.96380403994113895"/>
    <x v="2"/>
    <n v="2062.6666666666665"/>
    <n v="180.85219144792012"/>
    <n v="8.7678825847407951E-2"/>
    <x v="0"/>
    <s v="CX"/>
  </r>
  <r>
    <s v="ITM_823"/>
    <s v="Fast Down"/>
    <s v="Grocery"/>
    <n v="1721"/>
    <n v="2554"/>
    <n v="2249"/>
    <n v="2026"/>
    <n v="1797"/>
    <n v="1990"/>
    <n v="1859"/>
    <n v="2180"/>
    <n v="2288"/>
    <n v="2125"/>
    <n v="2098"/>
    <n v="1837"/>
    <n v="24724"/>
    <n v="10"/>
    <n v="247240"/>
    <n v="0.96403461234618049"/>
    <x v="2"/>
    <n v="2060.3333333333335"/>
    <n v="239.71283324895685"/>
    <n v="0.11634662671847121"/>
    <x v="0"/>
    <s v="CX"/>
  </r>
  <r>
    <s v="ITM_970"/>
    <s v="Guy Year"/>
    <s v="Grocery"/>
    <n v="1982"/>
    <n v="2173"/>
    <n v="2085"/>
    <n v="1567"/>
    <n v="2039"/>
    <n v="1899"/>
    <n v="2011"/>
    <n v="1989"/>
    <n v="2249"/>
    <n v="2062"/>
    <n v="2035"/>
    <n v="2449"/>
    <n v="24540"/>
    <n v="10"/>
    <n v="245400"/>
    <n v="0.96426346879415503"/>
    <x v="2"/>
    <n v="2045"/>
    <n v="209.17630667149487"/>
    <n v="0.10228670252884835"/>
    <x v="0"/>
    <s v="CX"/>
  </r>
  <r>
    <s v="ITM_299"/>
    <s v="Hit Affect"/>
    <s v="Grocery"/>
    <n v="1865"/>
    <n v="2075"/>
    <n v="1752"/>
    <n v="2179"/>
    <n v="2186"/>
    <n v="2440"/>
    <n v="2253"/>
    <n v="1829"/>
    <n v="1925"/>
    <n v="1847"/>
    <n v="1905"/>
    <n v="2272"/>
    <n v="24528"/>
    <n v="10"/>
    <n v="245280"/>
    <n v="0.96449221333188595"/>
    <x v="2"/>
    <n v="2044"/>
    <n v="219.01681130991668"/>
    <n v="0.10715108185416668"/>
    <x v="0"/>
    <s v="CX"/>
  </r>
  <r>
    <s v="ITM_225"/>
    <s v="Commercial Author"/>
    <s v="Apparel"/>
    <n v="389"/>
    <n v="409"/>
    <n v="286"/>
    <n v="218"/>
    <n v="129"/>
    <n v="91"/>
    <n v="239"/>
    <n v="15"/>
    <n v="369"/>
    <n v="48"/>
    <n v="119"/>
    <n v="138"/>
    <n v="2450"/>
    <n v="100"/>
    <n v="245000"/>
    <n v="0.96472069674571537"/>
    <x v="2"/>
    <n v="204.16666666666666"/>
    <n v="135.39560442263146"/>
    <n v="0.66316214411084806"/>
    <x v="2"/>
    <s v="CZ"/>
  </r>
  <r>
    <s v="ITM_548"/>
    <s v="Dark Clearly"/>
    <s v="Grocery"/>
    <n v="2108"/>
    <n v="2141"/>
    <n v="1954"/>
    <n v="1954"/>
    <n v="1994"/>
    <n v="1890"/>
    <n v="2066"/>
    <n v="2085"/>
    <n v="2062"/>
    <n v="2140"/>
    <n v="2018"/>
    <n v="1979"/>
    <n v="24391"/>
    <n v="10"/>
    <n v="243910"/>
    <n v="0.9649481636414996"/>
    <x v="2"/>
    <n v="2032.5833333333333"/>
    <n v="80.319202202364053"/>
    <n v="3.951582249306583E-2"/>
    <x v="0"/>
    <s v="CX"/>
  </r>
  <r>
    <s v="ITM_723"/>
    <s v="Open Body"/>
    <s v="Electronics"/>
    <n v="203"/>
    <n v="205"/>
    <n v="208"/>
    <n v="211"/>
    <n v="219"/>
    <n v="213"/>
    <n v="202"/>
    <n v="200"/>
    <n v="177"/>
    <n v="203"/>
    <n v="182"/>
    <n v="199"/>
    <n v="2422"/>
    <n v="100"/>
    <n v="242200"/>
    <n v="0.96517403581631389"/>
    <x v="2"/>
    <n v="201.83333333333334"/>
    <n v="11.968392717588451"/>
    <n v="5.9298394967407679E-2"/>
    <x v="0"/>
    <s v="CX"/>
  </r>
  <r>
    <s v="ITM_890"/>
    <s v="World Education"/>
    <s v="Grocery"/>
    <n v="2183"/>
    <n v="2038"/>
    <n v="2006"/>
    <n v="1679"/>
    <n v="1762"/>
    <n v="1825"/>
    <n v="2433"/>
    <n v="2255"/>
    <n v="2115"/>
    <n v="1798"/>
    <n v="1650"/>
    <n v="2300"/>
    <n v="24044"/>
    <n v="10"/>
    <n v="240440"/>
    <n v="0.96539826664089001"/>
    <x v="2"/>
    <n v="2003.6666666666667"/>
    <n v="260.0980001787201"/>
    <n v="0.12981101323176847"/>
    <x v="0"/>
    <s v="CX"/>
  </r>
  <r>
    <s v="ITM_372"/>
    <s v="Decade Win"/>
    <s v="Apparel"/>
    <n v="380"/>
    <n v="620"/>
    <n v="540"/>
    <n v="381"/>
    <n v="478"/>
    <n v="369"/>
    <n v="535"/>
    <n v="217"/>
    <n v="338"/>
    <n v="643"/>
    <n v="163"/>
    <n v="114"/>
    <n v="4778"/>
    <n v="50"/>
    <n v="238900"/>
    <n v="0.96562106128400782"/>
    <x v="2"/>
    <n v="398.16666666666669"/>
    <n v="172.76828061851745"/>
    <n v="0.43390945320682489"/>
    <x v="1"/>
    <s v="CY"/>
  </r>
  <r>
    <s v="ITM_681"/>
    <s v="Subject Job"/>
    <s v="Home &amp; Kitchen"/>
    <n v="198"/>
    <n v="192"/>
    <n v="194"/>
    <n v="203"/>
    <n v="190"/>
    <n v="215"/>
    <n v="197"/>
    <n v="202"/>
    <n v="197"/>
    <n v="186"/>
    <n v="192"/>
    <n v="190"/>
    <n v="2356"/>
    <n v="100"/>
    <n v="235600"/>
    <n v="0.96584077839542903"/>
    <x v="2"/>
    <n v="196.33333333333334"/>
    <n v="7.738138528017438"/>
    <n v="3.9413269242873195E-2"/>
    <x v="0"/>
    <s v="CX"/>
  </r>
  <r>
    <s v="ITM_955"/>
    <s v="Improve Officer"/>
    <s v="Apparel"/>
    <n v="215"/>
    <n v="243"/>
    <n v="158"/>
    <n v="73"/>
    <n v="200"/>
    <n v="366"/>
    <n v="54"/>
    <n v="317"/>
    <n v="212"/>
    <n v="30"/>
    <n v="114"/>
    <n v="349"/>
    <n v="2331"/>
    <n v="100"/>
    <n v="233100"/>
    <n v="0.96605816404344391"/>
    <x v="2"/>
    <n v="194.25"/>
    <n v="113.12593545570031"/>
    <n v="0.58237289809884329"/>
    <x v="2"/>
    <s v="CZ"/>
  </r>
  <r>
    <s v="ITM_189"/>
    <s v="Avoid Part"/>
    <s v="Toys"/>
    <n v="385"/>
    <n v="386"/>
    <n v="383"/>
    <n v="405"/>
    <n v="403"/>
    <n v="380"/>
    <n v="395"/>
    <n v="417"/>
    <n v="362"/>
    <n v="384"/>
    <n v="371"/>
    <n v="389"/>
    <n v="4660"/>
    <n v="50"/>
    <n v="233000"/>
    <n v="0.96627545643292256"/>
    <x v="2"/>
    <n v="388.33333333333331"/>
    <n v="15.03531197084404"/>
    <n v="3.8717541555821564E-2"/>
    <x v="0"/>
    <s v="CX"/>
  </r>
  <r>
    <s v="ITM_764"/>
    <s v="Film It"/>
    <s v="Grocery"/>
    <n v="1945"/>
    <n v="1957"/>
    <n v="1737"/>
    <n v="1830"/>
    <n v="2206"/>
    <n v="2162"/>
    <n v="1995"/>
    <n v="1835"/>
    <n v="1968"/>
    <n v="1687"/>
    <n v="1831"/>
    <n v="2059"/>
    <n v="23212"/>
    <n v="10"/>
    <n v="232120"/>
    <n v="0.96649192814728213"/>
    <x v="2"/>
    <n v="1934.3333333333333"/>
    <n v="159.02048657803545"/>
    <n v="8.2209453685008843E-2"/>
    <x v="0"/>
    <s v="CX"/>
  </r>
  <r>
    <s v="ITM_059"/>
    <s v="Sort Television"/>
    <s v="Electronics"/>
    <n v="392"/>
    <n v="371"/>
    <n v="359"/>
    <n v="392"/>
    <n v="398"/>
    <n v="378"/>
    <n v="361"/>
    <n v="386"/>
    <n v="399"/>
    <n v="365"/>
    <n v="403"/>
    <n v="369"/>
    <n v="4573"/>
    <n v="50"/>
    <n v="228650"/>
    <n v="0.96670516379043347"/>
    <x v="2"/>
    <n v="381.08333333333331"/>
    <n v="15.831259832331346"/>
    <n v="4.154277673036872E-2"/>
    <x v="0"/>
    <s v="CX"/>
  </r>
  <r>
    <s v="ITM_139"/>
    <s v="Piece Garden"/>
    <s v="Toys"/>
    <n v="383"/>
    <n v="348"/>
    <n v="382"/>
    <n v="391"/>
    <n v="377"/>
    <n v="376"/>
    <n v="385"/>
    <n v="347"/>
    <n v="406"/>
    <n v="377"/>
    <n v="353"/>
    <n v="384"/>
    <n v="4509"/>
    <n v="50"/>
    <n v="225450"/>
    <n v="0.96691541516042478"/>
    <x v="2"/>
    <n v="375.75"/>
    <n v="17.863752023682942"/>
    <n v="4.7541588885383741E-2"/>
    <x v="0"/>
    <s v="CX"/>
  </r>
  <r>
    <s v="ITM_307"/>
    <s v="Response Despite"/>
    <s v="Electronics"/>
    <n v="359"/>
    <n v="352"/>
    <n v="377"/>
    <n v="372"/>
    <n v="372"/>
    <n v="372"/>
    <n v="360"/>
    <n v="412"/>
    <n v="389"/>
    <n v="392"/>
    <n v="385"/>
    <n v="359"/>
    <n v="4501"/>
    <n v="50"/>
    <n v="225050"/>
    <n v="0.96712529349627097"/>
    <x v="2"/>
    <n v="375.08333333333331"/>
    <n v="17.191215163212831"/>
    <n v="4.5833055311831593E-2"/>
    <x v="0"/>
    <s v="CX"/>
  </r>
  <r>
    <s v="ITM_991"/>
    <s v="Whole Type"/>
    <s v="Grocery"/>
    <n v="2039"/>
    <n v="1691"/>
    <n v="2094"/>
    <n v="1754"/>
    <n v="2032"/>
    <n v="1829"/>
    <n v="1702"/>
    <n v="1485"/>
    <n v="1907"/>
    <n v="1839"/>
    <n v="2024"/>
    <n v="1962"/>
    <n v="22358"/>
    <n v="10"/>
    <n v="223580"/>
    <n v="0.96733380093163412"/>
    <x v="2"/>
    <n v="1863.1666666666667"/>
    <n v="181.54830728703553"/>
    <n v="9.7440723116755806E-2"/>
    <x v="0"/>
    <s v="CX"/>
  </r>
  <r>
    <s v="ITM_921"/>
    <s v="Wide War"/>
    <s v="Home &amp; Kitchen"/>
    <n v="174"/>
    <n v="179"/>
    <n v="177"/>
    <n v="207"/>
    <n v="173"/>
    <n v="196"/>
    <n v="197"/>
    <n v="165"/>
    <n v="220"/>
    <n v="187"/>
    <n v="183"/>
    <n v="165"/>
    <n v="2223"/>
    <n v="100"/>
    <n v="222300"/>
    <n v="0.96754111465773329"/>
    <x v="2"/>
    <n v="185.25"/>
    <n v="16.912206457843613"/>
    <n v="9.1293961985660532E-2"/>
    <x v="0"/>
    <s v="CX"/>
  </r>
  <r>
    <s v="ITM_326"/>
    <s v="Eat Stay"/>
    <s v="Electronics"/>
    <n v="194"/>
    <n v="206"/>
    <n v="201"/>
    <n v="187"/>
    <n v="181"/>
    <n v="185"/>
    <n v="196"/>
    <n v="177"/>
    <n v="186"/>
    <n v="153"/>
    <n v="181"/>
    <n v="173"/>
    <n v="2220"/>
    <n v="100"/>
    <n v="222000"/>
    <n v="0.96774814860822356"/>
    <x v="2"/>
    <n v="185"/>
    <n v="14.038906976360698"/>
    <n v="7.5885983656003769E-2"/>
    <x v="0"/>
    <s v="CX"/>
  </r>
  <r>
    <s v="ITM_197"/>
    <s v="Stay Case"/>
    <s v="Grocery"/>
    <n v="1946"/>
    <n v="1732"/>
    <n v="2004"/>
    <n v="1927"/>
    <n v="2152"/>
    <n v="1514"/>
    <n v="1562"/>
    <n v="1984"/>
    <n v="2068"/>
    <n v="1615"/>
    <n v="1826"/>
    <n v="1784"/>
    <n v="22114"/>
    <n v="10"/>
    <n v="221140"/>
    <n v="0.96795438053530214"/>
    <x v="2"/>
    <n v="1842.8333333333333"/>
    <n v="205.57008684645822"/>
    <n v="0.11155110075777783"/>
    <x v="0"/>
    <s v="CX"/>
  </r>
  <r>
    <s v="ITM_664"/>
    <s v="Play Present"/>
    <s v="Grocery"/>
    <n v="1964"/>
    <n v="1801"/>
    <n v="1628"/>
    <n v="1897"/>
    <n v="1624"/>
    <n v="1772"/>
    <n v="1901"/>
    <n v="1644"/>
    <n v="1952"/>
    <n v="2320"/>
    <n v="1650"/>
    <n v="1794"/>
    <n v="21947"/>
    <n v="10"/>
    <n v="219470"/>
    <n v="0.96815905504482513"/>
    <x v="2"/>
    <n v="1828.9166666666667"/>
    <n v="199.58887668647637"/>
    <n v="0.10912956304905984"/>
    <x v="0"/>
    <s v="CX"/>
  </r>
  <r>
    <s v="ITM_658"/>
    <s v="Painting Mention"/>
    <s v="Electronics"/>
    <n v="369"/>
    <n v="340"/>
    <n v="373"/>
    <n v="384"/>
    <n v="340"/>
    <n v="377"/>
    <n v="386"/>
    <n v="352"/>
    <n v="369"/>
    <n v="342"/>
    <n v="373"/>
    <n v="356"/>
    <n v="4361"/>
    <n v="50"/>
    <n v="218050"/>
    <n v="0.96836240528313333"/>
    <x v="2"/>
    <n v="363.41666666666669"/>
    <n v="16.800748540322584"/>
    <n v="4.6229989104304287E-2"/>
    <x v="0"/>
    <s v="CX"/>
  </r>
  <r>
    <s v="ITM_981"/>
    <s v="Front Practice"/>
    <s v="Grocery"/>
    <n v="1744"/>
    <n v="1951"/>
    <n v="1857"/>
    <n v="1911"/>
    <n v="2004"/>
    <n v="1789"/>
    <n v="1700"/>
    <n v="1853"/>
    <n v="1835"/>
    <n v="1561"/>
    <n v="1724"/>
    <n v="1755"/>
    <n v="21684"/>
    <n v="10"/>
    <n v="216840"/>
    <n v="0.96856462709315283"/>
    <x v="2"/>
    <n v="1807"/>
    <n v="121.21056059601408"/>
    <n v="6.7078340119542931E-2"/>
    <x v="0"/>
    <s v="CX"/>
  </r>
  <r>
    <s v="ITM_604"/>
    <s v="Expert Marriage"/>
    <s v="Apparel"/>
    <n v="396"/>
    <n v="434"/>
    <n v="117"/>
    <n v="146"/>
    <n v="564"/>
    <n v="255"/>
    <n v="484"/>
    <n v="523"/>
    <n v="156"/>
    <n v="129"/>
    <n v="531"/>
    <n v="588"/>
    <n v="4323"/>
    <n v="50"/>
    <n v="216150"/>
    <n v="0.96876620541927216"/>
    <x v="2"/>
    <n v="360.25"/>
    <n v="186.45112691338909"/>
    <n v="0.51756038005104532"/>
    <x v="2"/>
    <s v="CZ"/>
  </r>
  <r>
    <s v="ITM_700"/>
    <s v="Education Fine"/>
    <s v="Grocery"/>
    <n v="1860"/>
    <n v="2057"/>
    <n v="1611"/>
    <n v="1741"/>
    <n v="2037"/>
    <n v="1703"/>
    <n v="1887"/>
    <n v="1486"/>
    <n v="1713"/>
    <n v="1536"/>
    <n v="1965"/>
    <n v="1800"/>
    <n v="21396"/>
    <n v="10"/>
    <n v="213960"/>
    <n v="0.96896574138344749"/>
    <x v="2"/>
    <n v="1783"/>
    <n v="186.25886190021575"/>
    <n v="0.10446374756041264"/>
    <x v="0"/>
    <s v="CX"/>
  </r>
  <r>
    <s v="ITM_527"/>
    <s v="Program Fear"/>
    <s v="Grocery"/>
    <n v="1626"/>
    <n v="1613"/>
    <n v="1196"/>
    <n v="1905"/>
    <n v="1538"/>
    <n v="1417"/>
    <n v="1739"/>
    <n v="1785"/>
    <n v="1763"/>
    <n v="2115"/>
    <n v="2067"/>
    <n v="2060"/>
    <n v="20824"/>
    <n v="10"/>
    <n v="208240"/>
    <n v="0.96915994295934893"/>
    <x v="2"/>
    <n v="1735.3333333333333"/>
    <n v="277.92521339818023"/>
    <n v="0.16015667310690371"/>
    <x v="0"/>
    <s v="CX"/>
  </r>
  <r>
    <s v="ITM_451"/>
    <s v="Pattern Air"/>
    <s v="Grocery"/>
    <n v="1896"/>
    <n v="1684"/>
    <n v="1716"/>
    <n v="1810"/>
    <n v="1670"/>
    <n v="1664"/>
    <n v="1809"/>
    <n v="1927"/>
    <n v="1674"/>
    <n v="1630"/>
    <n v="1947"/>
    <n v="1393"/>
    <n v="20820"/>
    <n v="10"/>
    <n v="208200"/>
    <n v="0.96935410723183579"/>
    <x v="2"/>
    <n v="1735"/>
    <n v="154.55743269089325"/>
    <n v="8.9082093769967285E-2"/>
    <x v="0"/>
    <s v="CX"/>
  </r>
  <r>
    <s v="ITM_749"/>
    <s v="Seek Nation"/>
    <s v="Electronics"/>
    <n v="350"/>
    <n v="366"/>
    <n v="367"/>
    <n v="308"/>
    <n v="313"/>
    <n v="339"/>
    <n v="362"/>
    <n v="313"/>
    <n v="359"/>
    <n v="378"/>
    <n v="333"/>
    <n v="362"/>
    <n v="4150"/>
    <n v="50"/>
    <n v="207500"/>
    <n v="0.96954761869456885"/>
    <x v="2"/>
    <n v="345.83333333333331"/>
    <n v="24.124048104944929"/>
    <n v="6.9756283676949193E-2"/>
    <x v="0"/>
    <s v="CX"/>
  </r>
  <r>
    <s v="ITM_999"/>
    <s v="Follow Believe"/>
    <s v="Home &amp; Kitchen"/>
    <n v="322"/>
    <n v="357"/>
    <n v="342"/>
    <n v="361"/>
    <n v="365"/>
    <n v="330"/>
    <n v="329"/>
    <n v="326"/>
    <n v="337"/>
    <n v="351"/>
    <n v="350"/>
    <n v="341"/>
    <n v="4111"/>
    <n v="50"/>
    <n v="205550"/>
    <n v="0.96973931161584492"/>
    <x v="2"/>
    <n v="342.58333333333331"/>
    <n v="14.304851899925001"/>
    <n v="4.1755831379007548E-2"/>
    <x v="0"/>
    <s v="CX"/>
  </r>
  <r>
    <s v="ITM_708"/>
    <s v="Else Include"/>
    <s v="Grocery"/>
    <n v="2041"/>
    <n v="1780"/>
    <n v="1624"/>
    <n v="1767"/>
    <n v="1715"/>
    <n v="1331"/>
    <n v="1778"/>
    <n v="1567"/>
    <n v="1556"/>
    <n v="1605"/>
    <n v="1635"/>
    <n v="2075"/>
    <n v="20474"/>
    <n v="10"/>
    <n v="204740"/>
    <n v="0.96993024914297732"/>
    <x v="2"/>
    <n v="1706.1666666666667"/>
    <n v="206.10228410949571"/>
    <n v="0.12079844726550495"/>
    <x v="0"/>
    <s v="CX"/>
  </r>
  <r>
    <s v="ITM_766"/>
    <s v="Including Wind"/>
    <s v="Grocery"/>
    <n v="1715"/>
    <n v="1605"/>
    <n v="1304"/>
    <n v="2003"/>
    <n v="1590"/>
    <n v="1591"/>
    <n v="1696"/>
    <n v="1801"/>
    <n v="1630"/>
    <n v="1832"/>
    <n v="1870"/>
    <n v="1575"/>
    <n v="20212"/>
    <n v="10"/>
    <n v="202120"/>
    <n v="0.97011874329645986"/>
    <x v="2"/>
    <n v="1684.3333333333333"/>
    <n v="179.89306587946888"/>
    <n v="0.10680372009467774"/>
    <x v="0"/>
    <s v="CX"/>
  </r>
  <r>
    <s v="ITM_728"/>
    <s v="Run Difference"/>
    <s v="Grocery"/>
    <n v="1923"/>
    <n v="1451"/>
    <n v="1689"/>
    <n v="1799"/>
    <n v="2097"/>
    <n v="1374"/>
    <n v="1572"/>
    <n v="1698"/>
    <n v="1626"/>
    <n v="1558"/>
    <n v="1476"/>
    <n v="1739"/>
    <n v="20002"/>
    <n v="10"/>
    <n v="200020"/>
    <n v="0.97030527902068087"/>
    <x v="2"/>
    <n v="1666.8333333333333"/>
    <n v="205.83790327401448"/>
    <n v="0.12349039292511618"/>
    <x v="0"/>
    <s v="CX"/>
  </r>
  <r>
    <s v="ITM_880"/>
    <s v="Traditional Avoid"/>
    <s v="Grocery"/>
    <n v="1716"/>
    <n v="1489"/>
    <n v="1539"/>
    <n v="1809"/>
    <n v="1612"/>
    <n v="1655"/>
    <n v="1685"/>
    <n v="1452"/>
    <n v="1712"/>
    <n v="1800"/>
    <n v="1788"/>
    <n v="1663"/>
    <n v="19920"/>
    <n v="10"/>
    <n v="199200"/>
    <n v="0.97049105002490466"/>
    <x v="2"/>
    <n v="1660"/>
    <n v="118.37306204615059"/>
    <n v="7.1309073521777469E-2"/>
    <x v="0"/>
    <s v="CX"/>
  </r>
  <r>
    <s v="ITM_170"/>
    <s v="Action Key"/>
    <s v="Grocery"/>
    <n v="1514"/>
    <n v="1843"/>
    <n v="2114"/>
    <n v="1927"/>
    <n v="1488"/>
    <n v="1771"/>
    <n v="1514"/>
    <n v="1516"/>
    <n v="1441"/>
    <n v="1252"/>
    <n v="1794"/>
    <n v="1732"/>
    <n v="19906"/>
    <n v="10"/>
    <n v="199060"/>
    <n v="0.97067669046717775"/>
    <x v="2"/>
    <n v="1658.8333333333333"/>
    <n v="243.78001757670191"/>
    <n v="0.14695871651363523"/>
    <x v="0"/>
    <s v="CX"/>
  </r>
  <r>
    <s v="ITM_005"/>
    <s v="Hotel Teacher"/>
    <s v="Grocery"/>
    <n v="1494"/>
    <n v="2051"/>
    <n v="1400"/>
    <n v="1918"/>
    <n v="1669"/>
    <n v="1733"/>
    <n v="1695"/>
    <n v="1560"/>
    <n v="1679"/>
    <n v="1381"/>
    <n v="1591"/>
    <n v="1662"/>
    <n v="19833"/>
    <n v="10"/>
    <n v="198330"/>
    <n v="0.97086165012213599"/>
    <x v="2"/>
    <n v="1652.75"/>
    <n v="193.90068920126939"/>
    <n v="0.11732003581985744"/>
    <x v="0"/>
    <s v="CX"/>
  </r>
  <r>
    <s v="ITM_709"/>
    <s v="Son Close"/>
    <s v="Home &amp; Kitchen"/>
    <n v="176"/>
    <n v="163"/>
    <n v="155"/>
    <n v="158"/>
    <n v="145"/>
    <n v="178"/>
    <n v="153"/>
    <n v="170"/>
    <n v="168"/>
    <n v="175"/>
    <n v="148"/>
    <n v="165"/>
    <n v="1954"/>
    <n v="100"/>
    <n v="195400"/>
    <n v="0.97104387730198205"/>
    <x v="2"/>
    <n v="162.83333333333334"/>
    <n v="11.09326850214156"/>
    <n v="6.8126520995751644E-2"/>
    <x v="0"/>
    <s v="CX"/>
  </r>
  <r>
    <s v="ITM_701"/>
    <s v="Real Coach"/>
    <s v="Home &amp; Kitchen"/>
    <n v="338"/>
    <n v="313"/>
    <n v="297"/>
    <n v="333"/>
    <n v="321"/>
    <n v="324"/>
    <n v="333"/>
    <n v="311"/>
    <n v="304"/>
    <n v="331"/>
    <n v="327"/>
    <n v="332"/>
    <n v="3864"/>
    <n v="50"/>
    <n v="193200"/>
    <n v="0.97122405279403046"/>
    <x v="2"/>
    <n v="322"/>
    <n v="13.003496033409981"/>
    <n v="4.0383528054068266E-2"/>
    <x v="0"/>
    <s v="CX"/>
  </r>
  <r>
    <s v="ITM_656"/>
    <s v="Would Son"/>
    <s v="Grocery"/>
    <n v="1538"/>
    <n v="1601"/>
    <n v="1583"/>
    <n v="1702"/>
    <n v="1643"/>
    <n v="1356"/>
    <n v="1861"/>
    <n v="1824"/>
    <n v="1526"/>
    <n v="1335"/>
    <n v="1695"/>
    <n v="1491"/>
    <n v="19155"/>
    <n v="10"/>
    <n v="191550"/>
    <n v="0.97140268952023057"/>
    <x v="2"/>
    <n v="1596.25"/>
    <n v="162.55299835046807"/>
    <n v="0.10183429810522666"/>
    <x v="0"/>
    <s v="CX"/>
  </r>
  <r>
    <s v="ITM_273"/>
    <s v="Kind Thousand"/>
    <s v="Toys"/>
    <n v="343"/>
    <n v="272"/>
    <n v="305"/>
    <n v="303"/>
    <n v="306"/>
    <n v="323"/>
    <n v="324"/>
    <n v="334"/>
    <n v="321"/>
    <n v="377"/>
    <n v="295"/>
    <n v="307"/>
    <n v="3810"/>
    <n v="50"/>
    <n v="190500"/>
    <n v="0.97158034703179996"/>
    <x v="2"/>
    <n v="317.5"/>
    <n v="26.514147167125703"/>
    <n v="8.3509124935828988E-2"/>
    <x v="0"/>
    <s v="CX"/>
  </r>
  <r>
    <s v="ITM_410"/>
    <s v="Environmental Across"/>
    <s v="Grocery"/>
    <n v="1486"/>
    <n v="1573"/>
    <n v="1708"/>
    <n v="1434"/>
    <n v="1495"/>
    <n v="1547"/>
    <n v="1432"/>
    <n v="1577"/>
    <n v="1648"/>
    <n v="1838"/>
    <n v="1853"/>
    <n v="1372"/>
    <n v="18963"/>
    <n v="10"/>
    <n v="189630"/>
    <n v="0.97175719319410392"/>
    <x v="2"/>
    <n v="1580.25"/>
    <n v="155.44430455369479"/>
    <n v="9.8366906852520045E-2"/>
    <x v="0"/>
    <s v="CX"/>
  </r>
  <r>
    <s v="ITM_389"/>
    <s v="Game Special"/>
    <s v="Electronics"/>
    <n v="334"/>
    <n v="283"/>
    <n v="305"/>
    <n v="316"/>
    <n v="315"/>
    <n v="331"/>
    <n v="319"/>
    <n v="306"/>
    <n v="300"/>
    <n v="321"/>
    <n v="327"/>
    <n v="324"/>
    <n v="3781"/>
    <n v="50"/>
    <n v="189050"/>
    <n v="0.97193349845689758"/>
    <x v="2"/>
    <n v="315.08333333333331"/>
    <n v="14.53808999167568"/>
    <n v="4.6140460169295995E-2"/>
    <x v="0"/>
    <s v="CX"/>
  </r>
  <r>
    <s v="ITM_494"/>
    <s v="Yes Enter"/>
    <s v="Electronics"/>
    <n v="312"/>
    <n v="297"/>
    <n v="327"/>
    <n v="358"/>
    <n v="310"/>
    <n v="302"/>
    <n v="283"/>
    <n v="321"/>
    <n v="323"/>
    <n v="310"/>
    <n v="330"/>
    <n v="283"/>
    <n v="3756"/>
    <n v="50"/>
    <n v="187800"/>
    <n v="0.97210863798798808"/>
    <x v="2"/>
    <n v="313"/>
    <n v="21.04108535050587"/>
    <n v="6.7223914857846234E-2"/>
    <x v="0"/>
    <s v="CX"/>
  </r>
  <r>
    <s v="ITM_966"/>
    <s v="Mention Teach"/>
    <s v="Toys"/>
    <n v="284"/>
    <n v="311"/>
    <n v="311"/>
    <n v="291"/>
    <n v="334"/>
    <n v="323"/>
    <n v="322"/>
    <n v="303"/>
    <n v="338"/>
    <n v="277"/>
    <n v="302"/>
    <n v="349"/>
    <n v="3745"/>
    <n v="50"/>
    <n v="187250"/>
    <n v="0.97228326459712922"/>
    <x v="2"/>
    <n v="312.08333333333331"/>
    <n v="22.121393731093452"/>
    <n v="7.088297056692161E-2"/>
    <x v="0"/>
    <s v="CX"/>
  </r>
  <r>
    <s v="ITM_367"/>
    <s v="Anyone Maybe"/>
    <s v="Grocery"/>
    <n v="1665"/>
    <n v="1524"/>
    <n v="1819"/>
    <n v="1739"/>
    <n v="1554"/>
    <n v="1515"/>
    <n v="1644"/>
    <n v="1497"/>
    <n v="1330"/>
    <n v="1432"/>
    <n v="1252"/>
    <n v="1696"/>
    <n v="18667"/>
    <n v="10"/>
    <n v="186670"/>
    <n v="0.97245735030675995"/>
    <x v="2"/>
    <n v="1555.5833333333333"/>
    <n v="167.04352091232988"/>
    <n v="0.10738320302930084"/>
    <x v="0"/>
    <s v="CX"/>
  </r>
  <r>
    <s v="ITM_551"/>
    <s v="Police Clearly"/>
    <s v="Home &amp; Kitchen"/>
    <n v="296"/>
    <n v="313"/>
    <n v="296"/>
    <n v="317"/>
    <n v="295"/>
    <n v="315"/>
    <n v="292"/>
    <n v="341"/>
    <n v="313"/>
    <n v="317"/>
    <n v="305"/>
    <n v="275"/>
    <n v="3675"/>
    <n v="50"/>
    <n v="183750"/>
    <n v="0.97262871286713204"/>
    <x v="2"/>
    <n v="306.25"/>
    <n v="16.852973840623122"/>
    <n v="5.5030118663259173E-2"/>
    <x v="0"/>
    <s v="CX"/>
  </r>
  <r>
    <s v="ITM_131"/>
    <s v="Evidence Most"/>
    <s v="Electronics"/>
    <n v="151"/>
    <n v="159"/>
    <n v="163"/>
    <n v="134"/>
    <n v="174"/>
    <n v="157"/>
    <n v="151"/>
    <n v="155"/>
    <n v="168"/>
    <n v="125"/>
    <n v="144"/>
    <n v="155"/>
    <n v="1836"/>
    <n v="100"/>
    <n v="183600"/>
    <n v="0.97279993553969979"/>
    <x v="2"/>
    <n v="153"/>
    <n v="13.684762594679064"/>
    <n v="8.9442892775680155E-2"/>
    <x v="0"/>
    <s v="CX"/>
  </r>
  <r>
    <s v="ITM_513"/>
    <s v="The Television"/>
    <s v="Home &amp; Kitchen"/>
    <n v="319"/>
    <n v="290"/>
    <n v="300"/>
    <n v="318"/>
    <n v="304"/>
    <n v="301"/>
    <n v="313"/>
    <n v="277"/>
    <n v="328"/>
    <n v="332"/>
    <n v="284"/>
    <n v="300"/>
    <n v="3666"/>
    <n v="50"/>
    <n v="183300"/>
    <n v="0.97297087843665864"/>
    <x v="2"/>
    <n v="305.5"/>
    <n v="17.058722109231979"/>
    <n v="5.5838697575227428E-2"/>
    <x v="0"/>
    <s v="CX"/>
  </r>
  <r>
    <s v="ITM_013"/>
    <s v="Strong Thing"/>
    <s v="Electronics"/>
    <n v="277"/>
    <n v="292"/>
    <n v="311"/>
    <n v="304"/>
    <n v="282"/>
    <n v="278"/>
    <n v="336"/>
    <n v="316"/>
    <n v="296"/>
    <n v="313"/>
    <n v="309"/>
    <n v="335"/>
    <n v="3649"/>
    <n v="50"/>
    <n v="182450"/>
    <n v="0.97314102863605945"/>
    <x v="2"/>
    <n v="304.08333333333331"/>
    <n v="19.956581659070562"/>
    <n v="6.5628659881843451E-2"/>
    <x v="0"/>
    <s v="CX"/>
  </r>
  <r>
    <s v="ITM_266"/>
    <s v="Mind Unit"/>
    <s v="Home &amp; Kitchen"/>
    <n v="144"/>
    <n v="156"/>
    <n v="146"/>
    <n v="154"/>
    <n v="163"/>
    <n v="149"/>
    <n v="149"/>
    <n v="142"/>
    <n v="155"/>
    <n v="157"/>
    <n v="139"/>
    <n v="148"/>
    <n v="1802"/>
    <n v="100"/>
    <n v="180200"/>
    <n v="0.97330908051839438"/>
    <x v="2"/>
    <n v="150.16666666666666"/>
    <n v="6.9913366303438629"/>
    <n v="4.6557180668216624E-2"/>
    <x v="0"/>
    <s v="CX"/>
  </r>
  <r>
    <s v="ITM_205"/>
    <s v="Event Major"/>
    <s v="Home &amp; Kitchen"/>
    <n v="320"/>
    <n v="292"/>
    <n v="327"/>
    <n v="278"/>
    <n v="308"/>
    <n v="293"/>
    <n v="293"/>
    <n v="306"/>
    <n v="294"/>
    <n v="262"/>
    <n v="283"/>
    <n v="301"/>
    <n v="3557"/>
    <n v="50"/>
    <n v="177850"/>
    <n v="0.97347494082512731"/>
    <x v="2"/>
    <n v="296.41666666666669"/>
    <n v="17.814490186532439"/>
    <n v="6.0099488962156097E-2"/>
    <x v="0"/>
    <s v="CX"/>
  </r>
  <r>
    <s v="ITM_341"/>
    <s v="Memory Live"/>
    <s v="Apparel"/>
    <n v="413"/>
    <n v="395"/>
    <n v="175"/>
    <n v="376"/>
    <n v="331"/>
    <n v="263"/>
    <n v="459"/>
    <n v="9"/>
    <n v="10"/>
    <n v="516"/>
    <n v="77"/>
    <n v="520"/>
    <n v="3544"/>
    <n v="50"/>
    <n v="177200"/>
    <n v="0.97364019495137455"/>
    <x v="2"/>
    <n v="295.33333333333331"/>
    <n v="186.86666774775944"/>
    <n v="0.63273138063575429"/>
    <x v="2"/>
    <s v="CZ"/>
  </r>
  <r>
    <s v="ITM_390"/>
    <s v="Peace On"/>
    <s v="Electronics"/>
    <n v="277"/>
    <n v="265"/>
    <n v="323"/>
    <n v="291"/>
    <n v="261"/>
    <n v="292"/>
    <n v="299"/>
    <n v="287"/>
    <n v="289"/>
    <n v="327"/>
    <n v="314"/>
    <n v="291"/>
    <n v="3516"/>
    <n v="50"/>
    <n v="175800"/>
    <n v="0.97380414345811417"/>
    <x v="2"/>
    <n v="293"/>
    <n v="20.57801121232432"/>
    <n v="7.0232120178581298E-2"/>
    <x v="0"/>
    <s v="CX"/>
  </r>
  <r>
    <s v="ITM_593"/>
    <s v="Surface Almost"/>
    <s v="Toys"/>
    <n v="300"/>
    <n v="270"/>
    <n v="278"/>
    <n v="284"/>
    <n v="288"/>
    <n v="297"/>
    <n v="300"/>
    <n v="305"/>
    <n v="287"/>
    <n v="274"/>
    <n v="327"/>
    <n v="273"/>
    <n v="3483"/>
    <n v="50"/>
    <n v="174150"/>
    <n v="0.9739665531990056"/>
    <x v="2"/>
    <n v="290.25"/>
    <n v="16.460006627635913"/>
    <n v="5.6709755823035016E-2"/>
    <x v="0"/>
    <s v="CX"/>
  </r>
  <r>
    <s v="ITM_084"/>
    <s v="Maintain Leader"/>
    <s v="Toys"/>
    <n v="274"/>
    <n v="280"/>
    <n v="302"/>
    <n v="269"/>
    <n v="276"/>
    <n v="295"/>
    <n v="285"/>
    <n v="288"/>
    <n v="270"/>
    <n v="277"/>
    <n v="270"/>
    <n v="285"/>
    <n v="3371"/>
    <n v="50"/>
    <n v="168550"/>
    <n v="0.97412374046186667"/>
    <x v="2"/>
    <n v="280.91666666666669"/>
    <n v="10.422513510607116"/>
    <n v="3.7101798317201243E-2"/>
    <x v="0"/>
    <s v="CX"/>
  </r>
  <r>
    <s v="ITM_559"/>
    <s v="Author Sit"/>
    <s v="Apparel"/>
    <n v="506"/>
    <n v="216"/>
    <n v="214"/>
    <n v="122"/>
    <n v="34"/>
    <n v="454"/>
    <n v="20"/>
    <n v="393"/>
    <n v="342"/>
    <n v="395"/>
    <n v="412"/>
    <n v="260"/>
    <n v="3368"/>
    <n v="50"/>
    <n v="168400"/>
    <n v="0.97428078783692329"/>
    <x v="2"/>
    <n v="280.66666666666669"/>
    <n v="162.52011530511501"/>
    <n v="0.5790502920609798"/>
    <x v="2"/>
    <s v="CZ"/>
  </r>
  <r>
    <s v="ITM_009"/>
    <s v="After Finally"/>
    <s v="Grocery"/>
    <n v="1335"/>
    <n v="1601"/>
    <n v="1238"/>
    <n v="1134"/>
    <n v="1442"/>
    <n v="1551"/>
    <n v="1301"/>
    <n v="1128"/>
    <n v="1167"/>
    <n v="1353"/>
    <n v="1645"/>
    <n v="1480"/>
    <n v="16375"/>
    <n v="10"/>
    <n v="163750"/>
    <n v="0.97443349869004392"/>
    <x v="2"/>
    <n v="1364.5833333333333"/>
    <n v="180.365012901028"/>
    <n v="0.13217588731678387"/>
    <x v="0"/>
    <s v="CX"/>
  </r>
  <r>
    <s v="ITM_954"/>
    <s v="Opportunity Thousand"/>
    <s v="Apparel"/>
    <n v="227"/>
    <n v="265"/>
    <n v="75"/>
    <n v="378"/>
    <n v="329"/>
    <n v="377"/>
    <n v="11"/>
    <n v="283"/>
    <n v="402"/>
    <n v="183"/>
    <n v="445"/>
    <n v="268"/>
    <n v="3243"/>
    <n v="50"/>
    <n v="162150"/>
    <n v="0.97458471740658459"/>
    <x v="2"/>
    <n v="270.25"/>
    <n v="131.20568515953042"/>
    <n v="0.48549744739881745"/>
    <x v="1"/>
    <s v="CY"/>
  </r>
  <r>
    <s v="ITM_263"/>
    <s v="Natural Beyond"/>
    <s v="Electronics"/>
    <n v="136"/>
    <n v="127"/>
    <n v="116"/>
    <n v="138"/>
    <n v="141"/>
    <n v="128"/>
    <n v="158"/>
    <n v="123"/>
    <n v="129"/>
    <n v="144"/>
    <n v="140"/>
    <n v="141"/>
    <n v="1621"/>
    <n v="100"/>
    <n v="162100"/>
    <n v="0.97473588949385703"/>
    <x v="2"/>
    <n v="135.08333333333334"/>
    <n v="11.163726433354944"/>
    <n v="8.2643255521443124E-2"/>
    <x v="0"/>
    <s v="CX"/>
  </r>
  <r>
    <s v="ITM_809"/>
    <s v="Age North"/>
    <s v="Apparel"/>
    <n v="105"/>
    <n v="367"/>
    <n v="419"/>
    <n v="320"/>
    <n v="166"/>
    <n v="466"/>
    <n v="11"/>
    <n v="77"/>
    <n v="504"/>
    <n v="354"/>
    <n v="387"/>
    <n v="60"/>
    <n v="3236"/>
    <n v="50"/>
    <n v="161800"/>
    <n v="0.97488678180552069"/>
    <x v="2"/>
    <n v="269.66666666666669"/>
    <n v="174.38115689141381"/>
    <n v="0.64665447549349986"/>
    <x v="2"/>
    <s v="CZ"/>
  </r>
  <r>
    <s v="ITM_856"/>
    <s v="Policy Trial"/>
    <s v="Apparel"/>
    <n v="79"/>
    <n v="254"/>
    <n v="453"/>
    <n v="224"/>
    <n v="94"/>
    <n v="182"/>
    <n v="194"/>
    <n v="594"/>
    <n v="235"/>
    <n v="481"/>
    <n v="221"/>
    <n v="104"/>
    <n v="3115"/>
    <n v="50"/>
    <n v="155750"/>
    <n v="0.97503203197574084"/>
    <x v="2"/>
    <n v="259.58333333333331"/>
    <n v="164.09944785976211"/>
    <n v="0.6321648071644127"/>
    <x v="2"/>
    <s v="CZ"/>
  </r>
  <r>
    <s v="ITM_290"/>
    <s v="Method Form"/>
    <s v="Electronics"/>
    <n v="251"/>
    <n v="266"/>
    <n v="243"/>
    <n v="277"/>
    <n v="268"/>
    <n v="260"/>
    <n v="259"/>
    <n v="250"/>
    <n v="276"/>
    <n v="255"/>
    <n v="257"/>
    <n v="235"/>
    <n v="3097"/>
    <n v="50"/>
    <n v="154850"/>
    <n v="0.97517644281913463"/>
    <x v="2"/>
    <n v="258.08333333333331"/>
    <n v="12.544164404457581"/>
    <n v="4.860509294591249E-2"/>
    <x v="0"/>
    <s v="CX"/>
  </r>
  <r>
    <s v="ITM_462"/>
    <s v="Agency Rest"/>
    <s v="Apparel"/>
    <n v="456"/>
    <n v="309"/>
    <n v="14"/>
    <n v="119"/>
    <n v="343"/>
    <n v="192"/>
    <n v="211"/>
    <n v="368"/>
    <n v="316"/>
    <n v="113"/>
    <n v="536"/>
    <n v="96"/>
    <n v="3073"/>
    <n v="50"/>
    <n v="153650"/>
    <n v="0.97531973456009347"/>
    <x v="2"/>
    <n v="256.08333333333331"/>
    <n v="157.94847165126257"/>
    <n v="0.61678544087704223"/>
    <x v="2"/>
    <s v="CZ"/>
  </r>
  <r>
    <s v="ITM_982"/>
    <s v="Authority Instead"/>
    <s v="Grocery"/>
    <n v="1296"/>
    <n v="1125"/>
    <n v="1384"/>
    <n v="1153"/>
    <n v="1223"/>
    <n v="1110"/>
    <n v="1401"/>
    <n v="1464"/>
    <n v="1404"/>
    <n v="1230"/>
    <n v="1340"/>
    <n v="1202"/>
    <n v="15332"/>
    <n v="10"/>
    <n v="153320"/>
    <n v="0.97546271854788247"/>
    <x v="2"/>
    <n v="1277.6666666666667"/>
    <n v="120.36560467126309"/>
    <n v="9.4207360817581326E-2"/>
    <x v="0"/>
    <s v="CX"/>
  </r>
  <r>
    <s v="ITM_454"/>
    <s v="Assume Whatever"/>
    <s v="Electronics"/>
    <n v="234"/>
    <n v="252"/>
    <n v="262"/>
    <n v="250"/>
    <n v="241"/>
    <n v="236"/>
    <n v="280"/>
    <n v="268"/>
    <n v="264"/>
    <n v="238"/>
    <n v="225"/>
    <n v="244"/>
    <n v="2994"/>
    <n v="50"/>
    <n v="149700"/>
    <n v="0.97560232657665913"/>
    <x v="2"/>
    <n v="249.5"/>
    <n v="16.245279034510023"/>
    <n v="6.5111338815671438E-2"/>
    <x v="0"/>
    <s v="CX"/>
  </r>
  <r>
    <s v="ITM_497"/>
    <s v="History Write"/>
    <s v="Toys"/>
    <n v="240"/>
    <n v="262"/>
    <n v="238"/>
    <n v="269"/>
    <n v="246"/>
    <n v="229"/>
    <n v="234"/>
    <n v="257"/>
    <n v="278"/>
    <n v="257"/>
    <n v="231"/>
    <n v="245"/>
    <n v="2986"/>
    <n v="50"/>
    <n v="149300"/>
    <n v="0.97574156157129066"/>
    <x v="2"/>
    <n v="248.83333333333334"/>
    <n v="15.706590008559138"/>
    <n v="6.3120924347859889E-2"/>
    <x v="0"/>
    <s v="CX"/>
  </r>
  <r>
    <s v="ITM_282"/>
    <s v="Final On"/>
    <s v="Apparel"/>
    <n v="418"/>
    <n v="347"/>
    <n v="454"/>
    <n v="55"/>
    <n v="361"/>
    <n v="130"/>
    <n v="26"/>
    <n v="57"/>
    <n v="383"/>
    <n v="429"/>
    <n v="56"/>
    <n v="256"/>
    <n v="2972"/>
    <n v="50"/>
    <n v="148600"/>
    <n v="0.97588014375616849"/>
    <x v="2"/>
    <n v="247.66666666666666"/>
    <n v="170.22890115335522"/>
    <n v="0.68733069106334543"/>
    <x v="2"/>
    <s v="CZ"/>
  </r>
  <r>
    <s v="ITM_179"/>
    <s v="Land Foreign"/>
    <s v="Grocery"/>
    <n v="1124"/>
    <n v="640"/>
    <n v="1113"/>
    <n v="1202"/>
    <n v="1456"/>
    <n v="1239"/>
    <n v="1199"/>
    <n v="1501"/>
    <n v="1579"/>
    <n v="970"/>
    <n v="1455"/>
    <n v="1292"/>
    <n v="14770"/>
    <n v="10"/>
    <n v="147700"/>
    <n v="0.97601788661421995"/>
    <x v="2"/>
    <n v="1230.8333333333333"/>
    <n v="259.93524834722484"/>
    <n v="0.21118638999097483"/>
    <x v="1"/>
    <s v="CY"/>
  </r>
  <r>
    <s v="ITM_586"/>
    <s v="Hope Dark"/>
    <s v="Grocery"/>
    <n v="1316"/>
    <n v="1372"/>
    <n v="1219"/>
    <n v="1307"/>
    <n v="1182"/>
    <n v="1214"/>
    <n v="1320"/>
    <n v="1155"/>
    <n v="1072"/>
    <n v="1241"/>
    <n v="1425"/>
    <n v="946"/>
    <n v="14769"/>
    <n v="10"/>
    <n v="147690"/>
    <n v="0.97615562014641777"/>
    <x v="2"/>
    <n v="1230.75"/>
    <n v="132.68357780140622"/>
    <n v="0.10780709144944645"/>
    <x v="0"/>
    <s v="CX"/>
  </r>
  <r>
    <s v="ITM_363"/>
    <s v="On Involve"/>
    <s v="Grocery"/>
    <n v="1394"/>
    <n v="1265"/>
    <n v="1557"/>
    <n v="1164"/>
    <n v="1307"/>
    <n v="1118"/>
    <n v="968"/>
    <n v="1367"/>
    <n v="853"/>
    <n v="1318"/>
    <n v="1335"/>
    <n v="1013"/>
    <n v="14659"/>
    <n v="10"/>
    <n v="146590"/>
    <n v="0.97629232783471676"/>
    <x v="2"/>
    <n v="1221.5833333333333"/>
    <n v="202.80508256735487"/>
    <n v="0.16601821343940643"/>
    <x v="0"/>
    <s v="CX"/>
  </r>
  <r>
    <s v="ITM_025"/>
    <s v="Get Especially"/>
    <s v="Grocery"/>
    <n v="968"/>
    <n v="1246"/>
    <n v="1270"/>
    <n v="1481"/>
    <n v="1313"/>
    <n v="1066"/>
    <n v="1480"/>
    <n v="1346"/>
    <n v="958"/>
    <n v="1152"/>
    <n v="853"/>
    <n v="1362"/>
    <n v="14495"/>
    <n v="10"/>
    <n v="144950"/>
    <n v="0.9764275060830212"/>
    <x v="2"/>
    <n v="1207.9166666666667"/>
    <n v="208.24175563003425"/>
    <n v="0.17239745205659956"/>
    <x v="0"/>
    <s v="CX"/>
  </r>
  <r>
    <s v="ITM_161"/>
    <s v="Will Watch"/>
    <s v="Grocery"/>
    <n v="1551"/>
    <n v="1174"/>
    <n v="1023"/>
    <n v="1262"/>
    <n v="1223"/>
    <n v="1177"/>
    <n v="1179"/>
    <n v="1029"/>
    <n v="1348"/>
    <n v="958"/>
    <n v="1190"/>
    <n v="1306"/>
    <n v="14420"/>
    <n v="10"/>
    <n v="144200"/>
    <n v="0.97656198489230361"/>
    <x v="2"/>
    <n v="1201.6666666666667"/>
    <n v="159.98882536734982"/>
    <n v="0.13313910571485421"/>
    <x v="0"/>
    <s v="CX"/>
  </r>
  <r>
    <s v="ITM_790"/>
    <s v="Nor Party"/>
    <s v="Grocery"/>
    <n v="1124"/>
    <n v="1206"/>
    <n v="1260"/>
    <n v="823"/>
    <n v="1210"/>
    <n v="1291"/>
    <n v="1077"/>
    <n v="1409"/>
    <n v="1412"/>
    <n v="1165"/>
    <n v="1251"/>
    <n v="1180"/>
    <n v="14408"/>
    <n v="10"/>
    <n v="144080"/>
    <n v="0.97669635179134262"/>
    <x v="2"/>
    <n v="1200.6666666666667"/>
    <n v="156.05845835533086"/>
    <n v="0.129976506126039"/>
    <x v="0"/>
    <s v="CX"/>
  </r>
  <r>
    <s v="ITM_662"/>
    <s v="All Every"/>
    <s v="Electronics"/>
    <n v="253"/>
    <n v="233"/>
    <n v="219"/>
    <n v="249"/>
    <n v="234"/>
    <n v="243"/>
    <n v="250"/>
    <n v="226"/>
    <n v="227"/>
    <n v="238"/>
    <n v="234"/>
    <n v="225"/>
    <n v="2831"/>
    <n v="50"/>
    <n v="141550"/>
    <n v="0.97682835924941425"/>
    <x v="2"/>
    <n v="235.91666666666666"/>
    <n v="10.933337952696732"/>
    <n v="4.634406762004973E-2"/>
    <x v="0"/>
    <s v="CX"/>
  </r>
  <r>
    <s v="ITM_763"/>
    <s v="People Candidate"/>
    <s v="Toys"/>
    <n v="242"/>
    <n v="242"/>
    <n v="254"/>
    <n v="224"/>
    <n v="241"/>
    <n v="242"/>
    <n v="226"/>
    <n v="236"/>
    <n v="237"/>
    <n v="241"/>
    <n v="233"/>
    <n v="211"/>
    <n v="2829"/>
    <n v="50"/>
    <n v="141450"/>
    <n v="0.97696027344894965"/>
    <x v="2"/>
    <n v="235.75"/>
    <n v="11.120210920171024"/>
    <n v="4.7169505493832552E-2"/>
    <x v="0"/>
    <s v="CX"/>
  </r>
  <r>
    <s v="ITM_338"/>
    <s v="Low Either"/>
    <s v="Electronics"/>
    <n v="238"/>
    <n v="241"/>
    <n v="226"/>
    <n v="232"/>
    <n v="249"/>
    <n v="233"/>
    <n v="231"/>
    <n v="216"/>
    <n v="239"/>
    <n v="234"/>
    <n v="226"/>
    <n v="234"/>
    <n v="2799"/>
    <n v="50"/>
    <n v="139950"/>
    <n v="0.9770907887704412"/>
    <x v="2"/>
    <n v="233.25"/>
    <n v="8.3896581358458011"/>
    <n v="3.5968523626348559E-2"/>
    <x v="0"/>
    <s v="CX"/>
  </r>
  <r>
    <s v="ITM_031"/>
    <s v="Attorney Anything"/>
    <s v="Grocery"/>
    <n v="1045"/>
    <n v="1321"/>
    <n v="1217"/>
    <n v="1313"/>
    <n v="1356"/>
    <n v="1386"/>
    <n v="949"/>
    <n v="1280"/>
    <n v="1136"/>
    <n v="767"/>
    <n v="1158"/>
    <n v="979"/>
    <n v="13907"/>
    <n v="10"/>
    <n v="139070"/>
    <n v="0.97722048341681367"/>
    <x v="2"/>
    <n v="1158.9166666666667"/>
    <n v="191.16697048930956"/>
    <n v="0.16495316357745846"/>
    <x v="0"/>
    <s v="CX"/>
  </r>
  <r>
    <s v="ITM_370"/>
    <s v="Form Goal"/>
    <s v="Home &amp; Kitchen"/>
    <n v="218"/>
    <n v="252"/>
    <n v="222"/>
    <n v="235"/>
    <n v="221"/>
    <n v="232"/>
    <n v="239"/>
    <n v="266"/>
    <n v="215"/>
    <n v="229"/>
    <n v="229"/>
    <n v="191"/>
    <n v="2749"/>
    <n v="50"/>
    <n v="137450"/>
    <n v="0.97734866727489889"/>
    <x v="2"/>
    <n v="229.08333333333334"/>
    <n v="18.870170463812276"/>
    <n v="8.2372515665968454E-2"/>
    <x v="0"/>
    <s v="CX"/>
  </r>
  <r>
    <s v="ITM_561"/>
    <s v="Plan Number"/>
    <s v="Grocery"/>
    <n v="1138"/>
    <n v="942"/>
    <n v="1020"/>
    <n v="1456"/>
    <n v="864"/>
    <n v="896"/>
    <n v="1492"/>
    <n v="1063"/>
    <n v="1251"/>
    <n v="1134"/>
    <n v="1095"/>
    <n v="958"/>
    <n v="13309"/>
    <n v="10"/>
    <n v="133090"/>
    <n v="0.97747278506080315"/>
    <x v="2"/>
    <n v="1109.0833333333333"/>
    <n v="203.39055950798118"/>
    <n v="0.18338618334178183"/>
    <x v="0"/>
    <s v="CX"/>
  </r>
  <r>
    <s v="ITM_398"/>
    <s v="Edge Understand"/>
    <s v="Apparel"/>
    <n v="154"/>
    <n v="266"/>
    <n v="56"/>
    <n v="488"/>
    <n v="224"/>
    <n v="87"/>
    <n v="6"/>
    <n v="213"/>
    <n v="309"/>
    <n v="368"/>
    <n v="451"/>
    <n v="12"/>
    <n v="2634"/>
    <n v="50"/>
    <n v="131700"/>
    <n v="0.97759560655305355"/>
    <x v="2"/>
    <n v="219.5"/>
    <n v="163.81502872558315"/>
    <n v="0.74630992585687084"/>
    <x v="2"/>
    <s v="CZ"/>
  </r>
  <r>
    <s v="ITM_385"/>
    <s v="Television Certainly"/>
    <s v="Toys"/>
    <n v="211"/>
    <n v="215"/>
    <n v="242"/>
    <n v="209"/>
    <n v="205"/>
    <n v="211"/>
    <n v="180"/>
    <n v="224"/>
    <n v="205"/>
    <n v="221"/>
    <n v="218"/>
    <n v="219"/>
    <n v="2560"/>
    <n v="50"/>
    <n v="128000"/>
    <n v="0.97771497747946234"/>
    <x v="2"/>
    <n v="213.33333333333334"/>
    <n v="14.556056742084646"/>
    <n v="6.823151597852177E-2"/>
    <x v="0"/>
    <s v="CX"/>
  </r>
  <r>
    <s v="ITM_535"/>
    <s v="Sure Until"/>
    <s v="Electronics"/>
    <n v="231"/>
    <n v="213"/>
    <n v="218"/>
    <n v="187"/>
    <n v="196"/>
    <n v="214"/>
    <n v="217"/>
    <n v="227"/>
    <n v="208"/>
    <n v="211"/>
    <n v="200"/>
    <n v="227"/>
    <n v="2549"/>
    <n v="50"/>
    <n v="127450"/>
    <n v="0.97783383548392178"/>
    <x v="2"/>
    <n v="212.41666666666666"/>
    <n v="13.200952674528892"/>
    <n v="6.214650141010071E-2"/>
    <x v="0"/>
    <s v="CX"/>
  </r>
  <r>
    <s v="ITM_270"/>
    <s v="Approach Involve"/>
    <s v="Grocery"/>
    <n v="1083"/>
    <n v="926"/>
    <n v="967"/>
    <n v="1356"/>
    <n v="1060"/>
    <n v="878"/>
    <n v="1173"/>
    <n v="1274"/>
    <n v="728"/>
    <n v="1209"/>
    <n v="1313"/>
    <n v="508"/>
    <n v="12475"/>
    <n v="10"/>
    <n v="124750"/>
    <n v="0.97795017550790231"/>
    <x v="2"/>
    <n v="1039.5833333333333"/>
    <n v="252.7260314445208"/>
    <n v="0.24310319657989979"/>
    <x v="1"/>
    <s v="CY"/>
  </r>
  <r>
    <s v="ITM_779"/>
    <s v="Put Quickly"/>
    <s v="Electronics"/>
    <n v="205"/>
    <n v="187"/>
    <n v="207"/>
    <n v="212"/>
    <n v="194"/>
    <n v="206"/>
    <n v="196"/>
    <n v="192"/>
    <n v="231"/>
    <n v="204"/>
    <n v="209"/>
    <n v="226"/>
    <n v="2469"/>
    <n v="50"/>
    <n v="123450"/>
    <n v="0.97806530317091145"/>
    <x v="2"/>
    <n v="205.75"/>
    <n v="13.060175412994337"/>
    <n v="6.3475943684055097E-2"/>
    <x v="0"/>
    <s v="CX"/>
  </r>
  <r>
    <s v="ITM_214"/>
    <s v="Forward Matter"/>
    <s v="Grocery"/>
    <n v="910"/>
    <n v="1221"/>
    <n v="800"/>
    <n v="1117"/>
    <n v="1099"/>
    <n v="601"/>
    <n v="906"/>
    <n v="1272"/>
    <n v="914"/>
    <n v="1209"/>
    <n v="1263"/>
    <n v="1023"/>
    <n v="12335"/>
    <n v="10"/>
    <n v="123350"/>
    <n v="0.97818033757538436"/>
    <x v="2"/>
    <n v="1027.9166666666667"/>
    <n v="207.55610778482963"/>
    <n v="0.20191919687214879"/>
    <x v="1"/>
    <s v="CY"/>
  </r>
  <r>
    <s v="ITM_952"/>
    <s v="Yes Try"/>
    <s v="Apparel"/>
    <n v="802"/>
    <n v="1048"/>
    <n v="1101"/>
    <n v="1214"/>
    <n v="924"/>
    <n v="879"/>
    <n v="1211"/>
    <n v="1158"/>
    <n v="1230"/>
    <n v="796"/>
    <n v="873"/>
    <n v="1088"/>
    <n v="12324"/>
    <n v="10"/>
    <n v="123240"/>
    <n v="0.9782952693954674"/>
    <x v="2"/>
    <n v="1027"/>
    <n v="164.33004483770958"/>
    <n v="0.16000978075726346"/>
    <x v="0"/>
    <s v="CX"/>
  </r>
  <r>
    <s v="ITM_934"/>
    <s v="Sort Book"/>
    <s v="Electronics"/>
    <n v="108"/>
    <n v="96"/>
    <n v="105"/>
    <n v="95"/>
    <n v="112"/>
    <n v="99"/>
    <n v="104"/>
    <n v="106"/>
    <n v="109"/>
    <n v="87"/>
    <n v="112"/>
    <n v="89"/>
    <n v="1222"/>
    <n v="100"/>
    <n v="122200"/>
    <n v="0.97840923132677338"/>
    <x v="2"/>
    <n v="101.83333333333333"/>
    <n v="8.5369073954675123"/>
    <n v="8.3832151182987036E-2"/>
    <x v="0"/>
    <s v="CX"/>
  </r>
  <r>
    <s v="ITM_333"/>
    <s v="Others He"/>
    <s v="Apparel"/>
    <n v="24"/>
    <n v="315"/>
    <n v="24"/>
    <n v="269"/>
    <n v="45"/>
    <n v="200"/>
    <n v="270"/>
    <n v="24"/>
    <n v="170"/>
    <n v="502"/>
    <n v="56"/>
    <n v="532"/>
    <n v="2431"/>
    <n v="50"/>
    <n v="121550"/>
    <n v="0.97852258707759365"/>
    <x v="2"/>
    <n v="202.58333333333334"/>
    <n v="181.61470621937949"/>
    <n v="0.89649381926472793"/>
    <x v="2"/>
    <s v="CZ"/>
  </r>
  <r>
    <s v="ITM_964"/>
    <s v="Then Force"/>
    <s v="Apparel"/>
    <n v="37"/>
    <n v="73"/>
    <n v="329"/>
    <n v="111"/>
    <n v="239"/>
    <n v="77"/>
    <n v="424"/>
    <n v="427"/>
    <n v="108"/>
    <n v="326"/>
    <n v="146"/>
    <n v="99"/>
    <n v="2396"/>
    <n v="50"/>
    <n v="119800"/>
    <n v="0.97863431080402941"/>
    <x v="2"/>
    <n v="199.66666666666666"/>
    <n v="142.40488585421329"/>
    <n v="0.71321311780073438"/>
    <x v="2"/>
    <s v="CZ"/>
  </r>
  <r>
    <s v="ITM_518"/>
    <s v="Decide Clear"/>
    <s v="Grocery"/>
    <n v="4722"/>
    <n v="5014"/>
    <n v="5247"/>
    <n v="4869"/>
    <n v="5006"/>
    <n v="5462"/>
    <n v="4881"/>
    <n v="5053"/>
    <n v="5142"/>
    <n v="4726"/>
    <n v="4890"/>
    <n v="4802"/>
    <n v="59814"/>
    <n v="2"/>
    <n v="119628"/>
    <n v="0.97874587412578284"/>
    <x v="2"/>
    <n v="4984.5"/>
    <n v="219.45407471516884"/>
    <n v="4.4027299571706056E-2"/>
    <x v="0"/>
    <s v="CX"/>
  </r>
  <r>
    <s v="ITM_340"/>
    <s v="Customer Yet"/>
    <s v="Grocery"/>
    <n v="4430"/>
    <n v="4570"/>
    <n v="5260"/>
    <n v="4866"/>
    <n v="5027"/>
    <n v="4904"/>
    <n v="5076"/>
    <n v="5219"/>
    <n v="4888"/>
    <n v="5189"/>
    <n v="5080"/>
    <n v="5061"/>
    <n v="59570"/>
    <n v="2"/>
    <n v="119140"/>
    <n v="0.97885698234587926"/>
    <x v="2"/>
    <n v="4964.166666666667"/>
    <n v="252.62542639371449"/>
    <n v="5.0889795479680609E-2"/>
    <x v="0"/>
    <s v="CX"/>
  </r>
  <r>
    <s v="ITM_879"/>
    <s v="Follow Author"/>
    <s v="Apparel"/>
    <n v="813"/>
    <n v="922"/>
    <n v="1123"/>
    <n v="1092"/>
    <n v="1206"/>
    <n v="674"/>
    <n v="1054"/>
    <n v="1165"/>
    <n v="987"/>
    <n v="1037"/>
    <n v="757"/>
    <n v="1047"/>
    <n v="11877"/>
    <n v="10"/>
    <n v="118770"/>
    <n v="0.9789677455093917"/>
    <x v="2"/>
    <n v="989.75"/>
    <n v="166.52443173191244"/>
    <n v="0.16824898381602671"/>
    <x v="0"/>
    <s v="CX"/>
  </r>
  <r>
    <s v="ITM_213"/>
    <s v="Draw Clear"/>
    <s v="Grocery"/>
    <n v="5123"/>
    <n v="4889"/>
    <n v="5033"/>
    <n v="5154"/>
    <n v="4998"/>
    <n v="4705"/>
    <n v="4860"/>
    <n v="4910"/>
    <n v="4892"/>
    <n v="4770"/>
    <n v="4856"/>
    <n v="5068"/>
    <n v="59258"/>
    <n v="2"/>
    <n v="118516"/>
    <n v="0.97907827179622187"/>
    <x v="2"/>
    <n v="4938.166666666667"/>
    <n v="138.5075208547656"/>
    <n v="2.8048369000931304E-2"/>
    <x v="0"/>
    <s v="CX"/>
  </r>
  <r>
    <s v="ITM_163"/>
    <s v="Measure Work"/>
    <s v="Grocery"/>
    <n v="5276"/>
    <n v="4885"/>
    <n v="4999"/>
    <n v="4558"/>
    <n v="4810"/>
    <n v="4857"/>
    <n v="4956"/>
    <n v="4686"/>
    <n v="5053"/>
    <n v="4956"/>
    <n v="5107"/>
    <n v="4748"/>
    <n v="58891"/>
    <n v="2"/>
    <n v="117782"/>
    <n v="0.97918811356539603"/>
    <x v="2"/>
    <n v="4907.583333333333"/>
    <n v="195.18171409010506"/>
    <n v="3.9771451819144876E-2"/>
    <x v="0"/>
    <s v="CX"/>
  </r>
  <r>
    <s v="ITM_458"/>
    <s v="Respond Or"/>
    <s v="Grocery"/>
    <n v="4791"/>
    <n v="4985"/>
    <n v="4771"/>
    <n v="5005"/>
    <n v="4770"/>
    <n v="5168"/>
    <n v="4797"/>
    <n v="4921"/>
    <n v="4818"/>
    <n v="5016"/>
    <n v="4796"/>
    <n v="4840"/>
    <n v="58678"/>
    <n v="2"/>
    <n v="117356"/>
    <n v="0.97929755805320562"/>
    <x v="2"/>
    <n v="4889.833333333333"/>
    <n v="127.88548381148256"/>
    <n v="2.6153342065813264E-2"/>
    <x v="0"/>
    <s v="CX"/>
  </r>
  <r>
    <s v="ITM_066"/>
    <s v="Brother Popular"/>
    <s v="Apparel"/>
    <n v="938"/>
    <n v="902"/>
    <n v="1039"/>
    <n v="1056"/>
    <n v="787"/>
    <n v="1016"/>
    <n v="1112"/>
    <n v="945"/>
    <n v="976"/>
    <n v="1073"/>
    <n v="1178"/>
    <n v="625"/>
    <n v="11647"/>
    <n v="10"/>
    <n v="116470"/>
    <n v="0.97940617627038407"/>
    <x v="2"/>
    <n v="970.58333333333337"/>
    <n v="149.88750832379293"/>
    <n v="0.15443033398175626"/>
    <x v="0"/>
    <s v="CX"/>
  </r>
  <r>
    <s v="ITM_128"/>
    <s v="Anyone Able"/>
    <s v="Grocery"/>
    <n v="4944"/>
    <n v="4812"/>
    <n v="4748"/>
    <n v="4933"/>
    <n v="5011"/>
    <n v="4735"/>
    <n v="4820"/>
    <n v="4859"/>
    <n v="4830"/>
    <n v="4762"/>
    <n v="4850"/>
    <n v="4712"/>
    <n v="58016"/>
    <n v="2"/>
    <n v="116032"/>
    <n v="0.97951438601517371"/>
    <x v="2"/>
    <n v="4834.666666666667"/>
    <n v="91.48604795102348"/>
    <n v="1.8922927733940321E-2"/>
    <x v="0"/>
    <s v="CX"/>
  </r>
  <r>
    <s v="ITM_824"/>
    <s v="Both Experience"/>
    <s v="Grocery"/>
    <n v="4886"/>
    <n v="4988"/>
    <n v="4512"/>
    <n v="4723"/>
    <n v="4837"/>
    <n v="5020"/>
    <n v="5275"/>
    <n v="4450"/>
    <n v="4590"/>
    <n v="4894"/>
    <n v="4830"/>
    <n v="4996"/>
    <n v="58001"/>
    <n v="2"/>
    <n v="116002"/>
    <n v="0.97962256778240242"/>
    <x v="2"/>
    <n v="4833.416666666667"/>
    <n v="235.17090819360726"/>
    <n v="4.8655211088141359E-2"/>
    <x v="0"/>
    <s v="CX"/>
  </r>
  <r>
    <s v="ITM_537"/>
    <s v="Memory Give"/>
    <s v="Grocery"/>
    <n v="1239"/>
    <n v="925"/>
    <n v="899"/>
    <n v="619"/>
    <n v="1107"/>
    <n v="829"/>
    <n v="909"/>
    <n v="1184"/>
    <n v="977"/>
    <n v="681"/>
    <n v="1020"/>
    <n v="1186"/>
    <n v="11575"/>
    <n v="10"/>
    <n v="115750"/>
    <n v="0.97973051453811988"/>
    <x v="2"/>
    <n v="964.58333333333337"/>
    <n v="196.13745566604931"/>
    <n v="0.20333904691080704"/>
    <x v="1"/>
    <s v="CY"/>
  </r>
  <r>
    <s v="ITM_050"/>
    <s v="Apply Trouble"/>
    <s v="Apparel"/>
    <n v="668"/>
    <n v="845"/>
    <n v="1008"/>
    <n v="1202"/>
    <n v="1015"/>
    <n v="992"/>
    <n v="959"/>
    <n v="727"/>
    <n v="903"/>
    <n v="1233"/>
    <n v="804"/>
    <n v="1214"/>
    <n v="11570"/>
    <n v="10"/>
    <n v="115700"/>
    <n v="0.97983841466456911"/>
    <x v="2"/>
    <n v="964.16666666666663"/>
    <n v="186.86837046110244"/>
    <n v="0.19381334879284609"/>
    <x v="0"/>
    <s v="CX"/>
  </r>
  <r>
    <s v="ITM_702"/>
    <s v="Hotel Decade"/>
    <s v="Apparel"/>
    <n v="1074"/>
    <n v="774"/>
    <n v="1138"/>
    <n v="860"/>
    <n v="897"/>
    <n v="755"/>
    <n v="752"/>
    <n v="996"/>
    <n v="1025"/>
    <n v="1170"/>
    <n v="1013"/>
    <n v="1093"/>
    <n v="11547"/>
    <n v="10"/>
    <n v="115470"/>
    <n v="0.97994610029638496"/>
    <x v="2"/>
    <n v="962.25"/>
    <n v="150.33062048214083"/>
    <n v="0.15622823640648567"/>
    <x v="0"/>
    <s v="CX"/>
  </r>
  <r>
    <s v="ITM_909"/>
    <s v="Body Trial"/>
    <s v="Grocery"/>
    <n v="4899"/>
    <n v="4842"/>
    <n v="4784"/>
    <n v="4720"/>
    <n v="4633"/>
    <n v="4894"/>
    <n v="4425"/>
    <n v="4913"/>
    <n v="4669"/>
    <n v="4847"/>
    <n v="5101"/>
    <n v="4973"/>
    <n v="57700"/>
    <n v="2"/>
    <n v="115400"/>
    <n v="0.9800537206472254"/>
    <x v="2"/>
    <n v="4808.333333333333"/>
    <n v="177.71444578993638"/>
    <n v="3.6959676767404449E-2"/>
    <x v="0"/>
    <s v="CX"/>
  </r>
  <r>
    <s v="ITM_860"/>
    <s v="Scene Throughout"/>
    <s v="Grocery"/>
    <n v="4680"/>
    <n v="4711"/>
    <n v="4931"/>
    <n v="4643"/>
    <n v="4997"/>
    <n v="4534"/>
    <n v="4905"/>
    <n v="4817"/>
    <n v="4647"/>
    <n v="4832"/>
    <n v="5072"/>
    <n v="4747"/>
    <n v="57516"/>
    <n v="2"/>
    <n v="115032"/>
    <n v="0.98016099780665245"/>
    <x v="2"/>
    <n v="4793"/>
    <n v="161.14589662786949"/>
    <n v="3.362109255745243E-2"/>
    <x v="0"/>
    <s v="CX"/>
  </r>
  <r>
    <s v="ITM_283"/>
    <s v="List Data"/>
    <s v="Apparel"/>
    <n v="1224"/>
    <n v="763"/>
    <n v="1109"/>
    <n v="939"/>
    <n v="1033"/>
    <n v="734"/>
    <n v="1208"/>
    <n v="968"/>
    <n v="1095"/>
    <n v="954"/>
    <n v="721"/>
    <n v="742"/>
    <n v="11490"/>
    <n v="10"/>
    <n v="114900"/>
    <n v="0.98026815186481164"/>
    <x v="2"/>
    <n v="957.5"/>
    <n v="183.88509257883649"/>
    <n v="0.19204709407711382"/>
    <x v="0"/>
    <s v="CX"/>
  </r>
  <r>
    <s v="ITM_606"/>
    <s v="By Suffer"/>
    <s v="Electronics"/>
    <n v="213"/>
    <n v="173"/>
    <n v="176"/>
    <n v="205"/>
    <n v="218"/>
    <n v="171"/>
    <n v="204"/>
    <n v="201"/>
    <n v="187"/>
    <n v="183"/>
    <n v="195"/>
    <n v="161"/>
    <n v="2287"/>
    <n v="50"/>
    <n v="114350"/>
    <n v="0.98037479300102148"/>
    <x v="2"/>
    <n v="190.58333333333334"/>
    <n v="18.143159659338352"/>
    <n v="9.5198039314411981E-2"/>
    <x v="0"/>
    <s v="CX"/>
  </r>
  <r>
    <s v="ITM_915"/>
    <s v="Institution After"/>
    <s v="Grocery"/>
    <n v="5061"/>
    <n v="4806"/>
    <n v="5180"/>
    <n v="4663"/>
    <n v="4409"/>
    <n v="4463"/>
    <n v="4708"/>
    <n v="4615"/>
    <n v="4294"/>
    <n v="4906"/>
    <n v="5002"/>
    <n v="4731"/>
    <n v="56838"/>
    <n v="2"/>
    <n v="113676"/>
    <n v="0.98048080557469686"/>
    <x v="2"/>
    <n v="4736.5"/>
    <n v="270.50709955395052"/>
    <n v="5.7111179046542913E-2"/>
    <x v="0"/>
    <s v="CX"/>
  </r>
  <r>
    <s v="ITM_036"/>
    <s v="Standard Air"/>
    <s v="Grocery"/>
    <n v="4706"/>
    <n v="4925"/>
    <n v="4505"/>
    <n v="4755"/>
    <n v="4656"/>
    <n v="4689"/>
    <n v="4657"/>
    <n v="4697"/>
    <n v="4699"/>
    <n v="4773"/>
    <n v="4865"/>
    <n v="4631"/>
    <n v="56558"/>
    <n v="2"/>
    <n v="113116"/>
    <n v="0.98058629590056923"/>
    <x v="2"/>
    <n v="4713.166666666667"/>
    <n v="109.07114719995914"/>
    <n v="2.3141797206398911E-2"/>
    <x v="0"/>
    <s v="CX"/>
  </r>
  <r>
    <s v="ITM_574"/>
    <s v="Program Decide"/>
    <s v="Apparel"/>
    <n v="236"/>
    <n v="447"/>
    <n v="229"/>
    <n v="38"/>
    <n v="308"/>
    <n v="80"/>
    <n v="271"/>
    <n v="446"/>
    <n v="19"/>
    <n v="116"/>
    <n v="19"/>
    <n v="51"/>
    <n v="2260"/>
    <n v="50"/>
    <n v="113000"/>
    <n v="0.98069167804653956"/>
    <x v="2"/>
    <n v="188.33333333333334"/>
    <n v="157.87125556393519"/>
    <n v="0.8382544543217797"/>
    <x v="2"/>
    <s v="CZ"/>
  </r>
  <r>
    <s v="ITM_792"/>
    <s v="Can One"/>
    <s v="Electronics"/>
    <n v="185"/>
    <n v="178"/>
    <n v="190"/>
    <n v="177"/>
    <n v="175"/>
    <n v="187"/>
    <n v="188"/>
    <n v="197"/>
    <n v="192"/>
    <n v="226"/>
    <n v="178"/>
    <n v="186"/>
    <n v="2259"/>
    <n v="50"/>
    <n v="112950"/>
    <n v="0.98079701356324178"/>
    <x v="2"/>
    <n v="188.25"/>
    <n v="13.645678636643378"/>
    <n v="7.2487004709924988E-2"/>
    <x v="0"/>
    <s v="CX"/>
  </r>
  <r>
    <s v="ITM_841"/>
    <s v="American Way"/>
    <s v="Grocery"/>
    <n v="4415"/>
    <n v="4926"/>
    <n v="4714"/>
    <n v="4622"/>
    <n v="4801"/>
    <n v="4892"/>
    <n v="4949"/>
    <n v="4736"/>
    <n v="4568"/>
    <n v="4587"/>
    <n v="4634"/>
    <n v="4575"/>
    <n v="56419"/>
    <n v="2"/>
    <n v="112838"/>
    <n v="0.98090224463038334"/>
    <x v="2"/>
    <n v="4701.583333333333"/>
    <n v="164.89305533275103"/>
    <n v="3.507181382146108E-2"/>
    <x v="0"/>
    <s v="CX"/>
  </r>
  <r>
    <s v="ITM_489"/>
    <s v="Lose American"/>
    <s v="Grocery"/>
    <n v="4584"/>
    <n v="4559"/>
    <n v="4686"/>
    <n v="4601"/>
    <n v="4674"/>
    <n v="5064"/>
    <n v="4562"/>
    <n v="4725"/>
    <n v="4656"/>
    <n v="5053"/>
    <n v="4384"/>
    <n v="4461"/>
    <n v="56009"/>
    <n v="2"/>
    <n v="112018"/>
    <n v="0.98100671097752756"/>
    <x v="2"/>
    <n v="4667.416666666667"/>
    <n v="206.03550370719799"/>
    <n v="4.4143370609837272E-2"/>
    <x v="0"/>
    <s v="CX"/>
  </r>
  <r>
    <s v="ITM_959"/>
    <s v="Field Service"/>
    <s v="Grocery"/>
    <n v="4824"/>
    <n v="4791"/>
    <n v="4560"/>
    <n v="4642"/>
    <n v="4468"/>
    <n v="4532"/>
    <n v="4539"/>
    <n v="4570"/>
    <n v="4745"/>
    <n v="4914"/>
    <n v="4688"/>
    <n v="4675"/>
    <n v="55948"/>
    <n v="2"/>
    <n v="111896"/>
    <n v="0.98111106354925759"/>
    <x v="2"/>
    <n v="4662.333333333333"/>
    <n v="135.86579831405382"/>
    <n v="2.9141159286634837E-2"/>
    <x v="0"/>
    <s v="CX"/>
  </r>
  <r>
    <s v="ITM_039"/>
    <s v="Where Difficult"/>
    <s v="Grocery"/>
    <n v="4560"/>
    <n v="4593"/>
    <n v="4992"/>
    <n v="4782"/>
    <n v="4794"/>
    <n v="4821"/>
    <n v="4449"/>
    <n v="4386"/>
    <n v="4419"/>
    <n v="4854"/>
    <n v="4568"/>
    <n v="4530"/>
    <n v="55748"/>
    <n v="2"/>
    <n v="111496"/>
    <n v="0.9812150430868426"/>
    <x v="2"/>
    <n v="4645.666666666667"/>
    <n v="195.79364523689608"/>
    <n v="4.2145435582312422E-2"/>
    <x v="0"/>
    <s v="CX"/>
  </r>
  <r>
    <s v="ITM_659"/>
    <s v="Perhaps College"/>
    <s v="Grocery"/>
    <n v="4582"/>
    <n v="4425"/>
    <n v="4990"/>
    <n v="4646"/>
    <n v="4466"/>
    <n v="4506"/>
    <n v="4815"/>
    <n v="4402"/>
    <n v="4930"/>
    <n v="4334"/>
    <n v="4455"/>
    <n v="4924"/>
    <n v="55475"/>
    <n v="2"/>
    <n v="110950"/>
    <n v="0.98131851343281973"/>
    <x v="2"/>
    <n v="4622.916666666667"/>
    <n v="232.91452132150164"/>
    <n v="5.0382591362920587E-2"/>
    <x v="0"/>
    <s v="CX"/>
  </r>
  <r>
    <s v="ITM_181"/>
    <s v="Tv Top"/>
    <s v="Grocery"/>
    <n v="4590"/>
    <n v="4640"/>
    <n v="4348"/>
    <n v="4525"/>
    <n v="4771"/>
    <n v="4889"/>
    <n v="4665"/>
    <n v="4640"/>
    <n v="4377"/>
    <n v="4517"/>
    <n v="4638"/>
    <n v="4592"/>
    <n v="55192"/>
    <n v="2"/>
    <n v="110384"/>
    <n v="0.98142145593548147"/>
    <x v="2"/>
    <n v="4599.333333333333"/>
    <n v="150.01111069961897"/>
    <n v="3.2615837954693208E-2"/>
    <x v="0"/>
    <s v="CX"/>
  </r>
  <r>
    <s v="ITM_717"/>
    <s v="So Bad"/>
    <s v="Grocery"/>
    <n v="4933"/>
    <n v="4681"/>
    <n v="4578"/>
    <n v="4638"/>
    <n v="4268"/>
    <n v="4619"/>
    <n v="4233"/>
    <n v="4902"/>
    <n v="4594"/>
    <n v="4506"/>
    <n v="4493"/>
    <n v="4683"/>
    <n v="55128"/>
    <n v="2"/>
    <n v="110256"/>
    <n v="0.98152427906721695"/>
    <x v="2"/>
    <n v="4594"/>
    <n v="209.46555368799469"/>
    <n v="4.5595462274269631E-2"/>
    <x v="0"/>
    <s v="CX"/>
  </r>
  <r>
    <s v="ITM_038"/>
    <s v="Top Congress"/>
    <s v="Apparel"/>
    <n v="816"/>
    <n v="1080"/>
    <n v="1007"/>
    <n v="1017"/>
    <n v="1094"/>
    <n v="789"/>
    <n v="776"/>
    <n v="766"/>
    <n v="786"/>
    <n v="1036"/>
    <n v="718"/>
    <n v="1078"/>
    <n v="10963"/>
    <n v="10"/>
    <n v="109630"/>
    <n v="0.9816265184005154"/>
    <x v="2"/>
    <n v="913.58333333333337"/>
    <n v="148.3144438091725"/>
    <n v="0.16234364003558058"/>
    <x v="0"/>
    <s v="CX"/>
  </r>
  <r>
    <s v="ITM_816"/>
    <s v="Court Child"/>
    <s v="Apparel"/>
    <n v="734"/>
    <n v="795"/>
    <n v="695"/>
    <n v="990"/>
    <n v="914"/>
    <n v="971"/>
    <n v="892"/>
    <n v="891"/>
    <n v="745"/>
    <n v="1102"/>
    <n v="1123"/>
    <n v="1025"/>
    <n v="10877"/>
    <n v="10"/>
    <n v="108770"/>
    <n v="0.98172795571040206"/>
    <x v="2"/>
    <n v="906.41666666666663"/>
    <n v="142.63013728033079"/>
    <n v="0.15735604002610734"/>
    <x v="0"/>
    <s v="CX"/>
  </r>
  <r>
    <s v="ITM_297"/>
    <s v="Drive Analysis"/>
    <s v="Grocery"/>
    <n v="4612"/>
    <n v="4706"/>
    <n v="4272"/>
    <n v="4385"/>
    <n v="4414"/>
    <n v="4455"/>
    <n v="4644"/>
    <n v="4669"/>
    <n v="4548"/>
    <n v="4435"/>
    <n v="4495"/>
    <n v="4572"/>
    <n v="54207"/>
    <n v="2"/>
    <n v="108414"/>
    <n v="0.98182906101989964"/>
    <x v="2"/>
    <n v="4517.25"/>
    <n v="130.40993060346287"/>
    <n v="2.8869318856264956E-2"/>
    <x v="0"/>
    <s v="CX"/>
  </r>
  <r>
    <s v="ITM_463"/>
    <s v="Issue Force"/>
    <s v="Grocery"/>
    <n v="4529"/>
    <n v="4800"/>
    <n v="4521"/>
    <n v="4801"/>
    <n v="4289"/>
    <n v="4419"/>
    <n v="4731"/>
    <n v="4289"/>
    <n v="4427"/>
    <n v="4118"/>
    <n v="4584"/>
    <n v="4512"/>
    <n v="54020"/>
    <n v="2"/>
    <n v="108040"/>
    <n v="0.98192981754247155"/>
    <x v="2"/>
    <n v="4501.666666666667"/>
    <n v="210.89994755520419"/>
    <n v="4.6849303418408927E-2"/>
    <x v="0"/>
    <s v="CX"/>
  </r>
  <r>
    <s v="ITM_710"/>
    <s v="Recently Candidate"/>
    <s v="Grocery"/>
    <n v="4298"/>
    <n v="4535"/>
    <n v="4442"/>
    <n v="4380"/>
    <n v="4517"/>
    <n v="4586"/>
    <n v="4351"/>
    <n v="4750"/>
    <n v="4433"/>
    <n v="4248"/>
    <n v="4761"/>
    <n v="4520"/>
    <n v="53821"/>
    <n v="2"/>
    <n v="107642"/>
    <n v="0.98203020289606924"/>
    <x v="2"/>
    <n v="4485.083333333333"/>
    <n v="161.25161497899279"/>
    <n v="3.5952869321415684E-2"/>
    <x v="0"/>
    <s v="CX"/>
  </r>
  <r>
    <s v="ITM_320"/>
    <s v="Husband Knowledge"/>
    <s v="Grocery"/>
    <n v="4476"/>
    <n v="4473"/>
    <n v="4739"/>
    <n v="4396"/>
    <n v="4714"/>
    <n v="4684"/>
    <n v="4103"/>
    <n v="4685"/>
    <n v="4202"/>
    <n v="4292"/>
    <n v="4710"/>
    <n v="4267"/>
    <n v="53741"/>
    <n v="2"/>
    <n v="107482"/>
    <n v="0.98213043903600894"/>
    <x v="2"/>
    <n v="4478.416666666667"/>
    <n v="226.75475672402047"/>
    <n v="5.0632795829780718E-2"/>
    <x v="0"/>
    <s v="CX"/>
  </r>
  <r>
    <s v="ITM_733"/>
    <s v="Story Sometimes"/>
    <s v="Grocery"/>
    <n v="4611"/>
    <n v="4183"/>
    <n v="4662"/>
    <n v="4294"/>
    <n v="4259"/>
    <n v="4336"/>
    <n v="4287"/>
    <n v="4764"/>
    <n v="4623"/>
    <n v="4087"/>
    <n v="4195"/>
    <n v="4360"/>
    <n v="52661"/>
    <n v="2"/>
    <n v="105322"/>
    <n v="0.98222866079156534"/>
    <x v="2"/>
    <n v="4388.416666666667"/>
    <n v="219.59568563957527"/>
    <n v="5.003984405299753E-2"/>
    <x v="0"/>
    <s v="CX"/>
  </r>
  <r>
    <s v="ITM_231"/>
    <s v="Special Boy"/>
    <s v="Apparel"/>
    <n v="643"/>
    <n v="1108"/>
    <n v="741"/>
    <n v="665"/>
    <n v="1076"/>
    <n v="873"/>
    <n v="888"/>
    <n v="1004"/>
    <n v="869"/>
    <n v="1027"/>
    <n v="987"/>
    <n v="650"/>
    <n v="10531"/>
    <n v="10"/>
    <n v="105310"/>
    <n v="0.98232687135609753"/>
    <x v="2"/>
    <n v="877.58333333333337"/>
    <n v="168.84983017911239"/>
    <n v="0.19240318698597936"/>
    <x v="0"/>
    <s v="CX"/>
  </r>
  <r>
    <s v="ITM_200"/>
    <s v="House Away"/>
    <s v="Grocery"/>
    <n v="4309"/>
    <n v="4299"/>
    <n v="4517"/>
    <n v="4441"/>
    <n v="4203"/>
    <n v="4201"/>
    <n v="4534"/>
    <n v="4264"/>
    <n v="4442"/>
    <n v="4680"/>
    <n v="4302"/>
    <n v="4337"/>
    <n v="52529"/>
    <n v="2"/>
    <n v="105058"/>
    <n v="0.98242484690911835"/>
    <x v="2"/>
    <n v="4377.416666666667"/>
    <n v="146.57635821604651"/>
    <n v="3.348467129761766E-2"/>
    <x v="0"/>
    <s v="CX"/>
  </r>
  <r>
    <s v="ITM_837"/>
    <s v="Affect Choose"/>
    <s v="Grocery"/>
    <n v="4190"/>
    <n v="4365"/>
    <n v="4161"/>
    <n v="4264"/>
    <n v="4535"/>
    <n v="4290"/>
    <n v="4139"/>
    <n v="4288"/>
    <n v="4518"/>
    <n v="4372"/>
    <n v="4290"/>
    <n v="4896"/>
    <n v="52308"/>
    <n v="2"/>
    <n v="104616"/>
    <n v="0.9825224102594089"/>
    <x v="2"/>
    <n v="4359"/>
    <n v="209.88828197184071"/>
    <n v="4.8150557919669809E-2"/>
    <x v="0"/>
    <s v="CX"/>
  </r>
  <r>
    <s v="ITM_310"/>
    <s v="Apply Question"/>
    <s v="Apparel"/>
    <n v="1055"/>
    <n v="662"/>
    <n v="882"/>
    <n v="834"/>
    <n v="639"/>
    <n v="1055"/>
    <n v="639"/>
    <n v="1017"/>
    <n v="1012"/>
    <n v="967"/>
    <n v="929"/>
    <n v="698"/>
    <n v="10389"/>
    <n v="10"/>
    <n v="103890"/>
    <n v="0.98261929655272617"/>
    <x v="2"/>
    <n v="865.75"/>
    <n v="166.21624742813475"/>
    <n v="0.19199104525340427"/>
    <x v="0"/>
    <s v="CX"/>
  </r>
  <r>
    <s v="ITM_922"/>
    <s v="Word Hope"/>
    <s v="Grocery"/>
    <n v="4622"/>
    <n v="4167"/>
    <n v="4427"/>
    <n v="4428"/>
    <n v="4395"/>
    <n v="4398"/>
    <n v="4220"/>
    <n v="4184"/>
    <n v="4043"/>
    <n v="4422"/>
    <n v="4235"/>
    <n v="4273"/>
    <n v="51814"/>
    <n v="2"/>
    <n v="103628"/>
    <n v="0.98271593850867855"/>
    <x v="2"/>
    <n v="4317.833333333333"/>
    <n v="157.95329190695088"/>
    <n v="3.6581609273235241E-2"/>
    <x v="0"/>
    <s v="CX"/>
  </r>
  <r>
    <s v="ITM_623"/>
    <s v="Notice Social"/>
    <s v="Grocery"/>
    <n v="4066"/>
    <n v="4501"/>
    <n v="4035"/>
    <n v="4631"/>
    <n v="4441"/>
    <n v="3912"/>
    <n v="4309"/>
    <n v="4314"/>
    <n v="4325"/>
    <n v="4535"/>
    <n v="4181"/>
    <n v="4225"/>
    <n v="51475"/>
    <n v="2"/>
    <n v="102950"/>
    <n v="0.98281194817175499"/>
    <x v="2"/>
    <n v="4289.583333333333"/>
    <n v="217.41851486490427"/>
    <n v="5.0685229303134557E-2"/>
    <x v="0"/>
    <s v="CX"/>
  </r>
  <r>
    <s v="ITM_509"/>
    <s v="Hope Customer"/>
    <s v="Electronics"/>
    <n v="171"/>
    <n v="180"/>
    <n v="172"/>
    <n v="188"/>
    <n v="167"/>
    <n v="178"/>
    <n v="156"/>
    <n v="166"/>
    <n v="155"/>
    <n v="175"/>
    <n v="177"/>
    <n v="149"/>
    <n v="2034"/>
    <n v="50"/>
    <n v="101700"/>
    <n v="0.98290679210312826"/>
    <x v="2"/>
    <n v="169.5"/>
    <n v="11.485168301295847"/>
    <n v="6.7759105022394378E-2"/>
    <x v="0"/>
    <s v="CX"/>
  </r>
  <r>
    <s v="ITM_439"/>
    <s v="Family Executive"/>
    <s v="Grocery"/>
    <n v="4045"/>
    <n v="4239"/>
    <n v="4596"/>
    <n v="3965"/>
    <n v="3871"/>
    <n v="4460"/>
    <n v="4146"/>
    <n v="4464"/>
    <n v="3883"/>
    <n v="4401"/>
    <n v="4458"/>
    <n v="3790"/>
    <n v="50318"/>
    <n v="2"/>
    <n v="100636"/>
    <n v="0.9830006437636758"/>
    <x v="2"/>
    <n v="4193.166666666667"/>
    <n v="279.77810471655545"/>
    <n v="6.6722390726949896E-2"/>
    <x v="0"/>
    <s v="CX"/>
  </r>
  <r>
    <s v="ITM_065"/>
    <s v="My Protect"/>
    <s v="Apparel"/>
    <n v="368"/>
    <n v="327"/>
    <n v="9"/>
    <n v="32"/>
    <n v="282"/>
    <n v="82"/>
    <n v="29"/>
    <n v="406"/>
    <n v="89"/>
    <n v="76"/>
    <n v="129"/>
    <n v="183"/>
    <n v="2012"/>
    <n v="50"/>
    <n v="100600"/>
    <n v="0.98309446185115024"/>
    <x v="2"/>
    <n v="167.66666666666666"/>
    <n v="142.01941821988694"/>
    <n v="0.84703430349833175"/>
    <x v="2"/>
    <s v="CZ"/>
  </r>
  <r>
    <s v="ITM_127"/>
    <s v="Participant Represent"/>
    <s v="Grocery"/>
    <n v="4542"/>
    <n v="4376"/>
    <n v="4689"/>
    <n v="3943"/>
    <n v="4014"/>
    <n v="4200"/>
    <n v="3841"/>
    <n v="4184"/>
    <n v="3605"/>
    <n v="4406"/>
    <n v="4250"/>
    <n v="4020"/>
    <n v="50070"/>
    <n v="2"/>
    <n v="100140"/>
    <n v="0.9831878509493579"/>
    <x v="2"/>
    <n v="4172.5"/>
    <n v="307.35366067003775"/>
    <n v="7.3661752107858067E-2"/>
    <x v="0"/>
    <s v="CX"/>
  </r>
  <r>
    <s v="ITM_229"/>
    <s v="Product Clear"/>
    <s v="Electronics"/>
    <n v="165"/>
    <n v="162"/>
    <n v="163"/>
    <n v="160"/>
    <n v="182"/>
    <n v="155"/>
    <n v="175"/>
    <n v="177"/>
    <n v="161"/>
    <n v="151"/>
    <n v="184"/>
    <n v="161"/>
    <n v="1996"/>
    <n v="50"/>
    <n v="99800"/>
    <n v="0.9832809229685423"/>
    <x v="2"/>
    <n v="166.33333333333334"/>
    <n v="10.611600284879779"/>
    <n v="6.3797196101481643E-2"/>
    <x v="0"/>
    <s v="CX"/>
  </r>
  <r>
    <s v="ITM_895"/>
    <s v="Game Tonight"/>
    <s v="Apparel"/>
    <n v="1071"/>
    <n v="997"/>
    <n v="668"/>
    <n v="969"/>
    <n v="851"/>
    <n v="646"/>
    <n v="854"/>
    <n v="541"/>
    <n v="871"/>
    <n v="945"/>
    <n v="939"/>
    <n v="564"/>
    <n v="9916"/>
    <n v="10"/>
    <n v="99160"/>
    <n v="0.98337339813309466"/>
    <x v="2"/>
    <n v="826.33333333333337"/>
    <n v="177.6898898916227"/>
    <n v="0.21503415477001536"/>
    <x v="1"/>
    <s v="CY"/>
  </r>
  <r>
    <s v="ITM_996"/>
    <s v="No Join"/>
    <s v="Grocery"/>
    <n v="4159"/>
    <n v="4152"/>
    <n v="3776"/>
    <n v="4189"/>
    <n v="4123"/>
    <n v="4080"/>
    <n v="4306"/>
    <n v="4287"/>
    <n v="3793"/>
    <n v="3989"/>
    <n v="4183"/>
    <n v="4218"/>
    <n v="49255"/>
    <n v="2"/>
    <n v="98510"/>
    <n v="0.98346526711716131"/>
    <x v="2"/>
    <n v="4104.583333333333"/>
    <n v="171.76805626051416"/>
    <n v="4.1847866716600755E-2"/>
    <x v="0"/>
    <s v="CX"/>
  </r>
  <r>
    <s v="ITM_893"/>
    <s v="Hold After"/>
    <s v="Apparel"/>
    <n v="835"/>
    <n v="504"/>
    <n v="1016"/>
    <n v="1032"/>
    <n v="775"/>
    <n v="695"/>
    <n v="825"/>
    <n v="945"/>
    <n v="778"/>
    <n v="865"/>
    <n v="772"/>
    <n v="743"/>
    <n v="9785"/>
    <n v="10"/>
    <n v="97850"/>
    <n v="0.98355652059488874"/>
    <x v="2"/>
    <n v="815.41666666666663"/>
    <n v="144.13091166356273"/>
    <n v="0.17675737761499774"/>
    <x v="0"/>
    <s v="CX"/>
  </r>
  <r>
    <s v="ITM_272"/>
    <s v="Language Up"/>
    <s v="Apparel"/>
    <n v="876"/>
    <n v="982"/>
    <n v="680"/>
    <n v="712"/>
    <n v="953"/>
    <n v="759"/>
    <n v="975"/>
    <n v="550"/>
    <n v="936"/>
    <n v="804"/>
    <n v="696"/>
    <n v="830"/>
    <n v="9753"/>
    <n v="10"/>
    <n v="97530"/>
    <n v="0.98364747564530008"/>
    <x v="2"/>
    <n v="812.75"/>
    <n v="137.35695038177653"/>
    <n v="0.16900270732916214"/>
    <x v="0"/>
    <s v="CX"/>
  </r>
  <r>
    <s v="ITM_675"/>
    <s v="Like So"/>
    <s v="Grocery"/>
    <n v="4116"/>
    <n v="3864"/>
    <n v="4239"/>
    <n v="4127"/>
    <n v="4301"/>
    <n v="3796"/>
    <n v="4181"/>
    <n v="3857"/>
    <n v="3949"/>
    <n v="4012"/>
    <n v="3965"/>
    <n v="4230"/>
    <n v="48637"/>
    <n v="2"/>
    <n v="97274"/>
    <n v="0.9837381919538587"/>
    <x v="2"/>
    <n v="4053.0833333333335"/>
    <n v="168.86921153976118"/>
    <n v="4.1664381817898596E-2"/>
    <x v="0"/>
    <s v="CX"/>
  </r>
  <r>
    <s v="ITM_585"/>
    <s v="Either Clearly"/>
    <s v="Grocery"/>
    <n v="4272"/>
    <n v="3936"/>
    <n v="3764"/>
    <n v="3920"/>
    <n v="4218"/>
    <n v="3893"/>
    <n v="3878"/>
    <n v="4074"/>
    <n v="4209"/>
    <n v="4183"/>
    <n v="3918"/>
    <n v="4297"/>
    <n v="48562"/>
    <n v="2"/>
    <n v="97124"/>
    <n v="0.98382876837461286"/>
    <x v="2"/>
    <n v="4046.8333333333335"/>
    <n v="182.23153770226861"/>
    <n v="4.5030650558610094E-2"/>
    <x v="0"/>
    <s v="CX"/>
  </r>
  <r>
    <s v="ITM_101"/>
    <s v="Charge Rest"/>
    <s v="Grocery"/>
    <n v="3995"/>
    <n v="4254"/>
    <n v="4061"/>
    <n v="3793"/>
    <n v="3795"/>
    <n v="4204"/>
    <n v="4086"/>
    <n v="3804"/>
    <n v="4038"/>
    <n v="4122"/>
    <n v="4082"/>
    <n v="4168"/>
    <n v="48402"/>
    <n v="2"/>
    <n v="96804"/>
    <n v="0.98391904636805094"/>
    <x v="2"/>
    <n v="4033.5"/>
    <n v="159.08059706839288"/>
    <n v="3.9439840602055999E-2"/>
    <x v="0"/>
    <s v="CX"/>
  </r>
  <r>
    <s v="ITM_114"/>
    <s v="Level Everything"/>
    <s v="Home &amp; Kitchen"/>
    <n v="154"/>
    <n v="173"/>
    <n v="162"/>
    <n v="157"/>
    <n v="157"/>
    <n v="165"/>
    <n v="137"/>
    <n v="165"/>
    <n v="157"/>
    <n v="163"/>
    <n v="156"/>
    <n v="180"/>
    <n v="1926"/>
    <n v="50"/>
    <n v="96300"/>
    <n v="0.98400885433846641"/>
    <x v="2"/>
    <n v="160.5"/>
    <n v="10.604458753493525"/>
    <n v="6.6071394102763387E-2"/>
    <x v="0"/>
    <s v="CX"/>
  </r>
  <r>
    <s v="ITM_649"/>
    <s v="Century Beat"/>
    <s v="Grocery"/>
    <n v="4019"/>
    <n v="4046"/>
    <n v="4081"/>
    <n v="3895"/>
    <n v="3918"/>
    <n v="4369"/>
    <n v="3817"/>
    <n v="3904"/>
    <n v="3798"/>
    <n v="4505"/>
    <n v="3642"/>
    <n v="3998"/>
    <n v="47992"/>
    <n v="2"/>
    <n v="95984"/>
    <n v="0.98409836761190717"/>
    <x v="2"/>
    <n v="3999.3333333333335"/>
    <n v="239.24971106027326"/>
    <n v="5.9822398164762439E-2"/>
    <x v="0"/>
    <s v="CX"/>
  </r>
  <r>
    <s v="ITM_612"/>
    <s v="Example Firm"/>
    <s v="Grocery"/>
    <n v="3954"/>
    <n v="3754"/>
    <n v="3912"/>
    <n v="3796"/>
    <n v="4223"/>
    <n v="4078"/>
    <n v="3779"/>
    <n v="4045"/>
    <n v="4339"/>
    <n v="4166"/>
    <n v="3742"/>
    <n v="4181"/>
    <n v="47969"/>
    <n v="2"/>
    <n v="95938"/>
    <n v="0.9841878379864214"/>
    <x v="2"/>
    <n v="3997.4166666666665"/>
    <n v="204.58226099823884"/>
    <n v="5.1178618107087202E-2"/>
    <x v="0"/>
    <s v="CX"/>
  </r>
  <r>
    <s v="ITM_519"/>
    <s v="Reflect Or"/>
    <s v="Grocery"/>
    <n v="3803"/>
    <n v="4009"/>
    <n v="3961"/>
    <n v="3728"/>
    <n v="4219"/>
    <n v="4114"/>
    <n v="3952"/>
    <n v="4172"/>
    <n v="3974"/>
    <n v="4247"/>
    <n v="3924"/>
    <n v="3819"/>
    <n v="47922"/>
    <n v="2"/>
    <n v="95844"/>
    <n v="0.98427722069791146"/>
    <x v="2"/>
    <n v="3993.5"/>
    <n v="167.04789732289359"/>
    <n v="4.1829947996217254E-2"/>
    <x v="0"/>
    <s v="CX"/>
  </r>
  <r>
    <s v="ITM_725"/>
    <s v="Agent Discuss"/>
    <s v="Apparel"/>
    <n v="671"/>
    <n v="725"/>
    <n v="942"/>
    <n v="589"/>
    <n v="789"/>
    <n v="840"/>
    <n v="1022"/>
    <n v="923"/>
    <n v="747"/>
    <n v="578"/>
    <n v="686"/>
    <n v="976"/>
    <n v="9488"/>
    <n v="10"/>
    <n v="94880"/>
    <n v="0.98436570439711202"/>
    <x v="2"/>
    <n v="790.66666666666663"/>
    <n v="150.18312054611772"/>
    <n v="0.18994492480537656"/>
    <x v="0"/>
    <s v="CX"/>
  </r>
  <r>
    <s v="ITM_235"/>
    <s v="Type Box"/>
    <s v="Grocery"/>
    <n v="3798"/>
    <n v="4095"/>
    <n v="4051"/>
    <n v="3595"/>
    <n v="4091"/>
    <n v="3950"/>
    <n v="4129"/>
    <n v="3754"/>
    <n v="3995"/>
    <n v="4060"/>
    <n v="3613"/>
    <n v="4158"/>
    <n v="47289"/>
    <n v="2"/>
    <n v="94578"/>
    <n v="0.9844539064555331"/>
    <x v="2"/>
    <n v="3940.75"/>
    <n v="200.14182471437599"/>
    <n v="5.0787749721341369E-2"/>
    <x v="0"/>
    <s v="CX"/>
  </r>
  <r>
    <s v="ITM_143"/>
    <s v="Half Full"/>
    <s v="Apparel"/>
    <n v="1032"/>
    <n v="615"/>
    <n v="505"/>
    <n v="709"/>
    <n v="936"/>
    <n v="884"/>
    <n v="552"/>
    <n v="904"/>
    <n v="639"/>
    <n v="1030"/>
    <n v="787"/>
    <n v="753"/>
    <n v="9346"/>
    <n v="10"/>
    <n v="93460"/>
    <n v="0.98454106588351875"/>
    <x v="2"/>
    <n v="778.83333333333337"/>
    <n v="180.16398254384984"/>
    <n v="0.23132546442608581"/>
    <x v="1"/>
    <s v="CY"/>
  </r>
  <r>
    <s v="ITM_419"/>
    <s v="Carry Music"/>
    <s v="Home &amp; Kitchen"/>
    <n v="161"/>
    <n v="174"/>
    <n v="155"/>
    <n v="161"/>
    <n v="150"/>
    <n v="159"/>
    <n v="143"/>
    <n v="150"/>
    <n v="173"/>
    <n v="153"/>
    <n v="144"/>
    <n v="145"/>
    <n v="1868"/>
    <n v="50"/>
    <n v="93400"/>
    <n v="0.98462816935638275"/>
    <x v="2"/>
    <n v="155.66666666666666"/>
    <n v="10.386471387280086"/>
    <n v="6.6722514265182567E-2"/>
    <x v="0"/>
    <s v="CX"/>
  </r>
  <r>
    <s v="ITM_869"/>
    <s v="Always Far"/>
    <s v="Grocery"/>
    <n v="3835"/>
    <n v="3762"/>
    <n v="3982"/>
    <n v="3710"/>
    <n v="4258"/>
    <n v="4255"/>
    <n v="4191"/>
    <n v="3692"/>
    <n v="3745"/>
    <n v="3734"/>
    <n v="3416"/>
    <n v="3959"/>
    <n v="46539"/>
    <n v="2"/>
    <n v="93078"/>
    <n v="0.98471497253675999"/>
    <x v="2"/>
    <n v="3878.25"/>
    <n v="257.94084064515118"/>
    <n v="6.6509595989209358E-2"/>
    <x v="0"/>
    <s v="CX"/>
  </r>
  <r>
    <s v="ITM_415"/>
    <s v="Citizen Between"/>
    <s v="Grocery"/>
    <n v="3661"/>
    <n v="3890"/>
    <n v="3652"/>
    <n v="3743"/>
    <n v="4073"/>
    <n v="4225"/>
    <n v="3879"/>
    <n v="4187"/>
    <n v="3833"/>
    <n v="3949"/>
    <n v="3414"/>
    <n v="4029"/>
    <n v="46535"/>
    <n v="2"/>
    <n v="93070"/>
    <n v="0.98480176825645427"/>
    <x v="2"/>
    <n v="3877.9166666666665"/>
    <n v="236.56882847505631"/>
    <n v="6.1004103184714213E-2"/>
    <x v="0"/>
    <s v="CX"/>
  </r>
  <r>
    <s v="ITM_510"/>
    <s v="Situation Son"/>
    <s v="Electronics"/>
    <n v="146"/>
    <n v="169"/>
    <n v="146"/>
    <n v="158"/>
    <n v="142"/>
    <n v="169"/>
    <n v="151"/>
    <n v="146"/>
    <n v="177"/>
    <n v="157"/>
    <n v="133"/>
    <n v="139"/>
    <n v="1833"/>
    <n v="50"/>
    <n v="91650"/>
    <n v="0.98488723970493375"/>
    <x v="2"/>
    <n v="152.75"/>
    <n v="13.471350070697172"/>
    <n v="8.8192144489015856E-2"/>
    <x v="0"/>
    <s v="CX"/>
  </r>
  <r>
    <s v="ITM_770"/>
    <s v="Gas Theory"/>
    <s v="Grocery"/>
    <n v="3803"/>
    <n v="3575"/>
    <n v="3732"/>
    <n v="3924"/>
    <n v="3895"/>
    <n v="3819"/>
    <n v="3673"/>
    <n v="3986"/>
    <n v="3463"/>
    <n v="3954"/>
    <n v="3848"/>
    <n v="4138"/>
    <n v="45810"/>
    <n v="2"/>
    <n v="91620"/>
    <n v="0.98497268317585229"/>
    <x v="2"/>
    <n v="3817.5"/>
    <n v="186.08478028722675"/>
    <n v="4.8745194574257168E-2"/>
    <x v="0"/>
    <s v="CX"/>
  </r>
  <r>
    <s v="ITM_412"/>
    <s v="Beautiful Site"/>
    <s v="Grocery"/>
    <n v="3821"/>
    <n v="3699"/>
    <n v="3678"/>
    <n v="3810"/>
    <n v="3892"/>
    <n v="3824"/>
    <n v="3979"/>
    <n v="3807"/>
    <n v="3882"/>
    <n v="3667"/>
    <n v="3986"/>
    <n v="3750"/>
    <n v="45795"/>
    <n v="2"/>
    <n v="91590"/>
    <n v="0.98505809866921001"/>
    <x v="2"/>
    <n v="3816.25"/>
    <n v="106.64139141832483"/>
    <n v="2.7944026575388099E-2"/>
    <x v="0"/>
    <s v="CX"/>
  </r>
  <r>
    <s v="ITM_030"/>
    <s v="Best Recently"/>
    <s v="Grocery"/>
    <n v="3692"/>
    <n v="3884"/>
    <n v="3576"/>
    <n v="3927"/>
    <n v="3557"/>
    <n v="4023"/>
    <n v="3784"/>
    <n v="3709"/>
    <n v="3740"/>
    <n v="4050"/>
    <n v="3800"/>
    <n v="3953"/>
    <n v="45695"/>
    <n v="2"/>
    <n v="91390"/>
    <n v="0.98514332764549517"/>
    <x v="2"/>
    <n v="3807.9166666666665"/>
    <n v="162.67561606032436"/>
    <n v="4.2720371872718946E-2"/>
    <x v="0"/>
    <s v="CX"/>
  </r>
  <r>
    <s v="ITM_098"/>
    <s v="Whether Sell"/>
    <s v="Grocery"/>
    <n v="3989"/>
    <n v="4025"/>
    <n v="3564"/>
    <n v="4293"/>
    <n v="3449"/>
    <n v="3661"/>
    <n v="3692"/>
    <n v="4119"/>
    <n v="3358"/>
    <n v="3507"/>
    <n v="3384"/>
    <n v="3915"/>
    <n v="44956"/>
    <n v="2"/>
    <n v="89912"/>
    <n v="0.98522717826061457"/>
    <x v="2"/>
    <n v="3746.3333333333335"/>
    <n v="312.46391306788848"/>
    <n v="8.3405261963134206E-2"/>
    <x v="0"/>
    <s v="CX"/>
  </r>
  <r>
    <s v="ITM_762"/>
    <s v="Industry Entire"/>
    <s v="Grocery"/>
    <n v="3603"/>
    <n v="3725"/>
    <n v="3858"/>
    <n v="3724"/>
    <n v="3830"/>
    <n v="3790"/>
    <n v="3494"/>
    <n v="3799"/>
    <n v="3803"/>
    <n v="3715"/>
    <n v="3688"/>
    <n v="3815"/>
    <n v="44844"/>
    <n v="2"/>
    <n v="89688"/>
    <n v="0.98531081997661263"/>
    <x v="2"/>
    <n v="3737"/>
    <n v="104.70130675575943"/>
    <n v="2.8017475717356015E-2"/>
    <x v="0"/>
    <s v="CX"/>
  </r>
  <r>
    <s v="ITM_532"/>
    <s v="Then Hand"/>
    <s v="Grocery"/>
    <n v="4063"/>
    <n v="3774"/>
    <n v="3677"/>
    <n v="3766"/>
    <n v="4129"/>
    <n v="3753"/>
    <n v="3416"/>
    <n v="3283"/>
    <n v="3656"/>
    <n v="3715"/>
    <n v="3582"/>
    <n v="3922"/>
    <n v="44736"/>
    <n v="2"/>
    <n v="89472"/>
    <n v="0.98539426025417243"/>
    <x v="2"/>
    <n v="3728"/>
    <n v="241.1121956871757"/>
    <n v="6.4676018156431245E-2"/>
    <x v="0"/>
    <s v="CX"/>
  </r>
  <r>
    <s v="ITM_616"/>
    <s v="Collection Hundred"/>
    <s v="Apparel"/>
    <n v="799"/>
    <n v="631"/>
    <n v="747"/>
    <n v="764"/>
    <n v="568"/>
    <n v="829"/>
    <n v="636"/>
    <n v="886"/>
    <n v="778"/>
    <n v="708"/>
    <n v="774"/>
    <n v="766"/>
    <n v="8886"/>
    <n v="10"/>
    <n v="88860"/>
    <n v="0.98547712978949031"/>
    <x v="2"/>
    <n v="740.5"/>
    <n v="90.413695664077153"/>
    <n v="0.12209817105209608"/>
    <x v="0"/>
    <s v="CX"/>
  </r>
  <r>
    <s v="ITM_434"/>
    <s v="Art Discussion"/>
    <s v="Grocery"/>
    <n v="3541"/>
    <n v="3714"/>
    <n v="3761"/>
    <n v="3596"/>
    <n v="3785"/>
    <n v="3545"/>
    <n v="3692"/>
    <n v="3575"/>
    <n v="4013"/>
    <n v="3366"/>
    <n v="3941"/>
    <n v="3727"/>
    <n v="44256"/>
    <n v="2"/>
    <n v="88512"/>
    <n v="0.98555967478510198"/>
    <x v="2"/>
    <n v="3688"/>
    <n v="179.28139385284291"/>
    <n v="4.8612091608688422E-2"/>
    <x v="0"/>
    <s v="CX"/>
  </r>
  <r>
    <s v="ITM_791"/>
    <s v="At Positive"/>
    <s v="Electronics"/>
    <n v="166"/>
    <n v="154"/>
    <n v="138"/>
    <n v="155"/>
    <n v="130"/>
    <n v="138"/>
    <n v="153"/>
    <n v="127"/>
    <n v="158"/>
    <n v="136"/>
    <n v="154"/>
    <n v="138"/>
    <n v="1747"/>
    <n v="50"/>
    <n v="87350"/>
    <n v="0.98564113611652249"/>
    <x v="2"/>
    <n v="145.58333333333334"/>
    <n v="12.464191133244894"/>
    <n v="8.5615508642781182E-2"/>
    <x v="0"/>
    <s v="CX"/>
  </r>
  <r>
    <s v="ITM_555"/>
    <s v="Almost Approach"/>
    <s v="Apparel"/>
    <n v="443"/>
    <n v="765"/>
    <n v="898"/>
    <n v="853"/>
    <n v="751"/>
    <n v="630"/>
    <n v="637"/>
    <n v="923"/>
    <n v="511"/>
    <n v="669"/>
    <n v="728"/>
    <n v="919"/>
    <n v="8727"/>
    <n v="10"/>
    <n v="87270"/>
    <n v="0.98572252284111384"/>
    <x v="2"/>
    <n v="727.25"/>
    <n v="156.84452347931867"/>
    <n v="0.21566795940779465"/>
    <x v="1"/>
    <s v="CY"/>
  </r>
  <r>
    <s v="ITM_499"/>
    <s v="Management Choice"/>
    <s v="Grocery"/>
    <n v="3679"/>
    <n v="3644"/>
    <n v="3608"/>
    <n v="3730"/>
    <n v="3596"/>
    <n v="3726"/>
    <n v="3564"/>
    <n v="3478"/>
    <n v="3783"/>
    <n v="3767"/>
    <n v="3306"/>
    <n v="3597"/>
    <n v="43478"/>
    <n v="2"/>
    <n v="86956"/>
    <n v="0.98580361673390138"/>
    <x v="2"/>
    <n v="3623.1666666666665"/>
    <n v="134.36573787670545"/>
    <n v="3.7085166164967695E-2"/>
    <x v="0"/>
    <s v="CX"/>
  </r>
  <r>
    <s v="ITM_245"/>
    <s v="Field Blue"/>
    <s v="Home &amp; Kitchen"/>
    <n v="139"/>
    <n v="148"/>
    <n v="163"/>
    <n v="151"/>
    <n v="134"/>
    <n v="139"/>
    <n v="136"/>
    <n v="147"/>
    <n v="139"/>
    <n v="152"/>
    <n v="146"/>
    <n v="144"/>
    <n v="1738"/>
    <n v="50"/>
    <n v="86900"/>
    <n v="0.98588465840190864"/>
    <x v="2"/>
    <n v="144.83333333333334"/>
    <n v="8.1668212725006839"/>
    <n v="5.638771879747307E-2"/>
    <x v="0"/>
    <s v="CX"/>
  </r>
  <r>
    <s v="ITM_799"/>
    <s v="Move Music"/>
    <s v="Home &amp; Kitchen"/>
    <n v="132"/>
    <n v="167"/>
    <n v="141"/>
    <n v="139"/>
    <n v="130"/>
    <n v="146"/>
    <n v="143"/>
    <n v="162"/>
    <n v="152"/>
    <n v="149"/>
    <n v="153"/>
    <n v="121"/>
    <n v="1735"/>
    <n v="50"/>
    <n v="86750"/>
    <n v="0.98596556018211157"/>
    <x v="2"/>
    <n v="144.58333333333334"/>
    <n v="13.235340661435293"/>
    <n v="9.1541261058918452E-2"/>
    <x v="0"/>
    <s v="CX"/>
  </r>
  <r>
    <s v="ITM_933"/>
    <s v="Fly Style"/>
    <s v="Grocery"/>
    <n v="3478"/>
    <n v="3299"/>
    <n v="3730"/>
    <n v="3638"/>
    <n v="3239"/>
    <n v="3410"/>
    <n v="3535"/>
    <n v="3519"/>
    <n v="3571"/>
    <n v="3603"/>
    <n v="3756"/>
    <n v="3631"/>
    <n v="42409"/>
    <n v="2"/>
    <n v="84818"/>
    <n v="0.9860446602073939"/>
    <x v="2"/>
    <n v="3534.0833333333335"/>
    <n v="158.12622020130473"/>
    <n v="4.4743206451829956E-2"/>
    <x v="0"/>
    <s v="CX"/>
  </r>
  <r>
    <s v="ITM_782"/>
    <s v="Even Visit"/>
    <s v="Grocery"/>
    <n v="3386"/>
    <n v="3612"/>
    <n v="3469"/>
    <n v="3449"/>
    <n v="3672"/>
    <n v="3444"/>
    <n v="3506"/>
    <n v="3777"/>
    <n v="3394"/>
    <n v="3715"/>
    <n v="3230"/>
    <n v="3689"/>
    <n v="42343"/>
    <n v="2"/>
    <n v="84686"/>
    <n v="0.98612363713140849"/>
    <x v="2"/>
    <n v="3528.5833333333335"/>
    <n v="163.72507906594981"/>
    <n v="4.6399663434130732E-2"/>
    <x v="0"/>
    <s v="CX"/>
  </r>
  <r>
    <s v="ITM_930"/>
    <s v="Notice Sometimes"/>
    <s v="Grocery"/>
    <n v="3408"/>
    <n v="3411"/>
    <n v="3482"/>
    <n v="3800"/>
    <n v="3395"/>
    <n v="3326"/>
    <n v="3520"/>
    <n v="3781"/>
    <n v="3844"/>
    <n v="3320"/>
    <n v="3705"/>
    <n v="3249"/>
    <n v="42241"/>
    <n v="2"/>
    <n v="84482"/>
    <n v="0.98620242380800904"/>
    <x v="2"/>
    <n v="3520.0833333333335"/>
    <n v="208.52139996274784"/>
    <n v="5.9237631674273192E-2"/>
    <x v="0"/>
    <s v="CX"/>
  </r>
  <r>
    <s v="ITM_584"/>
    <s v="Finish Watch"/>
    <s v="Grocery"/>
    <n v="3630"/>
    <n v="3725"/>
    <n v="3664"/>
    <n v="3434"/>
    <n v="3231"/>
    <n v="3643"/>
    <n v="3445"/>
    <n v="3724"/>
    <n v="3205"/>
    <n v="3332"/>
    <n v="3619"/>
    <n v="3328"/>
    <n v="41980"/>
    <n v="2"/>
    <n v="83960"/>
    <n v="0.98628072367505037"/>
    <x v="2"/>
    <n v="3498.3333333333335"/>
    <n v="191.58398743742714"/>
    <n v="5.4764360391832433E-2"/>
    <x v="0"/>
    <s v="CX"/>
  </r>
  <r>
    <s v="ITM_769"/>
    <s v="Tree Deal"/>
    <s v="Apparel"/>
    <n v="836"/>
    <n v="508"/>
    <n v="950"/>
    <n v="918"/>
    <n v="368"/>
    <n v="885"/>
    <n v="555"/>
    <n v="628"/>
    <n v="469"/>
    <n v="882"/>
    <n v="898"/>
    <n v="433"/>
    <n v="8330"/>
    <n v="10"/>
    <n v="83300"/>
    <n v="0.98635840803575237"/>
    <x v="2"/>
    <n v="694.16666666666663"/>
    <n v="220.0437284365143"/>
    <n v="0.3169897648545224"/>
    <x v="1"/>
    <s v="CY"/>
  </r>
  <r>
    <s v="ITM_012"/>
    <s v="Yet Save"/>
    <s v="Grocery"/>
    <n v="3415"/>
    <n v="3194"/>
    <n v="3363"/>
    <n v="3188"/>
    <n v="3503"/>
    <n v="3828"/>
    <n v="3294"/>
    <n v="3647"/>
    <n v="3538"/>
    <n v="3663"/>
    <n v="3585"/>
    <n v="3352"/>
    <n v="41570"/>
    <n v="2"/>
    <n v="83140"/>
    <n v="0.98643594318279637"/>
    <x v="2"/>
    <n v="3464.1666666666665"/>
    <n v="197.79366353180612"/>
    <n v="5.709704023049491E-2"/>
    <x v="0"/>
    <s v="CX"/>
  </r>
  <r>
    <s v="ITM_962"/>
    <s v="Scene Fish"/>
    <s v="Grocery"/>
    <n v="3610"/>
    <n v="3346"/>
    <n v="3254"/>
    <n v="3142"/>
    <n v="3792"/>
    <n v="3388"/>
    <n v="3602"/>
    <n v="3464"/>
    <n v="3374"/>
    <n v="3412"/>
    <n v="3754"/>
    <n v="3214"/>
    <n v="41352"/>
    <n v="2"/>
    <n v="82704"/>
    <n v="0.98651307172262226"/>
    <x v="2"/>
    <n v="3446"/>
    <n v="206.47341893636752"/>
    <n v="5.9916836603705025E-2"/>
    <x v="0"/>
    <s v="CX"/>
  </r>
  <r>
    <s v="ITM_865"/>
    <s v="Physical Change"/>
    <s v="Grocery"/>
    <n v="3437"/>
    <n v="3613"/>
    <n v="3472"/>
    <n v="3465"/>
    <n v="3255"/>
    <n v="3560"/>
    <n v="3205"/>
    <n v="3310"/>
    <n v="3546"/>
    <n v="3626"/>
    <n v="3535"/>
    <n v="3318"/>
    <n v="41342"/>
    <n v="2"/>
    <n v="82684"/>
    <n v="0.98659018161074097"/>
    <x v="2"/>
    <n v="3445.1666666666665"/>
    <n v="141.98516781265528"/>
    <n v="4.1212858926802369E-2"/>
    <x v="0"/>
    <s v="CX"/>
  </r>
  <r>
    <s v="ITM_221"/>
    <s v="Past Somebody"/>
    <s v="Toys"/>
    <n v="71"/>
    <n v="63"/>
    <n v="74"/>
    <n v="70"/>
    <n v="73"/>
    <n v="60"/>
    <n v="63"/>
    <n v="55"/>
    <n v="64"/>
    <n v="70"/>
    <n v="77"/>
    <n v="84"/>
    <n v="824"/>
    <n v="100"/>
    <n v="82400"/>
    <n v="0.98666702664461658"/>
    <x v="2"/>
    <n v="68.666666666666671"/>
    <n v="8.0264713557230252"/>
    <n v="0.11689035954936444"/>
    <x v="0"/>
    <s v="CX"/>
  </r>
  <r>
    <s v="ITM_859"/>
    <s v="Practice Direction"/>
    <s v="Grocery"/>
    <n v="3365"/>
    <n v="3849"/>
    <n v="3310"/>
    <n v="3453"/>
    <n v="3451"/>
    <n v="3678"/>
    <n v="3305"/>
    <n v="3181"/>
    <n v="3605"/>
    <n v="3007"/>
    <n v="3505"/>
    <n v="3457"/>
    <n v="41166"/>
    <n v="2"/>
    <n v="82332"/>
    <n v="0.9867438082626877"/>
    <x v="2"/>
    <n v="3430.5"/>
    <n v="223.64562065098355"/>
    <n v="6.5193301457800182E-2"/>
    <x v="0"/>
    <s v="CX"/>
  </r>
  <r>
    <s v="ITM_699"/>
    <s v="Recent Science"/>
    <s v="Grocery"/>
    <n v="3267"/>
    <n v="3272"/>
    <n v="3474"/>
    <n v="3649"/>
    <n v="3448"/>
    <n v="3535"/>
    <n v="3669"/>
    <n v="3448"/>
    <n v="3442"/>
    <n v="3210"/>
    <n v="3516"/>
    <n v="3174"/>
    <n v="41104"/>
    <n v="2"/>
    <n v="82208"/>
    <n v="0.98682047424017372"/>
    <x v="2"/>
    <n v="3425.3333333333335"/>
    <n v="162.77107925680238"/>
    <n v="4.751977790681268E-2"/>
    <x v="0"/>
    <s v="CX"/>
  </r>
  <r>
    <s v="ITM_883"/>
    <s v="Expect Region"/>
    <s v="Grocery"/>
    <n v="3358"/>
    <n v="3612"/>
    <n v="3371"/>
    <n v="3579"/>
    <n v="3418"/>
    <n v="3414"/>
    <n v="3262"/>
    <n v="3595"/>
    <n v="3434"/>
    <n v="3358"/>
    <n v="3225"/>
    <n v="3426"/>
    <n v="41052"/>
    <n v="2"/>
    <n v="82104"/>
    <n v="0.98689704322878213"/>
    <x v="2"/>
    <n v="3421"/>
    <n v="122.88501646957319"/>
    <n v="3.5920788210924641E-2"/>
    <x v="0"/>
    <s v="CX"/>
  </r>
  <r>
    <s v="ITM_400"/>
    <s v="We Challenge"/>
    <s v="Grocery"/>
    <n v="3397"/>
    <n v="3792"/>
    <n v="3147"/>
    <n v="3506"/>
    <n v="3228"/>
    <n v="3406"/>
    <n v="3324"/>
    <n v="3234"/>
    <n v="3396"/>
    <n v="3256"/>
    <n v="3652"/>
    <n v="3467"/>
    <n v="40805"/>
    <n v="2"/>
    <n v="81610"/>
    <n v="0.98697315152022136"/>
    <x v="2"/>
    <n v="3400.4166666666665"/>
    <n v="186.01390873379401"/>
    <n v="5.4703269324973124E-2"/>
    <x v="0"/>
    <s v="CX"/>
  </r>
  <r>
    <s v="ITM_317"/>
    <s v="Address Woman"/>
    <s v="Toys"/>
    <n v="74"/>
    <n v="71"/>
    <n v="67"/>
    <n v="61"/>
    <n v="64"/>
    <n v="67"/>
    <n v="71"/>
    <n v="55"/>
    <n v="73"/>
    <n v="74"/>
    <n v="67"/>
    <n v="71"/>
    <n v="815"/>
    <n v="100"/>
    <n v="81500"/>
    <n v="0.98704915722727082"/>
    <x v="2"/>
    <n v="67.916666666666671"/>
    <n v="5.7280542997256978"/>
    <n v="8.4339449811912104E-2"/>
    <x v="0"/>
    <s v="CX"/>
  </r>
  <r>
    <s v="ITM_629"/>
    <s v="Itself Pressure"/>
    <s v="Apparel"/>
    <n v="398"/>
    <n v="66"/>
    <n v="18"/>
    <n v="14"/>
    <n v="132"/>
    <n v="192"/>
    <n v="114"/>
    <n v="133"/>
    <n v="115"/>
    <n v="11"/>
    <n v="327"/>
    <n v="102"/>
    <n v="1622"/>
    <n v="50"/>
    <n v="81100"/>
    <n v="0.98712478990017516"/>
    <x v="2"/>
    <n v="135.16666666666666"/>
    <n v="120.48827429432393"/>
    <n v="0.89140523522311177"/>
    <x v="2"/>
    <s v="CZ"/>
  </r>
  <r>
    <s v="ITM_874"/>
    <s v="Factor Rest"/>
    <s v="Apparel"/>
    <n v="153"/>
    <n v="87"/>
    <n v="2"/>
    <n v="124"/>
    <n v="184"/>
    <n v="86"/>
    <n v="371"/>
    <n v="29"/>
    <n v="403"/>
    <n v="22"/>
    <n v="127"/>
    <n v="4"/>
    <n v="1592"/>
    <n v="50"/>
    <n v="79600"/>
    <n v="0.98719902369503565"/>
    <x v="2"/>
    <n v="132.66666666666666"/>
    <n v="132.77618442896735"/>
    <n v="1.0008255107711108"/>
    <x v="2"/>
    <s v="CZ"/>
  </r>
  <r>
    <s v="ITM_810"/>
    <s v="Herself General"/>
    <s v="Grocery"/>
    <n v="3294"/>
    <n v="3154"/>
    <n v="3277"/>
    <n v="3251"/>
    <n v="3249"/>
    <n v="3531"/>
    <n v="3469"/>
    <n v="3279"/>
    <n v="3372"/>
    <n v="2924"/>
    <n v="3170"/>
    <n v="3488"/>
    <n v="39458"/>
    <n v="2"/>
    <n v="78916"/>
    <n v="0.98727261960150814"/>
    <x v="2"/>
    <n v="3288.1666666666665"/>
    <n v="166.88854927402264"/>
    <n v="5.0754285348681427E-2"/>
    <x v="0"/>
    <s v="CX"/>
  </r>
  <r>
    <s v="ITM_788"/>
    <s v="Enter Eye"/>
    <s v="Grocery"/>
    <n v="3330"/>
    <n v="3629"/>
    <n v="3290"/>
    <n v="3127"/>
    <n v="3448"/>
    <n v="3253"/>
    <n v="3210"/>
    <n v="2986"/>
    <n v="3276"/>
    <n v="3415"/>
    <n v="3213"/>
    <n v="3094"/>
    <n v="39271"/>
    <n v="2"/>
    <n v="78542"/>
    <n v="0.98734586672105507"/>
    <x v="2"/>
    <n v="3272.5833333333335"/>
    <n v="171.82573536386604"/>
    <n v="5.2504617258699614E-2"/>
    <x v="0"/>
    <s v="CX"/>
  </r>
  <r>
    <s v="ITM_747"/>
    <s v="Majority Machine"/>
    <s v="Grocery"/>
    <n v="3586"/>
    <n v="3244"/>
    <n v="3091"/>
    <n v="3393"/>
    <n v="3618"/>
    <n v="3224"/>
    <n v="3234"/>
    <n v="3101"/>
    <n v="2803"/>
    <n v="3198"/>
    <n v="3419"/>
    <n v="3048"/>
    <n v="38959"/>
    <n v="2"/>
    <n v="77918"/>
    <n v="0.98741853190733575"/>
    <x v="2"/>
    <n v="3246.5833333333335"/>
    <n v="231.39044465748339"/>
    <n v="7.1271986855150293E-2"/>
    <x v="0"/>
    <s v="CX"/>
  </r>
  <r>
    <s v="ITM_021"/>
    <s v="Scene Detail"/>
    <s v="Grocery"/>
    <n v="3320"/>
    <n v="3246"/>
    <n v="3488"/>
    <n v="3297"/>
    <n v="2719"/>
    <n v="3096"/>
    <n v="3124"/>
    <n v="2973"/>
    <n v="3264"/>
    <n v="3279"/>
    <n v="3582"/>
    <n v="2952"/>
    <n v="38340"/>
    <n v="2"/>
    <n v="76680"/>
    <n v="0.98749004255293749"/>
    <x v="2"/>
    <n v="3195"/>
    <n v="238.52120164958845"/>
    <n v="7.4654523208008902E-2"/>
    <x v="0"/>
    <s v="CX"/>
  </r>
  <r>
    <s v="ITM_136"/>
    <s v="Case Attention"/>
    <s v="Grocery"/>
    <n v="3121"/>
    <n v="3255"/>
    <n v="3259"/>
    <n v="2981"/>
    <n v="3442"/>
    <n v="3125"/>
    <n v="3206"/>
    <n v="3205"/>
    <n v="3553"/>
    <n v="3376"/>
    <n v="2848"/>
    <n v="2879"/>
    <n v="38250"/>
    <n v="2"/>
    <n v="76500"/>
    <n v="0.98756138533317406"/>
    <x v="2"/>
    <n v="3187.5"/>
    <n v="214.39407217042682"/>
    <n v="6.726088538680057E-2"/>
    <x v="0"/>
    <s v="CX"/>
  </r>
  <r>
    <s v="ITM_627"/>
    <s v="Natural Already"/>
    <s v="Grocery"/>
    <n v="3325"/>
    <n v="2814"/>
    <n v="3126"/>
    <n v="3435"/>
    <n v="3459"/>
    <n v="3194"/>
    <n v="3453"/>
    <n v="3258"/>
    <n v="2987"/>
    <n v="3127"/>
    <n v="2874"/>
    <n v="2883"/>
    <n v="37935"/>
    <n v="2"/>
    <n v="75870"/>
    <n v="0.98763214058463222"/>
    <x v="2"/>
    <n v="3161.25"/>
    <n v="233.40488621511528"/>
    <n v="7.3833099633093008E-2"/>
    <x v="0"/>
    <s v="CX"/>
  </r>
  <r>
    <s v="ITM_669"/>
    <s v="Court Author"/>
    <s v="Grocery"/>
    <n v="3272"/>
    <n v="3061"/>
    <n v="3124"/>
    <n v="3100"/>
    <n v="3302"/>
    <n v="2621"/>
    <n v="2885"/>
    <n v="2821"/>
    <n v="3611"/>
    <n v="3285"/>
    <n v="3213"/>
    <n v="3235"/>
    <n v="37530"/>
    <n v="2"/>
    <n v="75060"/>
    <n v="0.9877021404419466"/>
    <x v="2"/>
    <n v="3127.5"/>
    <n v="259.94002804842921"/>
    <n v="8.3114317521480158E-2"/>
    <x v="0"/>
    <s v="CX"/>
  </r>
  <r>
    <s v="ITM_042"/>
    <s v="Understand Special"/>
    <s v="Apparel"/>
    <n v="435"/>
    <n v="441"/>
    <n v="603"/>
    <n v="738"/>
    <n v="913"/>
    <n v="961"/>
    <n v="423"/>
    <n v="696"/>
    <n v="494"/>
    <n v="679"/>
    <n v="499"/>
    <n v="596"/>
    <n v="7478"/>
    <n v="10"/>
    <n v="74780"/>
    <n v="0.98777187917535958"/>
    <x v="2"/>
    <n v="623.16666666666663"/>
    <n v="181.32032595950361"/>
    <n v="0.29096602186601278"/>
    <x v="1"/>
    <s v="CY"/>
  </r>
  <r>
    <s v="ITM_104"/>
    <s v="White Itself"/>
    <s v="Grocery"/>
    <n v="3140"/>
    <n v="3233"/>
    <n v="2908"/>
    <n v="3515"/>
    <n v="2733"/>
    <n v="3111"/>
    <n v="2801"/>
    <n v="3323"/>
    <n v="3108"/>
    <n v="3238"/>
    <n v="3031"/>
    <n v="3170"/>
    <n v="37311"/>
    <n v="2"/>
    <n v="74622"/>
    <n v="0.98784147056028515"/>
    <x v="2"/>
    <n v="3109.25"/>
    <n v="219.51604828473353"/>
    <n v="7.0600964311243394E-2"/>
    <x v="0"/>
    <s v="CX"/>
  </r>
  <r>
    <s v="ITM_802"/>
    <s v="Strong Often"/>
    <s v="Grocery"/>
    <n v="2955"/>
    <n v="2628"/>
    <n v="3211"/>
    <n v="3166"/>
    <n v="3078"/>
    <n v="3463"/>
    <n v="3272"/>
    <n v="2948"/>
    <n v="3071"/>
    <n v="2999"/>
    <n v="3347"/>
    <n v="3070"/>
    <n v="37208"/>
    <n v="2"/>
    <n v="74416"/>
    <n v="0.9879108698326261"/>
    <x v="2"/>
    <n v="3100.6666666666665"/>
    <n v="217.0824448885443"/>
    <n v="7.0011538880416349E-2"/>
    <x v="0"/>
    <s v="CX"/>
  </r>
  <r>
    <s v="ITM_096"/>
    <s v="National Air"/>
    <s v="Grocery"/>
    <n v="3122"/>
    <n v="3065"/>
    <n v="3026"/>
    <n v="3327"/>
    <n v="2953"/>
    <n v="3264"/>
    <n v="2811"/>
    <n v="2916"/>
    <n v="3337"/>
    <n v="3320"/>
    <n v="2886"/>
    <n v="3129"/>
    <n v="37156"/>
    <n v="2"/>
    <n v="74312"/>
    <n v="0.98798017211608935"/>
    <x v="2"/>
    <n v="3096.3333333333335"/>
    <n v="184.7948903924335"/>
    <n v="5.9681846396522818E-2"/>
    <x v="0"/>
    <s v="CX"/>
  </r>
  <r>
    <s v="ITM_442"/>
    <s v="Need On"/>
    <s v="Grocery"/>
    <n v="3112"/>
    <n v="3104"/>
    <n v="3219"/>
    <n v="3197"/>
    <n v="2887"/>
    <n v="2944"/>
    <n v="3165"/>
    <n v="3176"/>
    <n v="2970"/>
    <n v="3225"/>
    <n v="3022"/>
    <n v="3135"/>
    <n v="37156"/>
    <n v="2"/>
    <n v="74312"/>
    <n v="0.9880494743995526"/>
    <x v="2"/>
    <n v="3096.3333333333335"/>
    <n v="114.06085563364316"/>
    <n v="3.6837395510919309E-2"/>
    <x v="0"/>
    <s v="CX"/>
  </r>
  <r>
    <s v="ITM_523"/>
    <s v="Nothing May"/>
    <s v="Grocery"/>
    <n v="2973"/>
    <n v="3161"/>
    <n v="2943"/>
    <n v="3014"/>
    <n v="3397"/>
    <n v="3009"/>
    <n v="3207"/>
    <n v="3285"/>
    <n v="3091"/>
    <n v="3246"/>
    <n v="2654"/>
    <n v="2978"/>
    <n v="36958"/>
    <n v="2"/>
    <n v="73916"/>
    <n v="0.98811840737921219"/>
    <x v="2"/>
    <n v="3079.8333333333335"/>
    <n v="196.41691897748032"/>
    <n v="6.3775177978509762E-2"/>
    <x v="0"/>
    <s v="CX"/>
  </r>
  <r>
    <s v="ITM_550"/>
    <s v="Consider North"/>
    <s v="Grocery"/>
    <n v="2889"/>
    <n v="2773"/>
    <n v="3420"/>
    <n v="2860"/>
    <n v="3238"/>
    <n v="2961"/>
    <n v="3125"/>
    <n v="3126"/>
    <n v="3142"/>
    <n v="2916"/>
    <n v="3056"/>
    <n v="2915"/>
    <n v="36421"/>
    <n v="2"/>
    <n v="72842"/>
    <n v="0.98818633876219253"/>
    <x v="2"/>
    <n v="3035.0833333333335"/>
    <n v="183.97799193151207"/>
    <n v="6.061711384031588E-2"/>
    <x v="0"/>
    <s v="CX"/>
  </r>
  <r>
    <s v="ITM_963"/>
    <s v="Night Why"/>
    <s v="Apparel"/>
    <n v="544"/>
    <n v="816"/>
    <n v="639"/>
    <n v="327"/>
    <n v="775"/>
    <n v="492"/>
    <n v="731"/>
    <n v="806"/>
    <n v="309"/>
    <n v="759"/>
    <n v="730"/>
    <n v="355"/>
    <n v="7283"/>
    <n v="10"/>
    <n v="72830"/>
    <n v="0.98825425895414842"/>
    <x v="2"/>
    <n v="606.91666666666663"/>
    <n v="194.01052376954547"/>
    <n v="0.31966583622608069"/>
    <x v="1"/>
    <s v="CY"/>
  </r>
  <r>
    <s v="ITM_207"/>
    <s v="Identify Especially"/>
    <s v="Electronics"/>
    <n v="129"/>
    <n v="107"/>
    <n v="111"/>
    <n v="124"/>
    <n v="129"/>
    <n v="119"/>
    <n v="129"/>
    <n v="120"/>
    <n v="144"/>
    <n v="97"/>
    <n v="130"/>
    <n v="111"/>
    <n v="1450"/>
    <n v="50"/>
    <n v="72500"/>
    <n v="0.9883218713929347"/>
    <x v="2"/>
    <n v="120.83333333333333"/>
    <n v="12.748143061448229"/>
    <n v="0.10550187361198535"/>
    <x v="0"/>
    <s v="CX"/>
  </r>
  <r>
    <s v="ITM_987"/>
    <s v="Remain End"/>
    <s v="Grocery"/>
    <n v="3053"/>
    <n v="3263"/>
    <n v="3210"/>
    <n v="2863"/>
    <n v="3054"/>
    <n v="2779"/>
    <n v="2701"/>
    <n v="2944"/>
    <n v="2823"/>
    <n v="3283"/>
    <n v="3284"/>
    <n v="2976"/>
    <n v="36233"/>
    <n v="2"/>
    <n v="72466"/>
    <n v="0.98838945212381857"/>
    <x v="2"/>
    <n v="3019.4166666666665"/>
    <n v="206.10388304459622"/>
    <n v="6.8259503671657187E-2"/>
    <x v="0"/>
    <s v="CX"/>
  </r>
  <r>
    <s v="ITM_888"/>
    <s v="Instead Nearly"/>
    <s v="Apparel"/>
    <n v="876"/>
    <n v="829"/>
    <n v="833"/>
    <n v="765"/>
    <n v="519"/>
    <n v="553"/>
    <n v="394"/>
    <n v="451"/>
    <n v="378"/>
    <n v="559"/>
    <n v="676"/>
    <n v="336"/>
    <n v="7169"/>
    <n v="10"/>
    <n v="71690"/>
    <n v="0.98845630916846117"/>
    <x v="2"/>
    <n v="597.41666666666663"/>
    <n v="193.03671734264512"/>
    <n v="0.32311906934185264"/>
    <x v="1"/>
    <s v="CY"/>
  </r>
  <r>
    <s v="ITM_611"/>
    <s v="Film City"/>
    <s v="Grocery"/>
    <n v="3002"/>
    <n v="2900"/>
    <n v="3156"/>
    <n v="2853"/>
    <n v="2593"/>
    <n v="2976"/>
    <n v="2955"/>
    <n v="3044"/>
    <n v="3131"/>
    <n v="2826"/>
    <n v="3287"/>
    <n v="3046"/>
    <n v="35769"/>
    <n v="2"/>
    <n v="71538"/>
    <n v="0.98852302446012863"/>
    <x v="2"/>
    <n v="2980.75"/>
    <n v="179.29413365650413"/>
    <n v="6.0150678069782477E-2"/>
    <x v="0"/>
    <s v="CX"/>
  </r>
  <r>
    <s v="ITM_134"/>
    <s v="Student Within"/>
    <s v="Grocery"/>
    <n v="3122"/>
    <n v="3209"/>
    <n v="3264"/>
    <n v="2792"/>
    <n v="3058"/>
    <n v="2758"/>
    <n v="2843"/>
    <n v="2844"/>
    <n v="2851"/>
    <n v="3114"/>
    <n v="2887"/>
    <n v="2891"/>
    <n v="35633"/>
    <n v="2"/>
    <n v="71266"/>
    <n v="0.98858948608857755"/>
    <x v="2"/>
    <n v="2969.4166666666665"/>
    <n v="173.48327576367981"/>
    <n v="5.842335220621777E-2"/>
    <x v="0"/>
    <s v="CX"/>
  </r>
  <r>
    <s v="ITM_541"/>
    <s v="Thousand Over"/>
    <s v="Apparel"/>
    <n v="752"/>
    <n v="682"/>
    <n v="378"/>
    <n v="279"/>
    <n v="846"/>
    <n v="773"/>
    <n v="707"/>
    <n v="548"/>
    <n v="612"/>
    <n v="331"/>
    <n v="343"/>
    <n v="794"/>
    <n v="7045"/>
    <n v="10"/>
    <n v="70450"/>
    <n v="0.98865518672737052"/>
    <x v="2"/>
    <n v="587.08333333333337"/>
    <n v="204.70353655662097"/>
    <n v="0.34867884154427986"/>
    <x v="1"/>
    <s v="CY"/>
  </r>
  <r>
    <s v="ITM_714"/>
    <s v="Success Almost"/>
    <s v="Apparel"/>
    <n v="558"/>
    <n v="370"/>
    <n v="791"/>
    <n v="791"/>
    <n v="831"/>
    <n v="460"/>
    <n v="767"/>
    <n v="789"/>
    <n v="414"/>
    <n v="291"/>
    <n v="644"/>
    <n v="332"/>
    <n v="7038"/>
    <n v="10"/>
    <n v="70380"/>
    <n v="0.98872082208518808"/>
    <x v="2"/>
    <n v="586.5"/>
    <n v="205.79049364032167"/>
    <n v="0.35087893203805909"/>
    <x v="1"/>
    <s v="CY"/>
  </r>
  <r>
    <s v="ITM_246"/>
    <s v="Attack Of"/>
    <s v="Home &amp; Kitchen"/>
    <n v="123"/>
    <n v="116"/>
    <n v="114"/>
    <n v="118"/>
    <n v="127"/>
    <n v="108"/>
    <n v="108"/>
    <n v="122"/>
    <n v="118"/>
    <n v="106"/>
    <n v="120"/>
    <n v="125"/>
    <n v="1405"/>
    <n v="50"/>
    <n v="70250"/>
    <n v="0.98878633620690859"/>
    <x v="2"/>
    <n v="117.08333333333333"/>
    <n v="6.9342146875715729"/>
    <n v="5.9224609431216282E-2"/>
    <x v="0"/>
    <s v="CX"/>
  </r>
  <r>
    <s v="ITM_657"/>
    <s v="West Fear"/>
    <s v="Apparel"/>
    <n v="700"/>
    <n v="279"/>
    <n v="867"/>
    <n v="608"/>
    <n v="357"/>
    <n v="583"/>
    <n v="473"/>
    <n v="449"/>
    <n v="858"/>
    <n v="852"/>
    <n v="344"/>
    <n v="613"/>
    <n v="6983"/>
    <n v="10"/>
    <n v="69830"/>
    <n v="0.98885145864277679"/>
    <x v="2"/>
    <n v="581.91666666666663"/>
    <n v="207.69534434022842"/>
    <n v="0.35691595762319078"/>
    <x v="1"/>
    <s v="CY"/>
  </r>
  <r>
    <s v="ITM_414"/>
    <s v="Base Protect"/>
    <s v="Apparel"/>
    <n v="570"/>
    <n v="654"/>
    <n v="394"/>
    <n v="643"/>
    <n v="469"/>
    <n v="573"/>
    <n v="859"/>
    <n v="822"/>
    <n v="372"/>
    <n v="593"/>
    <n v="456"/>
    <n v="530"/>
    <n v="6935"/>
    <n v="10"/>
    <n v="69350"/>
    <n v="0.98891613343767093"/>
    <x v="2"/>
    <n v="577.91666666666663"/>
    <n v="152.00864708258794"/>
    <n v="0.26302866113785944"/>
    <x v="1"/>
    <s v="CY"/>
  </r>
  <r>
    <s v="ITM_739"/>
    <s v="Music Room"/>
    <s v="Apparel"/>
    <n v="424"/>
    <n v="439"/>
    <n v="455"/>
    <n v="530"/>
    <n v="703"/>
    <n v="626"/>
    <n v="673"/>
    <n v="627"/>
    <n v="589"/>
    <n v="607"/>
    <n v="810"/>
    <n v="444"/>
    <n v="6927"/>
    <n v="10"/>
    <n v="69270"/>
    <n v="0.98898073362573613"/>
    <x v="2"/>
    <n v="577.25"/>
    <n v="121.56563883538205"/>
    <n v="0.21059443713361983"/>
    <x v="1"/>
    <s v="CY"/>
  </r>
  <r>
    <s v="ITM_637"/>
    <s v="News Respond"/>
    <s v="Grocery"/>
    <n v="2831"/>
    <n v="2805"/>
    <n v="2973"/>
    <n v="3063"/>
    <n v="2707"/>
    <n v="3157"/>
    <n v="3136"/>
    <n v="2881"/>
    <n v="2830"/>
    <n v="2663"/>
    <n v="2602"/>
    <n v="2823"/>
    <n v="34471"/>
    <n v="2"/>
    <n v="68942"/>
    <n v="0.9890450279258024"/>
    <x v="2"/>
    <n v="2872.5833333333335"/>
    <n v="178.8399275804195"/>
    <n v="6.2257524613879317E-2"/>
    <x v="0"/>
    <s v="CX"/>
  </r>
  <r>
    <s v="ITM_716"/>
    <s v="Write For"/>
    <s v="Apparel"/>
    <n v="839"/>
    <n v="491"/>
    <n v="905"/>
    <n v="427"/>
    <n v="574"/>
    <n v="359"/>
    <n v="363"/>
    <n v="422"/>
    <n v="686"/>
    <n v="711"/>
    <n v="473"/>
    <n v="594"/>
    <n v="6844"/>
    <n v="10"/>
    <n v="68440"/>
    <n v="0.98910885406801663"/>
    <x v="2"/>
    <n v="570.33333333333337"/>
    <n v="181.88074681121708"/>
    <n v="0.31890253678179498"/>
    <x v="1"/>
    <s v="CY"/>
  </r>
  <r>
    <s v="ITM_780"/>
    <s v="Design Law"/>
    <s v="Grocery"/>
    <n v="2872"/>
    <n v="2915"/>
    <n v="2894"/>
    <n v="2458"/>
    <n v="2701"/>
    <n v="2815"/>
    <n v="2838"/>
    <n v="2895"/>
    <n v="3221"/>
    <n v="2537"/>
    <n v="2823"/>
    <n v="2863"/>
    <n v="33832"/>
    <n v="2"/>
    <n v="67664"/>
    <n v="0.98917195652398948"/>
    <x v="2"/>
    <n v="2819.3333333333335"/>
    <n v="193.32654115550588"/>
    <n v="6.8571721857001375E-2"/>
    <x v="0"/>
    <s v="CX"/>
  </r>
  <r>
    <s v="ITM_562"/>
    <s v="Central Front"/>
    <s v="Apparel"/>
    <n v="704"/>
    <n v="646"/>
    <n v="699"/>
    <n v="292"/>
    <n v="828"/>
    <n v="512"/>
    <n v="528"/>
    <n v="334"/>
    <n v="257"/>
    <n v="469"/>
    <n v="749"/>
    <n v="716"/>
    <n v="6734"/>
    <n v="10"/>
    <n v="67340"/>
    <n v="0.98923475682230488"/>
    <x v="2"/>
    <n v="561.16666666666663"/>
    <n v="192.03116855596562"/>
    <n v="0.34219988456661532"/>
    <x v="1"/>
    <s v="CY"/>
  </r>
  <r>
    <s v="ITM_493"/>
    <s v="Police Actually"/>
    <s v="Toys"/>
    <n v="122"/>
    <n v="112"/>
    <n v="102"/>
    <n v="99"/>
    <n v="108"/>
    <n v="121"/>
    <n v="123"/>
    <n v="108"/>
    <n v="120"/>
    <n v="91"/>
    <n v="127"/>
    <n v="111"/>
    <n v="1344"/>
    <n v="50"/>
    <n v="67200"/>
    <n v="0.98929742655866959"/>
    <x v="2"/>
    <n v="112"/>
    <n v="11.012389716711231"/>
    <n v="9.8324908184921705E-2"/>
    <x v="0"/>
    <s v="CX"/>
  </r>
  <r>
    <s v="ITM_460"/>
    <s v="Certainly Build"/>
    <s v="Apparel"/>
    <n v="782"/>
    <n v="831"/>
    <n v="705"/>
    <n v="433"/>
    <n v="527"/>
    <n v="443"/>
    <n v="246"/>
    <n v="623"/>
    <n v="548"/>
    <n v="685"/>
    <n v="400"/>
    <n v="447"/>
    <n v="6670"/>
    <n v="10"/>
    <n v="66700"/>
    <n v="0.98935963000235294"/>
    <x v="2"/>
    <n v="555.83333333333337"/>
    <n v="173.50705164256857"/>
    <n v="0.31215661464929878"/>
    <x v="1"/>
    <s v="CY"/>
  </r>
  <r>
    <s v="ITM_259"/>
    <s v="Case Knowledge"/>
    <s v="Grocery"/>
    <n v="2776"/>
    <n v="2640"/>
    <n v="2499"/>
    <n v="2946"/>
    <n v="2737"/>
    <n v="2794"/>
    <n v="2763"/>
    <n v="2789"/>
    <n v="2689"/>
    <n v="2793"/>
    <n v="2891"/>
    <n v="2950"/>
    <n v="33267"/>
    <n v="2"/>
    <n v="66534"/>
    <n v="0.98942167863686614"/>
    <x v="2"/>
    <n v="2772.25"/>
    <n v="127.02836118542405"/>
    <n v="4.5821394602010658E-2"/>
    <x v="0"/>
    <s v="CX"/>
  </r>
  <r>
    <s v="ITM_424"/>
    <s v="Hope Fact"/>
    <s v="Grocery"/>
    <n v="2702"/>
    <n v="2716"/>
    <n v="2787"/>
    <n v="2909"/>
    <n v="2570"/>
    <n v="2955"/>
    <n v="2677"/>
    <n v="2857"/>
    <n v="2874"/>
    <n v="2922"/>
    <n v="2791"/>
    <n v="2422"/>
    <n v="33182"/>
    <n v="2"/>
    <n v="66364"/>
    <n v="0.9894835687318676"/>
    <x v="2"/>
    <n v="2765.1666666666665"/>
    <n v="157.47371112973013"/>
    <n v="5.6949084851930613E-2"/>
    <x v="0"/>
    <s v="CX"/>
  </r>
  <r>
    <s v="ITM_016"/>
    <s v="Without Write"/>
    <s v="Grocery"/>
    <n v="2829"/>
    <n v="3018"/>
    <n v="2878"/>
    <n v="2427"/>
    <n v="2987"/>
    <n v="2597"/>
    <n v="2541"/>
    <n v="2887"/>
    <n v="2792"/>
    <n v="2821"/>
    <n v="2245"/>
    <n v="2947"/>
    <n v="32969"/>
    <n v="2"/>
    <n v="65938"/>
    <n v="0.9895450615455047"/>
    <x v="2"/>
    <n v="2747.4166666666665"/>
    <n v="241.46614983295592"/>
    <n v="8.7888434529269047E-2"/>
    <x v="0"/>
    <s v="CX"/>
  </r>
  <r>
    <s v="ITM_194"/>
    <s v="First Establish"/>
    <s v="Grocery"/>
    <n v="2690"/>
    <n v="2735"/>
    <n v="2806"/>
    <n v="2961"/>
    <n v="2653"/>
    <n v="2352"/>
    <n v="2693"/>
    <n v="3189"/>
    <n v="2801"/>
    <n v="2679"/>
    <n v="2579"/>
    <n v="2709"/>
    <n v="32847"/>
    <n v="2"/>
    <n v="65694"/>
    <n v="0.98960632680831329"/>
    <x v="2"/>
    <n v="2737.25"/>
    <n v="202.68162449785848"/>
    <n v="7.4045711753715771E-2"/>
    <x v="0"/>
    <s v="CX"/>
  </r>
  <r>
    <s v="ITM_334"/>
    <s v="Head Clear"/>
    <s v="Grocery"/>
    <n v="2710"/>
    <n v="2754"/>
    <n v="2974"/>
    <n v="2766"/>
    <n v="2594"/>
    <n v="2490"/>
    <n v="2754"/>
    <n v="2789"/>
    <n v="2574"/>
    <n v="2995"/>
    <n v="2705"/>
    <n v="2738"/>
    <n v="32843"/>
    <n v="2"/>
    <n v="65686"/>
    <n v="0.98966758461043902"/>
    <x v="2"/>
    <n v="2736.9166666666665"/>
    <n v="146.67122065932693"/>
    <n v="5.3589947566054362E-2"/>
    <x v="0"/>
    <s v="CX"/>
  </r>
  <r>
    <s v="ITM_470"/>
    <s v="Whom Available"/>
    <s v="Grocery"/>
    <n v="2704"/>
    <n v="2617"/>
    <n v="2759"/>
    <n v="2979"/>
    <n v="2851"/>
    <n v="3052"/>
    <n v="2565"/>
    <n v="2572"/>
    <n v="2923"/>
    <n v="2593"/>
    <n v="2552"/>
    <n v="2617"/>
    <n v="32784"/>
    <n v="2"/>
    <n v="65568"/>
    <n v="0.98972873236749193"/>
    <x v="2"/>
    <n v="2732"/>
    <n v="177.66771845728806"/>
    <n v="6.5032107780852139E-2"/>
    <x v="0"/>
    <s v="CX"/>
  </r>
  <r>
    <s v="ITM_621"/>
    <s v="However Moment"/>
    <s v="Apparel"/>
    <n v="631"/>
    <n v="455"/>
    <n v="408"/>
    <n v="371"/>
    <n v="510"/>
    <n v="853"/>
    <n v="836"/>
    <n v="295"/>
    <n v="488"/>
    <n v="401"/>
    <n v="800"/>
    <n v="481"/>
    <n v="6529"/>
    <n v="10"/>
    <n v="65290"/>
    <n v="0.98978962086581412"/>
    <x v="2"/>
    <n v="544.08333333333337"/>
    <n v="190.90857323162132"/>
    <n v="0.35088112709135483"/>
    <x v="1"/>
    <s v="CY"/>
  </r>
  <r>
    <s v="ITM_556"/>
    <s v="Similar His"/>
    <s v="Grocery"/>
    <n v="2844"/>
    <n v="2703"/>
    <n v="2473"/>
    <n v="2686"/>
    <n v="2780"/>
    <n v="3265"/>
    <n v="3023"/>
    <n v="2723"/>
    <n v="2211"/>
    <n v="2530"/>
    <n v="2629"/>
    <n v="2701"/>
    <n v="32568"/>
    <n v="2"/>
    <n v="65136"/>
    <n v="0.98985036574599039"/>
    <x v="2"/>
    <n v="2714"/>
    <n v="265.20386669332504"/>
    <n v="9.7716973726354101E-2"/>
    <x v="0"/>
    <s v="CX"/>
  </r>
  <r>
    <s v="ITM_154"/>
    <s v="Recent City"/>
    <s v="Grocery"/>
    <n v="2778"/>
    <n v="2255"/>
    <n v="2824"/>
    <n v="3109"/>
    <n v="2539"/>
    <n v="2558"/>
    <n v="2680"/>
    <n v="2594"/>
    <n v="3005"/>
    <n v="2835"/>
    <n v="2757"/>
    <n v="2607"/>
    <n v="32541"/>
    <n v="2"/>
    <n v="65082"/>
    <n v="0.98991106026655717"/>
    <x v="2"/>
    <n v="2711.75"/>
    <n v="226.83158550302952"/>
    <n v="8.3647676040575089E-2"/>
    <x v="0"/>
    <s v="CX"/>
  </r>
  <r>
    <s v="ITM_452"/>
    <s v="Old Despite"/>
    <s v="Toys"/>
    <n v="118"/>
    <n v="106"/>
    <n v="91"/>
    <n v="110"/>
    <n v="103"/>
    <n v="98"/>
    <n v="108"/>
    <n v="103"/>
    <n v="121"/>
    <n v="106"/>
    <n v="119"/>
    <n v="110"/>
    <n v="1293"/>
    <n v="50"/>
    <n v="64650"/>
    <n v="0.98997135191024721"/>
    <x v="2"/>
    <n v="107.75"/>
    <n v="8.7607077339676156"/>
    <n v="8.130587224099875E-2"/>
    <x v="0"/>
    <s v="CX"/>
  </r>
  <r>
    <s v="ITM_571"/>
    <s v="Out Lay"/>
    <s v="Grocery"/>
    <n v="2827"/>
    <n v="2471"/>
    <n v="2472"/>
    <n v="3232"/>
    <n v="2648"/>
    <n v="2406"/>
    <n v="2926"/>
    <n v="2722"/>
    <n v="2699"/>
    <n v="2383"/>
    <n v="2869"/>
    <n v="2541"/>
    <n v="32196"/>
    <n v="2"/>
    <n v="64392"/>
    <n v="0.99003140294691383"/>
    <x v="2"/>
    <n v="2683"/>
    <n v="251.38561468932002"/>
    <n v="9.3695719228222146E-2"/>
    <x v="0"/>
    <s v="CX"/>
  </r>
  <r>
    <s v="ITM_912"/>
    <s v="Only Wall"/>
    <s v="Grocery"/>
    <n v="2476"/>
    <n v="2511"/>
    <n v="2957"/>
    <n v="2415"/>
    <n v="2431"/>
    <n v="2836"/>
    <n v="2790"/>
    <n v="2332"/>
    <n v="2672"/>
    <n v="3056"/>
    <n v="2964"/>
    <n v="2727"/>
    <n v="32167"/>
    <n v="2"/>
    <n v="64334"/>
    <n v="0.99009139989362926"/>
    <x v="2"/>
    <n v="2680.5833333333335"/>
    <n v="245.12944941335991"/>
    <n v="9.1446308109563182E-2"/>
    <x v="0"/>
    <s v="CX"/>
  </r>
  <r>
    <s v="ITM_223"/>
    <s v="Baby Only"/>
    <s v="Grocery"/>
    <n v="2863"/>
    <n v="2740"/>
    <n v="2548"/>
    <n v="2619"/>
    <n v="2401"/>
    <n v="2815"/>
    <n v="2427"/>
    <n v="2566"/>
    <n v="2811"/>
    <n v="2522"/>
    <n v="2741"/>
    <n v="2620"/>
    <n v="31673"/>
    <n v="2"/>
    <n v="63346"/>
    <n v="0.99015047544600665"/>
    <x v="2"/>
    <n v="2639.4166666666665"/>
    <n v="154.03273461616311"/>
    <n v="5.8358627707951805E-2"/>
    <x v="0"/>
    <s v="CX"/>
  </r>
  <r>
    <s v="ITM_707"/>
    <s v="Top Recognize"/>
    <s v="Apparel"/>
    <n v="268"/>
    <n v="726"/>
    <n v="655"/>
    <n v="519"/>
    <n v="206"/>
    <n v="777"/>
    <n v="561"/>
    <n v="323"/>
    <n v="486"/>
    <n v="608"/>
    <n v="775"/>
    <n v="425"/>
    <n v="6329"/>
    <n v="10"/>
    <n v="63290"/>
    <n v="0.99020949877360365"/>
    <x v="2"/>
    <n v="527.41666666666663"/>
    <n v="193.43566387976662"/>
    <n v="0.36676062040720486"/>
    <x v="1"/>
    <s v="CY"/>
  </r>
  <r>
    <s v="ITM_577"/>
    <s v="Bed Ago"/>
    <s v="Grocery"/>
    <n v="2775"/>
    <n v="2852"/>
    <n v="2589"/>
    <n v="2718"/>
    <n v="2818"/>
    <n v="2866"/>
    <n v="2441"/>
    <n v="2416"/>
    <n v="2303"/>
    <n v="2732"/>
    <n v="2510"/>
    <n v="2512"/>
    <n v="31532"/>
    <n v="2"/>
    <n v="63064"/>
    <n v="0.99026831133690862"/>
    <x v="2"/>
    <n v="2627.6666666666665"/>
    <n v="190.18714865929167"/>
    <n v="7.2378719520217558E-2"/>
    <x v="0"/>
    <s v="CX"/>
  </r>
  <r>
    <s v="ITM_979"/>
    <s v="It Audience"/>
    <s v="Grocery"/>
    <n v="2776"/>
    <n v="2679"/>
    <n v="2721"/>
    <n v="2696"/>
    <n v="2699"/>
    <n v="2449"/>
    <n v="2215"/>
    <n v="2477"/>
    <n v="2571"/>
    <n v="2750"/>
    <n v="2798"/>
    <n v="2655"/>
    <n v="31486"/>
    <n v="2"/>
    <n v="62972"/>
    <n v="0.99032703810236034"/>
    <x v="2"/>
    <n v="2623.8333333333335"/>
    <n v="169.43319055192836"/>
    <n v="6.4574677209653181E-2"/>
    <x v="0"/>
    <s v="CX"/>
  </r>
  <r>
    <s v="ITM_506"/>
    <s v="Range Law"/>
    <s v="Grocery"/>
    <n v="2673"/>
    <n v="2649"/>
    <n v="2825"/>
    <n v="2418"/>
    <n v="2621"/>
    <n v="2629"/>
    <n v="2934"/>
    <n v="2494"/>
    <n v="2516"/>
    <n v="2591"/>
    <n v="2524"/>
    <n v="2586"/>
    <n v="31460"/>
    <n v="2"/>
    <n v="62920"/>
    <n v="0.99038571637337325"/>
    <x v="2"/>
    <n v="2621.6666666666665"/>
    <n v="142.39147914581594"/>
    <n v="5.4313342331525474E-2"/>
    <x v="0"/>
    <s v="CX"/>
  </r>
  <r>
    <s v="ITM_872"/>
    <s v="Hand Dream"/>
    <s v="Apparel"/>
    <n v="475"/>
    <n v="479"/>
    <n v="554"/>
    <n v="607"/>
    <n v="275"/>
    <n v="697"/>
    <n v="273"/>
    <n v="425"/>
    <n v="535"/>
    <n v="541"/>
    <n v="591"/>
    <n v="806"/>
    <n v="6258"/>
    <n v="10"/>
    <n v="62580"/>
    <n v="0.99044407756536279"/>
    <x v="2"/>
    <n v="521.5"/>
    <n v="154.12362216445248"/>
    <n v="0.29553906455312079"/>
    <x v="1"/>
    <s v="CY"/>
  </r>
  <r>
    <s v="ITM_549"/>
    <s v="Treat Probably"/>
    <s v="Grocery"/>
    <n v="2552"/>
    <n v="2658"/>
    <n v="2535"/>
    <n v="2554"/>
    <n v="2615"/>
    <n v="2632"/>
    <n v="2696"/>
    <n v="2325"/>
    <n v="2539"/>
    <n v="2502"/>
    <n v="2713"/>
    <n v="2875"/>
    <n v="31196"/>
    <n v="2"/>
    <n v="62392"/>
    <n v="0.99050226343130421"/>
    <x v="2"/>
    <n v="2599.6666666666665"/>
    <n v="134.77815666921521"/>
    <n v="5.184439928293956E-2"/>
    <x v="0"/>
    <s v="CX"/>
  </r>
  <r>
    <s v="ITM_468"/>
    <s v="Physical Threat"/>
    <s v="Home &amp; Kitchen"/>
    <n v="482"/>
    <n v="506"/>
    <n v="480"/>
    <n v="517"/>
    <n v="484"/>
    <n v="496"/>
    <n v="496"/>
    <n v="492"/>
    <n v="499"/>
    <n v="515"/>
    <n v="544"/>
    <n v="537"/>
    <n v="6048"/>
    <n v="10"/>
    <n v="60480"/>
    <n v="0.99055866619403243"/>
    <x v="2"/>
    <n v="504"/>
    <n v="20.758349908147586"/>
    <n v="4.118720219870553E-2"/>
    <x v="0"/>
    <s v="CX"/>
  </r>
  <r>
    <s v="ITM_667"/>
    <s v="Drug Director"/>
    <s v="Electronics"/>
    <n v="95"/>
    <n v="93"/>
    <n v="89"/>
    <n v="103"/>
    <n v="105"/>
    <n v="92"/>
    <n v="104"/>
    <n v="97"/>
    <n v="102"/>
    <n v="98"/>
    <n v="109"/>
    <n v="121"/>
    <n v="1208"/>
    <n v="50"/>
    <n v="60400"/>
    <n v="0.99061499434993161"/>
    <x v="2"/>
    <n v="100.66666666666667"/>
    <n v="8.7524888235324596"/>
    <n v="8.6945253213898607E-2"/>
    <x v="0"/>
    <s v="CX"/>
  </r>
  <r>
    <s v="ITM_608"/>
    <s v="Unit Face"/>
    <s v="Grocery"/>
    <n v="2171"/>
    <n v="2644"/>
    <n v="2371"/>
    <n v="2414"/>
    <n v="2490"/>
    <n v="2600"/>
    <n v="2581"/>
    <n v="2715"/>
    <n v="2633"/>
    <n v="2516"/>
    <n v="2569"/>
    <n v="2416"/>
    <n v="30120"/>
    <n v="2"/>
    <n v="60240"/>
    <n v="0.99067117329217269"/>
    <x v="2"/>
    <n v="2510"/>
    <n v="149.07655141509741"/>
    <n v="5.9393048372548773E-2"/>
    <x v="0"/>
    <s v="CX"/>
  </r>
  <r>
    <s v="ITM_244"/>
    <s v="Recent Expert"/>
    <s v="Grocery"/>
    <n v="2001"/>
    <n v="2706"/>
    <n v="2540"/>
    <n v="2562"/>
    <n v="2598"/>
    <n v="2447"/>
    <n v="2564"/>
    <n v="2625"/>
    <n v="2655"/>
    <n v="2658"/>
    <n v="2288"/>
    <n v="2362"/>
    <n v="30006"/>
    <n v="2"/>
    <n v="60012"/>
    <n v="0.99072713960495129"/>
    <x v="2"/>
    <n v="2500.5"/>
    <n v="200.45153574322694"/>
    <n v="8.016458138101458E-2"/>
    <x v="0"/>
    <s v="CX"/>
  </r>
  <r>
    <s v="ITM_891"/>
    <s v="Gas Word"/>
    <s v="Apparel"/>
    <n v="814"/>
    <n v="385"/>
    <n v="432"/>
    <n v="706"/>
    <n v="519"/>
    <n v="337"/>
    <n v="439"/>
    <n v="556"/>
    <n v="372"/>
    <n v="743"/>
    <n v="307"/>
    <n v="386"/>
    <n v="5996"/>
    <n v="10"/>
    <n v="59960"/>
    <n v="0.99078305742329087"/>
    <x v="2"/>
    <n v="499.66666666666669"/>
    <n v="170.11885328329788"/>
    <n v="0.34046468302194371"/>
    <x v="1"/>
    <s v="CY"/>
  </r>
  <r>
    <s v="ITM_597"/>
    <s v="Evening He"/>
    <s v="Electronics"/>
    <n v="509"/>
    <n v="498"/>
    <n v="507"/>
    <n v="540"/>
    <n v="503"/>
    <n v="495"/>
    <n v="475"/>
    <n v="474"/>
    <n v="501"/>
    <n v="470"/>
    <n v="492"/>
    <n v="498"/>
    <n v="5962"/>
    <n v="10"/>
    <n v="59620"/>
    <n v="0.9908386581626073"/>
    <x v="2"/>
    <n v="496.83333333333331"/>
    <n v="18.871976980473328"/>
    <n v="3.7984522604105994E-2"/>
    <x v="0"/>
    <s v="CX"/>
  </r>
  <r>
    <s v="ITM_735"/>
    <s v="She Mouth"/>
    <s v="Toys"/>
    <n v="548"/>
    <n v="491"/>
    <n v="502"/>
    <n v="448"/>
    <n v="488"/>
    <n v="486"/>
    <n v="467"/>
    <n v="530"/>
    <n v="489"/>
    <n v="501"/>
    <n v="493"/>
    <n v="514"/>
    <n v="5957"/>
    <n v="10"/>
    <n v="59570"/>
    <n v="0.99089421227265551"/>
    <x v="2"/>
    <n v="496.41666666666669"/>
    <n v="26.345461342199595"/>
    <n v="5.3071266762866401E-2"/>
    <x v="0"/>
    <s v="CX"/>
  </r>
  <r>
    <s v="ITM_804"/>
    <s v="At Hear"/>
    <s v="Electronics"/>
    <n v="494"/>
    <n v="508"/>
    <n v="498"/>
    <n v="498"/>
    <n v="486"/>
    <n v="507"/>
    <n v="463"/>
    <n v="494"/>
    <n v="503"/>
    <n v="487"/>
    <n v="531"/>
    <n v="467"/>
    <n v="5936"/>
    <n v="10"/>
    <n v="59360"/>
    <n v="0.99094957053977761"/>
    <x v="2"/>
    <n v="494.66666666666669"/>
    <n v="18.202563921968064"/>
    <n v="3.6797635960851879E-2"/>
    <x v="0"/>
    <s v="CX"/>
  </r>
  <r>
    <s v="ITM_761"/>
    <s v="Their Old"/>
    <s v="Apparel"/>
    <n v="344"/>
    <n v="756"/>
    <n v="584"/>
    <n v="469"/>
    <n v="414"/>
    <n v="775"/>
    <n v="239"/>
    <n v="517"/>
    <n v="550"/>
    <n v="368"/>
    <n v="658"/>
    <n v="247"/>
    <n v="5921"/>
    <n v="10"/>
    <n v="59210"/>
    <n v="0.99100478891909538"/>
    <x v="2"/>
    <n v="493.41666666666669"/>
    <n v="180.32720680793429"/>
    <n v="0.36546638772085988"/>
    <x v="1"/>
    <s v="CY"/>
  </r>
  <r>
    <s v="ITM_444"/>
    <s v="Book Suffer"/>
    <s v="Grocery"/>
    <n v="2416"/>
    <n v="2460"/>
    <n v="2315"/>
    <n v="2620"/>
    <n v="2534"/>
    <n v="2599"/>
    <n v="2550"/>
    <n v="2949"/>
    <n v="2478"/>
    <n v="1994"/>
    <n v="2206"/>
    <n v="2314"/>
    <n v="29435"/>
    <n v="2"/>
    <n v="58870"/>
    <n v="0.99105969021938978"/>
    <x v="2"/>
    <n v="2452.9166666666665"/>
    <n v="238.03913289179741"/>
    <n v="9.7043302011264446E-2"/>
    <x v="0"/>
    <s v="CX"/>
  </r>
  <r>
    <s v="ITM_503"/>
    <s v="Look Resource"/>
    <s v="Electronics"/>
    <n v="454"/>
    <n v="476"/>
    <n v="499"/>
    <n v="503"/>
    <n v="470"/>
    <n v="526"/>
    <n v="495"/>
    <n v="475"/>
    <n v="505"/>
    <n v="499"/>
    <n v="484"/>
    <n v="493"/>
    <n v="5879"/>
    <n v="10"/>
    <n v="58790"/>
    <n v="0.99111451691285524"/>
    <x v="2"/>
    <n v="489.91666666666669"/>
    <n v="19.161791211268387"/>
    <n v="3.9112348109409868E-2"/>
    <x v="0"/>
    <s v="CX"/>
  </r>
  <r>
    <s v="ITM_730"/>
    <s v="Base Such"/>
    <s v="Apparel"/>
    <n v="299"/>
    <n v="672"/>
    <n v="440"/>
    <n v="302"/>
    <n v="346"/>
    <n v="707"/>
    <n v="301"/>
    <n v="398"/>
    <n v="712"/>
    <n v="279"/>
    <n v="650"/>
    <n v="750"/>
    <n v="5856"/>
    <n v="10"/>
    <n v="58560"/>
    <n v="0.99116912911168731"/>
    <x v="2"/>
    <n v="488"/>
    <n v="192.21578782948367"/>
    <n v="0.39388481112599111"/>
    <x v="1"/>
    <s v="CY"/>
  </r>
  <r>
    <s v="ITM_234"/>
    <s v="Better Plant"/>
    <s v="Grocery"/>
    <n v="2533"/>
    <n v="2415"/>
    <n v="2407"/>
    <n v="2549"/>
    <n v="2563"/>
    <n v="2446"/>
    <n v="2338"/>
    <n v="2213"/>
    <n v="2535"/>
    <n v="2466"/>
    <n v="2439"/>
    <n v="2260"/>
    <n v="29164"/>
    <n v="2"/>
    <n v="58328"/>
    <n v="0.9912235249507152"/>
    <x v="2"/>
    <n v="2430.3333333333335"/>
    <n v="112.94514624633526"/>
    <n v="4.6473109139899292E-2"/>
    <x v="0"/>
    <s v="CX"/>
  </r>
  <r>
    <s v="ITM_306"/>
    <s v="Several Treat"/>
    <s v="Electronics"/>
    <n v="479"/>
    <n v="457"/>
    <n v="466"/>
    <n v="448"/>
    <n v="524"/>
    <n v="494"/>
    <n v="514"/>
    <n v="475"/>
    <n v="467"/>
    <n v="475"/>
    <n v="475"/>
    <n v="499"/>
    <n v="5773"/>
    <n v="10"/>
    <n v="57730"/>
    <n v="0.9912773631036963"/>
    <x v="2"/>
    <n v="481.08333333333331"/>
    <n v="22.621222269579004"/>
    <n v="4.7021421658574064E-2"/>
    <x v="0"/>
    <s v="CX"/>
  </r>
  <r>
    <s v="ITM_668"/>
    <s v="Threat Until"/>
    <s v="Electronics"/>
    <n v="505"/>
    <n v="470"/>
    <n v="455"/>
    <n v="458"/>
    <n v="491"/>
    <n v="441"/>
    <n v="482"/>
    <n v="471"/>
    <n v="494"/>
    <n v="500"/>
    <n v="495"/>
    <n v="510"/>
    <n v="5772"/>
    <n v="10"/>
    <n v="57720"/>
    <n v="0.99133119193082375"/>
    <x v="2"/>
    <n v="481"/>
    <n v="21.888145400899297"/>
    <n v="4.5505499793969437E-2"/>
    <x v="0"/>
    <s v="CX"/>
  </r>
  <r>
    <s v="ITM_271"/>
    <s v="Tend Hand"/>
    <s v="Grocery"/>
    <n v="2295"/>
    <n v="2404"/>
    <n v="2555"/>
    <n v="2592"/>
    <n v="2407"/>
    <n v="2094"/>
    <n v="2110"/>
    <n v="2384"/>
    <n v="2644"/>
    <n v="2476"/>
    <n v="2246"/>
    <n v="2614"/>
    <n v="28821"/>
    <n v="2"/>
    <n v="57642"/>
    <n v="0.99138494801629307"/>
    <x v="2"/>
    <n v="2401.75"/>
    <n v="187.02412338324896"/>
    <n v="7.7869937913291956E-2"/>
    <x v="0"/>
    <s v="CX"/>
  </r>
  <r>
    <s v="ITM_069"/>
    <s v="Total When"/>
    <s v="Electronics"/>
    <n v="484"/>
    <n v="492"/>
    <n v="454"/>
    <n v="466"/>
    <n v="453"/>
    <n v="496"/>
    <n v="437"/>
    <n v="490"/>
    <n v="487"/>
    <n v="501"/>
    <n v="517"/>
    <n v="440"/>
    <n v="5717"/>
    <n v="10"/>
    <n v="57170"/>
    <n v="0.99143826392147105"/>
    <x v="2"/>
    <n v="476.41666666666669"/>
    <n v="25.709772932533344"/>
    <n v="5.3964889835648087E-2"/>
    <x v="0"/>
    <s v="CX"/>
  </r>
  <r>
    <s v="ITM_638"/>
    <s v="Until Staff"/>
    <s v="Electronics"/>
    <n v="102"/>
    <n v="93"/>
    <n v="87"/>
    <n v="97"/>
    <n v="110"/>
    <n v="94"/>
    <n v="109"/>
    <n v="97"/>
    <n v="80"/>
    <n v="82"/>
    <n v="102"/>
    <n v="89"/>
    <n v="1142"/>
    <n v="50"/>
    <n v="57100"/>
    <n v="0.99149151454567375"/>
    <x v="2"/>
    <n v="95.166666666666671"/>
    <n v="9.6562116920883749"/>
    <n v="0.10146632250880953"/>
    <x v="0"/>
    <s v="CX"/>
  </r>
  <r>
    <s v="ITM_110"/>
    <s v="Leader Evening"/>
    <s v="Electronics"/>
    <n v="442"/>
    <n v="494"/>
    <n v="438"/>
    <n v="471"/>
    <n v="469"/>
    <n v="487"/>
    <n v="463"/>
    <n v="442"/>
    <n v="492"/>
    <n v="512"/>
    <n v="488"/>
    <n v="491"/>
    <n v="5689"/>
    <n v="10"/>
    <n v="56890"/>
    <n v="0.99154456932695034"/>
    <x v="2"/>
    <n v="474.08333333333331"/>
    <n v="23.971416059106478"/>
    <n v="5.0563718177057085E-2"/>
    <x v="0"/>
    <s v="CX"/>
  </r>
  <r>
    <s v="ITM_211"/>
    <s v="Fund Raise"/>
    <s v="Apparel"/>
    <n v="336"/>
    <n v="695"/>
    <n v="602"/>
    <n v="287"/>
    <n v="517"/>
    <n v="813"/>
    <n v="304"/>
    <n v="517"/>
    <n v="377"/>
    <n v="438"/>
    <n v="429"/>
    <n v="371"/>
    <n v="5686"/>
    <n v="10"/>
    <n v="56860"/>
    <n v="0.991597596130666"/>
    <x v="2"/>
    <n v="473.83333333333331"/>
    <n v="162.39560749396307"/>
    <n v="0.34272727575229633"/>
    <x v="1"/>
    <s v="CY"/>
  </r>
  <r>
    <s v="ITM_216"/>
    <s v="Red Before"/>
    <s v="Home &amp; Kitchen"/>
    <n v="473"/>
    <n v="438"/>
    <n v="497"/>
    <n v="491"/>
    <n v="421"/>
    <n v="489"/>
    <n v="443"/>
    <n v="473"/>
    <n v="465"/>
    <n v="491"/>
    <n v="476"/>
    <n v="465"/>
    <n v="5622"/>
    <n v="10"/>
    <n v="56220"/>
    <n v="0.99165002607974961"/>
    <x v="2"/>
    <n v="468.5"/>
    <n v="23.74677011530391"/>
    <n v="5.0686809210894149E-2"/>
    <x v="0"/>
    <s v="CX"/>
  </r>
  <r>
    <s v="ITM_622"/>
    <s v="Pass Event"/>
    <s v="Grocery"/>
    <n v="2311"/>
    <n v="2366"/>
    <n v="2460"/>
    <n v="2382"/>
    <n v="2359"/>
    <n v="2381"/>
    <n v="2496"/>
    <n v="2180"/>
    <n v="2449"/>
    <n v="2136"/>
    <n v="2259"/>
    <n v="2269"/>
    <n v="28048"/>
    <n v="2"/>
    <n v="56096"/>
    <n v="0.99170234038824834"/>
    <x v="2"/>
    <n v="2337.3333333333335"/>
    <n v="110.64795387610968"/>
    <n v="4.7339398406778241E-2"/>
    <x v="0"/>
    <s v="CX"/>
  </r>
  <r>
    <s v="ITM_902"/>
    <s v="Record Eight"/>
    <s v="Grocery"/>
    <n v="2805"/>
    <n v="2181"/>
    <n v="2398"/>
    <n v="2265"/>
    <n v="2324"/>
    <n v="2134"/>
    <n v="2632"/>
    <n v="2127"/>
    <n v="2140"/>
    <n v="2279"/>
    <n v="2368"/>
    <n v="2367"/>
    <n v="28020"/>
    <n v="2"/>
    <n v="56040"/>
    <n v="0.99175460247196667"/>
    <x v="2"/>
    <n v="2335"/>
    <n v="206.43158673032573"/>
    <n v="8.8407531790289387E-2"/>
    <x v="0"/>
    <s v="CX"/>
  </r>
  <r>
    <s v="ITM_067"/>
    <s v="Role Statement"/>
    <s v="Home &amp; Kitchen"/>
    <n v="442"/>
    <n v="494"/>
    <n v="451"/>
    <n v="458"/>
    <n v="468"/>
    <n v="446"/>
    <n v="459"/>
    <n v="439"/>
    <n v="466"/>
    <n v="499"/>
    <n v="497"/>
    <n v="476"/>
    <n v="5595"/>
    <n v="10"/>
    <n v="55950"/>
    <n v="0.99180678062300243"/>
    <x v="2"/>
    <n v="466.25"/>
    <n v="21.277922830953212"/>
    <n v="4.5636295615985444E-2"/>
    <x v="0"/>
    <s v="CX"/>
  </r>
  <r>
    <s v="ITM_718"/>
    <s v="Though Hundred"/>
    <s v="Grocery"/>
    <n v="2274"/>
    <n v="2411"/>
    <n v="2587"/>
    <n v="1957"/>
    <n v="2528"/>
    <n v="2009"/>
    <n v="2357"/>
    <n v="2161"/>
    <n v="2353"/>
    <n v="2523"/>
    <n v="2581"/>
    <n v="2170"/>
    <n v="27911"/>
    <n v="2"/>
    <n v="55822"/>
    <n v="0.99185883940311181"/>
    <x v="2"/>
    <n v="2325.9166666666665"/>
    <n v="215.86799768433121"/>
    <n v="9.2809858916268667E-2"/>
    <x v="0"/>
    <s v="CX"/>
  </r>
  <r>
    <s v="ITM_524"/>
    <s v="Want Dog"/>
    <s v="Toys"/>
    <n v="473"/>
    <n v="444"/>
    <n v="440"/>
    <n v="476"/>
    <n v="474"/>
    <n v="458"/>
    <n v="456"/>
    <n v="477"/>
    <n v="464"/>
    <n v="464"/>
    <n v="491"/>
    <n v="460"/>
    <n v="5577"/>
    <n v="10"/>
    <n v="55770"/>
    <n v="0.99191084968878229"/>
    <x v="2"/>
    <n v="464.75"/>
    <n v="14.485886548323823"/>
    <n v="3.116920182533367E-2"/>
    <x v="0"/>
    <s v="CX"/>
  </r>
  <r>
    <s v="ITM_180"/>
    <s v="Money Never"/>
    <s v="Grocery"/>
    <n v="2301"/>
    <n v="2533"/>
    <n v="2181"/>
    <n v="2241"/>
    <n v="2566"/>
    <n v="2237"/>
    <n v="2296"/>
    <n v="2207"/>
    <n v="2219"/>
    <n v="2499"/>
    <n v="1945"/>
    <n v="2658"/>
    <n v="27883"/>
    <n v="2"/>
    <n v="55766"/>
    <n v="0.99196285624411129"/>
    <x v="2"/>
    <n v="2323.5833333333335"/>
    <n v="202.03485672856883"/>
    <n v="8.6949692670904341E-2"/>
    <x v="0"/>
    <s v="CX"/>
  </r>
  <r>
    <s v="ITM_903"/>
    <s v="Term Me"/>
    <s v="Electronics"/>
    <n v="440"/>
    <n v="504"/>
    <n v="485"/>
    <n v="430"/>
    <n v="449"/>
    <n v="500"/>
    <n v="423"/>
    <n v="485"/>
    <n v="443"/>
    <n v="495"/>
    <n v="453"/>
    <n v="413"/>
    <n v="5520"/>
    <n v="10"/>
    <n v="55200"/>
    <n v="0.99201433495612512"/>
    <x v="2"/>
    <n v="460"/>
    <n v="32.119096556976253"/>
    <n v="6.9824122949948372E-2"/>
    <x v="0"/>
    <s v="CX"/>
  </r>
  <r>
    <s v="ITM_960"/>
    <s v="Shake Manage"/>
    <s v="Electronics"/>
    <n v="101"/>
    <n v="105"/>
    <n v="89"/>
    <n v="88"/>
    <n v="98"/>
    <n v="78"/>
    <n v="90"/>
    <n v="91"/>
    <n v="93"/>
    <n v="103"/>
    <n v="92"/>
    <n v="76"/>
    <n v="1104"/>
    <n v="50"/>
    <n v="55200"/>
    <n v="0.99206581366813895"/>
    <x v="2"/>
    <n v="92"/>
    <n v="8.9949480770647536"/>
    <n v="9.7771174750703849E-2"/>
    <x v="0"/>
    <s v="CX"/>
  </r>
  <r>
    <s v="ITM_330"/>
    <s v="Wind Perhaps"/>
    <s v="Home &amp; Kitchen"/>
    <n v="429"/>
    <n v="463"/>
    <n v="476"/>
    <n v="474"/>
    <n v="450"/>
    <n v="478"/>
    <n v="428"/>
    <n v="447"/>
    <n v="478"/>
    <n v="465"/>
    <n v="467"/>
    <n v="448"/>
    <n v="5503"/>
    <n v="10"/>
    <n v="55030"/>
    <n v="0.99211713384064115"/>
    <x v="2"/>
    <n v="458.58333333333331"/>
    <n v="17.98210389821115"/>
    <n v="3.9212292709164785E-2"/>
    <x v="0"/>
    <s v="CX"/>
  </r>
  <r>
    <s v="ITM_426"/>
    <s v="Ok One"/>
    <s v="Home &amp; Kitchen"/>
    <n v="471"/>
    <n v="461"/>
    <n v="506"/>
    <n v="470"/>
    <n v="418"/>
    <n v="461"/>
    <n v="480"/>
    <n v="474"/>
    <n v="448"/>
    <n v="431"/>
    <n v="422"/>
    <n v="446"/>
    <n v="5488"/>
    <n v="10"/>
    <n v="54880"/>
    <n v="0.9921683141253389"/>
    <x v="2"/>
    <n v="457.33333333333331"/>
    <n v="25.652691984674941"/>
    <n v="5.6091892094770279E-2"/>
    <x v="0"/>
    <s v="CX"/>
  </r>
  <r>
    <s v="ITM_573"/>
    <s v="Toward Activity"/>
    <s v="Electronics"/>
    <n v="493"/>
    <n v="438"/>
    <n v="431"/>
    <n v="440"/>
    <n v="458"/>
    <n v="444"/>
    <n v="437"/>
    <n v="459"/>
    <n v="490"/>
    <n v="491"/>
    <n v="469"/>
    <n v="434"/>
    <n v="5484"/>
    <n v="10"/>
    <n v="54840"/>
    <n v="0.99221945710662218"/>
    <x v="2"/>
    <n v="457"/>
    <n v="23.575796525635816"/>
    <n v="5.1588176204892373E-2"/>
    <x v="0"/>
    <s v="CX"/>
  </r>
  <r>
    <s v="ITM_814"/>
    <s v="Hot Forget"/>
    <s v="Grocery"/>
    <n v="2438"/>
    <n v="2039"/>
    <n v="2397"/>
    <n v="2651"/>
    <n v="2155"/>
    <n v="2059"/>
    <n v="2517"/>
    <n v="2030"/>
    <n v="2378"/>
    <n v="2135"/>
    <n v="2143"/>
    <n v="2215"/>
    <n v="27157"/>
    <n v="2"/>
    <n v="54314"/>
    <n v="0.99227010954800476"/>
    <x v="2"/>
    <n v="2263.0833333333335"/>
    <n v="206.19913514205956"/>
    <n v="9.1114247586431288E-2"/>
    <x v="0"/>
    <s v="CX"/>
  </r>
  <r>
    <s v="ITM_614"/>
    <s v="Research List"/>
    <s v="Home &amp; Kitchen"/>
    <n v="439"/>
    <n v="501"/>
    <n v="453"/>
    <n v="434"/>
    <n v="438"/>
    <n v="491"/>
    <n v="444"/>
    <n v="432"/>
    <n v="452"/>
    <n v="441"/>
    <n v="430"/>
    <n v="470"/>
    <n v="5425"/>
    <n v="10"/>
    <n v="54250"/>
    <n v="0.99232070230392411"/>
    <x v="2"/>
    <n v="452.08333333333331"/>
    <n v="23.364535414844333"/>
    <n v="5.1681921654955207E-2"/>
    <x v="0"/>
    <s v="CX"/>
  </r>
  <r>
    <s v="ITM_958"/>
    <s v="Six Staff"/>
    <s v="Apparel"/>
    <n v="345"/>
    <n v="584"/>
    <n v="501"/>
    <n v="96"/>
    <n v="352"/>
    <n v="600"/>
    <n v="190"/>
    <n v="551"/>
    <n v="671"/>
    <n v="471"/>
    <n v="494"/>
    <n v="564"/>
    <n v="5419"/>
    <n v="10"/>
    <n v="54190"/>
    <n v="0.9923712391047218"/>
    <x v="2"/>
    <n v="451.58333333333331"/>
    <n v="173.46388585803584"/>
    <n v="0.3841237553601089"/>
    <x v="1"/>
    <s v="CY"/>
  </r>
  <r>
    <s v="ITM_939"/>
    <s v="Admit Forward"/>
    <s v="Grocery"/>
    <n v="2276"/>
    <n v="2439"/>
    <n v="2471"/>
    <n v="1948"/>
    <n v="2398"/>
    <n v="2404"/>
    <n v="2354"/>
    <n v="2371"/>
    <n v="2302"/>
    <n v="1640"/>
    <n v="2180"/>
    <n v="2173"/>
    <n v="26956"/>
    <n v="2"/>
    <n v="53912"/>
    <n v="0.99242151664678857"/>
    <x v="2"/>
    <n v="2246.3333333333335"/>
    <n v="239.88456820021966"/>
    <n v="0.10678939079991971"/>
    <x v="0"/>
    <s v="CX"/>
  </r>
  <r>
    <s v="ITM_267"/>
    <s v="Character Life"/>
    <s v="Apparel"/>
    <n v="387"/>
    <n v="481"/>
    <n v="259"/>
    <n v="394"/>
    <n v="688"/>
    <n v="473"/>
    <n v="273"/>
    <n v="318"/>
    <n v="666"/>
    <n v="617"/>
    <n v="195"/>
    <n v="588"/>
    <n v="5339"/>
    <n v="10"/>
    <n v="53390"/>
    <n v="0.99247130737929623"/>
    <x v="2"/>
    <n v="444.91666666666669"/>
    <n v="167.54291625693631"/>
    <n v="0.37657145440779838"/>
    <x v="1"/>
    <s v="CY"/>
  </r>
  <r>
    <s v="ITM_345"/>
    <s v="Most Role"/>
    <s v="Grocery"/>
    <n v="2279"/>
    <n v="2472"/>
    <n v="2209"/>
    <n v="2101"/>
    <n v="2075"/>
    <n v="2050"/>
    <n v="2109"/>
    <n v="2225"/>
    <n v="2400"/>
    <n v="2273"/>
    <n v="2209"/>
    <n v="2250"/>
    <n v="26652"/>
    <n v="2"/>
    <n v="53304"/>
    <n v="0.99252101790946257"/>
    <x v="2"/>
    <n v="2221"/>
    <n v="127.83369878656623"/>
    <n v="5.7556820705342744E-2"/>
    <x v="0"/>
    <s v="CX"/>
  </r>
  <r>
    <s v="ITM_074"/>
    <s v="Tax Create"/>
    <s v="Apparel"/>
    <n v="430"/>
    <n v="624"/>
    <n v="281"/>
    <n v="490"/>
    <n v="638"/>
    <n v="522"/>
    <n v="498"/>
    <n v="482"/>
    <n v="289"/>
    <n v="472"/>
    <n v="333"/>
    <n v="247"/>
    <n v="5306"/>
    <n v="10"/>
    <n v="53060"/>
    <n v="0.9925705008888005"/>
    <x v="2"/>
    <n v="442.16666666666669"/>
    <n v="129.77591409343978"/>
    <n v="0.29349999418041411"/>
    <x v="1"/>
    <s v="CY"/>
  </r>
  <r>
    <s v="ITM_680"/>
    <s v="Everything On"/>
    <s v="Electronics"/>
    <n v="462"/>
    <n v="410"/>
    <n v="423"/>
    <n v="418"/>
    <n v="441"/>
    <n v="436"/>
    <n v="424"/>
    <n v="461"/>
    <n v="436"/>
    <n v="478"/>
    <n v="467"/>
    <n v="434"/>
    <n v="5290"/>
    <n v="10"/>
    <n v="52900"/>
    <n v="0.99261983465448034"/>
    <x v="2"/>
    <n v="440.83333333333331"/>
    <n v="21.506165430293507"/>
    <n v="4.8785252393860508E-2"/>
    <x v="0"/>
    <s v="CX"/>
  </r>
  <r>
    <s v="ITM_793"/>
    <s v="Within Really"/>
    <s v="Grocery"/>
    <n v="2461"/>
    <n v="2268"/>
    <n v="2107"/>
    <n v="2332"/>
    <n v="2453"/>
    <n v="2229"/>
    <n v="1880"/>
    <n v="2102"/>
    <n v="2062"/>
    <n v="1962"/>
    <n v="2017"/>
    <n v="2356"/>
    <n v="26229"/>
    <n v="2"/>
    <n v="52458"/>
    <n v="0.99266875621743"/>
    <x v="2"/>
    <n v="2185.75"/>
    <n v="192.29434114493239"/>
    <n v="8.7976365615890381E-2"/>
    <x v="0"/>
    <s v="CX"/>
  </r>
  <r>
    <s v="ITM_051"/>
    <s v="Understand Feel"/>
    <s v="Apparel"/>
    <n v="674"/>
    <n v="450"/>
    <n v="217"/>
    <n v="597"/>
    <n v="373"/>
    <n v="455"/>
    <n v="720"/>
    <n v="300"/>
    <n v="319"/>
    <n v="489"/>
    <n v="422"/>
    <n v="227"/>
    <n v="5243"/>
    <n v="10"/>
    <n v="52430"/>
    <n v="0.99271765166798953"/>
    <x v="2"/>
    <n v="436.91666666666669"/>
    <n v="163.64288076247743"/>
    <n v="0.37454025732399943"/>
    <x v="1"/>
    <s v="CY"/>
  </r>
  <r>
    <s v="ITM_029"/>
    <s v="Ever Amount"/>
    <s v="Apparel"/>
    <n v="504"/>
    <n v="69"/>
    <n v="652"/>
    <n v="504"/>
    <n v="406"/>
    <n v="514"/>
    <n v="93"/>
    <n v="273"/>
    <n v="365"/>
    <n v="604"/>
    <n v="663"/>
    <n v="594"/>
    <n v="5241"/>
    <n v="10"/>
    <n v="52410"/>
    <n v="0.99276652846684177"/>
    <x v="2"/>
    <n v="436.75"/>
    <n v="202.60715458963705"/>
    <n v="0.46389732018234014"/>
    <x v="1"/>
    <s v="CY"/>
  </r>
  <r>
    <s v="ITM_248"/>
    <s v="Radio Could"/>
    <s v="Apparel"/>
    <n v="814"/>
    <n v="389"/>
    <n v="460"/>
    <n v="465"/>
    <n v="246"/>
    <n v="464"/>
    <n v="342"/>
    <n v="489"/>
    <n v="462"/>
    <n v="273"/>
    <n v="383"/>
    <n v="417"/>
    <n v="5204"/>
    <n v="10"/>
    <n v="52040"/>
    <n v="0.99281506020910992"/>
    <x v="2"/>
    <n v="433.66666666666669"/>
    <n v="143.14286146322064"/>
    <n v="0.33007577585677317"/>
    <x v="1"/>
    <s v="CY"/>
  </r>
  <r>
    <s v="ITM_858"/>
    <s v="Could Data"/>
    <s v="Grocery"/>
    <n v="2437"/>
    <n v="2169"/>
    <n v="2141"/>
    <n v="1685"/>
    <n v="2175"/>
    <n v="2174"/>
    <n v="2430"/>
    <n v="2288"/>
    <n v="1837"/>
    <n v="2012"/>
    <n v="2407"/>
    <n v="2039"/>
    <n v="25794"/>
    <n v="2"/>
    <n v="51588"/>
    <n v="0.99286317042279415"/>
    <x v="2"/>
    <n v="2149.5"/>
    <n v="232.1952548258391"/>
    <n v="0.10802291455028569"/>
    <x v="0"/>
    <s v="CX"/>
  </r>
  <r>
    <s v="ITM_773"/>
    <s v="Security Institution"/>
    <s v="Toys"/>
    <n v="482"/>
    <n v="403"/>
    <n v="407"/>
    <n v="404"/>
    <n v="437"/>
    <n v="440"/>
    <n v="409"/>
    <n v="409"/>
    <n v="445"/>
    <n v="445"/>
    <n v="419"/>
    <n v="439"/>
    <n v="5139"/>
    <n v="10"/>
    <n v="51390"/>
    <n v="0.9929110959845765"/>
    <x v="2"/>
    <n v="428.25"/>
    <n v="23.901787685138835"/>
    <n v="5.5812697455081925E-2"/>
    <x v="0"/>
    <s v="CX"/>
  </r>
  <r>
    <s v="ITM_698"/>
    <s v="Cultural Try"/>
    <s v="Toys"/>
    <n v="399"/>
    <n v="407"/>
    <n v="460"/>
    <n v="413"/>
    <n v="441"/>
    <n v="450"/>
    <n v="443"/>
    <n v="395"/>
    <n v="442"/>
    <n v="431"/>
    <n v="425"/>
    <n v="427"/>
    <n v="5133"/>
    <n v="10"/>
    <n v="51330"/>
    <n v="0.9929589655912372"/>
    <x v="2"/>
    <n v="427.75"/>
    <n v="20.697496554809803"/>
    <n v="4.8386900186580484E-2"/>
    <x v="0"/>
    <s v="CX"/>
  </r>
  <r>
    <s v="ITM_838"/>
    <s v="Strong Picture"/>
    <s v="Toys"/>
    <n v="425"/>
    <n v="432"/>
    <n v="419"/>
    <n v="433"/>
    <n v="436"/>
    <n v="450"/>
    <n v="430"/>
    <n v="438"/>
    <n v="431"/>
    <n v="427"/>
    <n v="398"/>
    <n v="409"/>
    <n v="5128"/>
    <n v="10"/>
    <n v="51280"/>
    <n v="0.99300678856862978"/>
    <x v="2"/>
    <n v="427.33333333333331"/>
    <n v="13.647066506851361"/>
    <n v="3.1935413042553887E-2"/>
    <x v="0"/>
    <s v="CX"/>
  </r>
  <r>
    <s v="ITM_829"/>
    <s v="Life Before"/>
    <s v="Toys"/>
    <n v="432"/>
    <n v="426"/>
    <n v="461"/>
    <n v="365"/>
    <n v="454"/>
    <n v="412"/>
    <n v="432"/>
    <n v="414"/>
    <n v="413"/>
    <n v="429"/>
    <n v="443"/>
    <n v="444"/>
    <n v="5125"/>
    <n v="10"/>
    <n v="51250"/>
    <n v="0.99305458356846144"/>
    <x v="2"/>
    <n v="427.08333333333331"/>
    <n v="25.079721374896177"/>
    <n v="5.8723250048537394E-2"/>
    <x v="0"/>
    <s v="CX"/>
  </r>
  <r>
    <s v="ITM_237"/>
    <s v="Start Concern"/>
    <s v="Apparel"/>
    <n v="549"/>
    <n v="511"/>
    <n v="104"/>
    <n v="615"/>
    <n v="308"/>
    <n v="436"/>
    <n v="631"/>
    <n v="290"/>
    <n v="51"/>
    <n v="589"/>
    <n v="603"/>
    <n v="424"/>
    <n v="5111"/>
    <n v="10"/>
    <n v="51110"/>
    <n v="0.99310224800634228"/>
    <x v="2"/>
    <n v="425.91666666666669"/>
    <n v="198.82173757749257"/>
    <n v="0.46680901016042081"/>
    <x v="1"/>
    <s v="CY"/>
  </r>
  <r>
    <s v="ITM_164"/>
    <s v="Start Couple"/>
    <s v="Grocery"/>
    <n v="1886"/>
    <n v="1871"/>
    <n v="2209"/>
    <n v="2084"/>
    <n v="2122"/>
    <n v="2307"/>
    <n v="2174"/>
    <n v="1982"/>
    <n v="2137"/>
    <n v="2200"/>
    <n v="2395"/>
    <n v="2187"/>
    <n v="25554"/>
    <n v="2"/>
    <n v="51108"/>
    <n v="0.99314991057905255"/>
    <x v="2"/>
    <n v="2129.5"/>
    <n v="156.27103494773547"/>
    <n v="7.3383909343853235E-2"/>
    <x v="0"/>
    <s v="CX"/>
  </r>
  <r>
    <s v="ITM_553"/>
    <s v="Hot Staff"/>
    <s v="Grocery"/>
    <n v="1953"/>
    <n v="2125"/>
    <n v="1924"/>
    <n v="2001"/>
    <n v="2290"/>
    <n v="2151"/>
    <n v="1691"/>
    <n v="2230"/>
    <n v="2482"/>
    <n v="2050"/>
    <n v="2361"/>
    <n v="2248"/>
    <n v="25506"/>
    <n v="2"/>
    <n v="51012"/>
    <n v="0.99319748362356786"/>
    <x v="2"/>
    <n v="2125.5"/>
    <n v="216.69815621986936"/>
    <n v="0.10195161431186514"/>
    <x v="0"/>
    <s v="CX"/>
  </r>
  <r>
    <s v="ITM_516"/>
    <s v="Bag Southern"/>
    <s v="Electronics"/>
    <n v="407"/>
    <n v="444"/>
    <n v="429"/>
    <n v="390"/>
    <n v="445"/>
    <n v="433"/>
    <n v="433"/>
    <n v="409"/>
    <n v="410"/>
    <n v="448"/>
    <n v="421"/>
    <n v="423"/>
    <n v="5092"/>
    <n v="10"/>
    <n v="50920"/>
    <n v="0.99324497087022989"/>
    <x v="2"/>
    <n v="424.33333333333331"/>
    <n v="17.783206241913302"/>
    <n v="4.1908577160832607E-2"/>
    <x v="0"/>
    <s v="CX"/>
  </r>
  <r>
    <s v="ITM_006"/>
    <s v="Special Strategy"/>
    <s v="Grocery"/>
    <n v="1786"/>
    <n v="2201"/>
    <n v="2197"/>
    <n v="2234"/>
    <n v="1948"/>
    <n v="2085"/>
    <n v="2326"/>
    <n v="1960"/>
    <n v="2299"/>
    <n v="2494"/>
    <n v="1813"/>
    <n v="2017"/>
    <n v="25360"/>
    <n v="2"/>
    <n v="50720"/>
    <n v="0.99329227159981937"/>
    <x v="2"/>
    <n v="2113.3333333333335"/>
    <n v="215.77106273815195"/>
    <n v="0.10209987195811605"/>
    <x v="0"/>
    <s v="CX"/>
  </r>
  <r>
    <s v="ITM_552"/>
    <s v="National Since"/>
    <s v="Home &amp; Kitchen"/>
    <n v="390"/>
    <n v="459"/>
    <n v="422"/>
    <n v="393"/>
    <n v="446"/>
    <n v="398"/>
    <n v="421"/>
    <n v="452"/>
    <n v="412"/>
    <n v="433"/>
    <n v="395"/>
    <n v="441"/>
    <n v="5062"/>
    <n v="10"/>
    <n v="50620"/>
    <n v="0.99333947907087261"/>
    <x v="2"/>
    <n v="421.83333333333331"/>
    <n v="24.490567138959417"/>
    <n v="5.8057448768769858E-2"/>
    <x v="0"/>
    <s v="CX"/>
  </r>
  <r>
    <s v="ITM_148"/>
    <s v="Ask Four"/>
    <s v="Apparel"/>
    <n v="261"/>
    <n v="686"/>
    <n v="229"/>
    <n v="519"/>
    <n v="424"/>
    <n v="265"/>
    <n v="510"/>
    <n v="493"/>
    <n v="432"/>
    <n v="613"/>
    <n v="180"/>
    <n v="435"/>
    <n v="5047"/>
    <n v="10"/>
    <n v="50470"/>
    <n v="0.99338654665412152"/>
    <x v="2"/>
    <n v="420.58333333333331"/>
    <n v="158.1147214889086"/>
    <n v="0.37594148164590913"/>
    <x v="1"/>
    <s v="CY"/>
  </r>
  <r>
    <s v="ITM_821"/>
    <s v="Appear Agree"/>
    <s v="Apparel"/>
    <n v="707"/>
    <n v="154"/>
    <n v="643"/>
    <n v="387"/>
    <n v="382"/>
    <n v="542"/>
    <n v="513"/>
    <n v="586"/>
    <n v="480"/>
    <n v="130"/>
    <n v="156"/>
    <n v="348"/>
    <n v="5028"/>
    <n v="10"/>
    <n v="50280"/>
    <n v="0.9934334370461515"/>
    <x v="2"/>
    <n v="419"/>
    <n v="195.17917176509661"/>
    <n v="0.46582141232719954"/>
    <x v="1"/>
    <s v="CY"/>
  </r>
  <r>
    <s v="ITM_881"/>
    <s v="So Computer"/>
    <s v="Apparel"/>
    <n v="291"/>
    <n v="672"/>
    <n v="273"/>
    <n v="456"/>
    <n v="567"/>
    <n v="434"/>
    <n v="285"/>
    <n v="287"/>
    <n v="371"/>
    <n v="352"/>
    <n v="447"/>
    <n v="581"/>
    <n v="5016"/>
    <n v="10"/>
    <n v="50160"/>
    <n v="0.99348021552793797"/>
    <x v="2"/>
    <n v="418"/>
    <n v="132.93744256741076"/>
    <n v="0.31803215925217881"/>
    <x v="1"/>
    <s v="CY"/>
  </r>
  <r>
    <s v="ITM_319"/>
    <s v="Method Responsibility"/>
    <s v="Grocery"/>
    <n v="2231"/>
    <n v="1822"/>
    <n v="2034"/>
    <n v="1624"/>
    <n v="2264"/>
    <n v="2070"/>
    <n v="1853"/>
    <n v="1955"/>
    <n v="2551"/>
    <n v="2204"/>
    <n v="2228"/>
    <n v="2242"/>
    <n v="25078"/>
    <n v="2"/>
    <n v="50156"/>
    <n v="0.99352699027938296"/>
    <x v="2"/>
    <n v="2089.8333333333335"/>
    <n v="249.49615895506912"/>
    <n v="0.11938567299867729"/>
    <x v="0"/>
    <s v="CX"/>
  </r>
  <r>
    <s v="ITM_897"/>
    <s v="Sense Investment"/>
    <s v="Grocery"/>
    <n v="2328"/>
    <n v="2180"/>
    <n v="2144"/>
    <n v="1994"/>
    <n v="1936"/>
    <n v="2053"/>
    <n v="2029"/>
    <n v="1938"/>
    <n v="2096"/>
    <n v="2329"/>
    <n v="1655"/>
    <n v="2278"/>
    <n v="24960"/>
    <n v="2"/>
    <n v="49920"/>
    <n v="0.9935735449406824"/>
    <x v="2"/>
    <n v="2080"/>
    <n v="192.89940854803524"/>
    <n v="9.2740100263478481E-2"/>
    <x v="0"/>
    <s v="CX"/>
  </r>
  <r>
    <s v="ITM_305"/>
    <s v="Listen City"/>
    <s v="Electronics"/>
    <n v="400"/>
    <n v="411"/>
    <n v="449"/>
    <n v="426"/>
    <n v="415"/>
    <n v="396"/>
    <n v="451"/>
    <n v="402"/>
    <n v="401"/>
    <n v="368"/>
    <n v="378"/>
    <n v="411"/>
    <n v="4908"/>
    <n v="10"/>
    <n v="49080"/>
    <n v="0.99361931623027733"/>
    <x v="2"/>
    <n v="409"/>
    <n v="24.683450473398715"/>
    <n v="6.035073465378659E-2"/>
    <x v="0"/>
    <s v="CX"/>
  </r>
  <r>
    <s v="ITM_417"/>
    <s v="Near Away"/>
    <s v="Home &amp; Kitchen"/>
    <n v="79"/>
    <n v="83"/>
    <n v="61"/>
    <n v="85"/>
    <n v="100"/>
    <n v="87"/>
    <n v="76"/>
    <n v="92"/>
    <n v="79"/>
    <n v="80"/>
    <n v="72"/>
    <n v="86"/>
    <n v="980"/>
    <n v="50"/>
    <n v="49000"/>
    <n v="0.99366501291304321"/>
    <x v="2"/>
    <n v="81.666666666666671"/>
    <n v="9.8749760260545418"/>
    <n v="0.12091807378842295"/>
    <x v="0"/>
    <s v="CX"/>
  </r>
  <r>
    <s v="ITM_026"/>
    <s v="Management Perhaps"/>
    <s v="Toys"/>
    <n v="410"/>
    <n v="375"/>
    <n v="392"/>
    <n v="406"/>
    <n v="387"/>
    <n v="390"/>
    <n v="397"/>
    <n v="433"/>
    <n v="404"/>
    <n v="396"/>
    <n v="413"/>
    <n v="444"/>
    <n v="4847"/>
    <n v="10"/>
    <n v="48470"/>
    <n v="0.99371021532556691"/>
    <x v="2"/>
    <n v="403.91666666666669"/>
    <n v="19.411610084189462"/>
    <n v="4.8058452859557156E-2"/>
    <x v="0"/>
    <s v="CX"/>
  </r>
  <r>
    <s v="ITM_540"/>
    <s v="Around Money"/>
    <s v="Home &amp; Kitchen"/>
    <n v="71"/>
    <n v="81"/>
    <n v="61"/>
    <n v="87"/>
    <n v="89"/>
    <n v="75"/>
    <n v="76"/>
    <n v="76"/>
    <n v="80"/>
    <n v="77"/>
    <n v="104"/>
    <n v="90"/>
    <n v="967"/>
    <n v="50"/>
    <n v="48350"/>
    <n v="0.99375530582784721"/>
    <x v="2"/>
    <n v="80.583333333333329"/>
    <n v="10.916695581733643"/>
    <n v="0.13547088622627065"/>
    <x v="0"/>
    <s v="CX"/>
  </r>
  <r>
    <s v="ITM_745"/>
    <s v="Long Me"/>
    <s v="Grocery"/>
    <n v="1988"/>
    <n v="2222"/>
    <n v="1693"/>
    <n v="1719"/>
    <n v="2289"/>
    <n v="2354"/>
    <n v="2162"/>
    <n v="1857"/>
    <n v="2119"/>
    <n v="1918"/>
    <n v="1801"/>
    <n v="1866"/>
    <n v="23988"/>
    <n v="2"/>
    <n v="47976"/>
    <n v="0.99380004754320184"/>
    <x v="2"/>
    <n v="1999"/>
    <n v="224.94403344347273"/>
    <n v="0.11252828086216746"/>
    <x v="0"/>
    <s v="CX"/>
  </r>
  <r>
    <s v="ITM_480"/>
    <s v="Become Expect"/>
    <s v="Home &amp; Kitchen"/>
    <n v="420"/>
    <n v="361"/>
    <n v="390"/>
    <n v="358"/>
    <n v="381"/>
    <n v="405"/>
    <n v="419"/>
    <n v="428"/>
    <n v="406"/>
    <n v="395"/>
    <n v="400"/>
    <n v="425"/>
    <n v="4788"/>
    <n v="10"/>
    <n v="47880"/>
    <n v="0.9938446997303616"/>
    <x v="2"/>
    <n v="399"/>
    <n v="23.335497735112799"/>
    <n v="5.8484956729606012E-2"/>
    <x v="0"/>
    <s v="CX"/>
  </r>
  <r>
    <s v="ITM_155"/>
    <s v="Win Cell"/>
    <s v="Electronics"/>
    <n v="399"/>
    <n v="362"/>
    <n v="404"/>
    <n v="415"/>
    <n v="374"/>
    <n v="422"/>
    <n v="383"/>
    <n v="412"/>
    <n v="387"/>
    <n v="386"/>
    <n v="424"/>
    <n v="378"/>
    <n v="4746"/>
    <n v="10"/>
    <n v="47460"/>
    <n v="0.99388896023166917"/>
    <x v="2"/>
    <n v="395.5"/>
    <n v="20.138159164766144"/>
    <n v="5.09182279766527E-2"/>
    <x v="0"/>
    <s v="CX"/>
  </r>
  <r>
    <s v="ITM_117"/>
    <s v="Hotel Last"/>
    <s v="Electronics"/>
    <n v="399"/>
    <n v="397"/>
    <n v="375"/>
    <n v="383"/>
    <n v="381"/>
    <n v="406"/>
    <n v="370"/>
    <n v="399"/>
    <n v="371"/>
    <n v="408"/>
    <n v="399"/>
    <n v="437"/>
    <n v="4725"/>
    <n v="10"/>
    <n v="47250"/>
    <n v="0.99393302489005053"/>
    <x v="2"/>
    <n v="393.75"/>
    <n v="19.136471604100517"/>
    <n v="4.8600562804064808E-2"/>
    <x v="0"/>
    <s v="CX"/>
  </r>
  <r>
    <s v="ITM_940"/>
    <s v="Middle Campaign"/>
    <s v="Apparel"/>
    <n v="227"/>
    <n v="98"/>
    <n v="579"/>
    <n v="266"/>
    <n v="562"/>
    <n v="599"/>
    <n v="197"/>
    <n v="609"/>
    <n v="454"/>
    <n v="335"/>
    <n v="542"/>
    <n v="201"/>
    <n v="4669"/>
    <n v="10"/>
    <n v="46690"/>
    <n v="0.99397656730062889"/>
    <x v="2"/>
    <n v="389.08333333333331"/>
    <n v="187.65076766712312"/>
    <n v="0.48228940072938048"/>
    <x v="1"/>
    <s v="CY"/>
  </r>
  <r>
    <s v="ITM_054"/>
    <s v="Five Work"/>
    <s v="Electronics"/>
    <n v="403"/>
    <n v="394"/>
    <n v="399"/>
    <n v="386"/>
    <n v="396"/>
    <n v="432"/>
    <n v="376"/>
    <n v="386"/>
    <n v="382"/>
    <n v="353"/>
    <n v="398"/>
    <n v="353"/>
    <n v="4658"/>
    <n v="10"/>
    <n v="46580"/>
    <n v="0.99402000712681737"/>
    <x v="2"/>
    <n v="388.16666666666669"/>
    <n v="21.573693295869447"/>
    <n v="5.5578428413575215E-2"/>
    <x v="0"/>
    <s v="CX"/>
  </r>
  <r>
    <s v="ITM_603"/>
    <s v="Information Item"/>
    <s v="Grocery"/>
    <n v="1664"/>
    <n v="2003"/>
    <n v="1972"/>
    <n v="1728"/>
    <n v="2004"/>
    <n v="2101"/>
    <n v="1928"/>
    <n v="2065"/>
    <n v="1937"/>
    <n v="1918"/>
    <n v="1929"/>
    <n v="2001"/>
    <n v="23250"/>
    <n v="2"/>
    <n v="46500"/>
    <n v="0.99406337234617681"/>
    <x v="2"/>
    <n v="1937.5"/>
    <n v="126.54823011585167"/>
    <n v="6.5315215543665373E-2"/>
    <x v="0"/>
    <s v="CX"/>
  </r>
  <r>
    <s v="ITM_526"/>
    <s v="Begin Here"/>
    <s v="Electronics"/>
    <n v="82"/>
    <n v="77"/>
    <n v="75"/>
    <n v="71"/>
    <n v="69"/>
    <n v="79"/>
    <n v="64"/>
    <n v="78"/>
    <n v="92"/>
    <n v="85"/>
    <n v="70"/>
    <n v="86"/>
    <n v="928"/>
    <n v="50"/>
    <n v="46400"/>
    <n v="0.99410664430700002"/>
    <x v="2"/>
    <n v="77.333333333333329"/>
    <n v="8.0941430377249652"/>
    <n v="0.10466564272920215"/>
    <x v="0"/>
    <s v="CX"/>
  </r>
  <r>
    <s v="ITM_286"/>
    <s v="Owner Economy"/>
    <s v="Grocery"/>
    <n v="2288"/>
    <n v="1607"/>
    <n v="1501"/>
    <n v="2156"/>
    <n v="1983"/>
    <n v="1887"/>
    <n v="2014"/>
    <n v="1941"/>
    <n v="1730"/>
    <n v="1667"/>
    <n v="1906"/>
    <n v="2340"/>
    <n v="23020"/>
    <n v="2"/>
    <n v="46040"/>
    <n v="0.99414958053709268"/>
    <x v="2"/>
    <n v="1918.3333333333333"/>
    <n v="262.09933347122495"/>
    <n v="0.13662867079299304"/>
    <x v="0"/>
    <s v="CX"/>
  </r>
  <r>
    <s v="ITM_423"/>
    <s v="Machine Sure"/>
    <s v="Electronics"/>
    <n v="395"/>
    <n v="384"/>
    <n v="368"/>
    <n v="399"/>
    <n v="364"/>
    <n v="372"/>
    <n v="405"/>
    <n v="375"/>
    <n v="387"/>
    <n v="374"/>
    <n v="398"/>
    <n v="383"/>
    <n v="4604"/>
    <n v="10"/>
    <n v="46040"/>
    <n v="0.99419251676718534"/>
    <x v="2"/>
    <n v="383.66666666666669"/>
    <n v="13.391539617733779"/>
    <n v="3.4904099785578915E-2"/>
    <x v="0"/>
    <s v="CX"/>
  </r>
  <r>
    <s v="ITM_254"/>
    <s v="Network Myself"/>
    <s v="Electronics"/>
    <n v="364"/>
    <n v="384"/>
    <n v="344"/>
    <n v="383"/>
    <n v="346"/>
    <n v="371"/>
    <n v="361"/>
    <n v="403"/>
    <n v="372"/>
    <n v="381"/>
    <n v="423"/>
    <n v="402"/>
    <n v="4534"/>
    <n v="10"/>
    <n v="45340"/>
    <n v="0.9942348001875243"/>
    <x v="2"/>
    <n v="377.83333333333331"/>
    <n v="23.443678478559214"/>
    <n v="6.2047671315110409E-2"/>
    <x v="0"/>
    <s v="CX"/>
  </r>
  <r>
    <s v="ITM_322"/>
    <s v="Father Understand"/>
    <s v="Grocery"/>
    <n v="2491"/>
    <n v="1635"/>
    <n v="1626"/>
    <n v="2050"/>
    <n v="1550"/>
    <n v="1777"/>
    <n v="1906"/>
    <n v="1905"/>
    <n v="1825"/>
    <n v="1702"/>
    <n v="2236"/>
    <n v="1889"/>
    <n v="22592"/>
    <n v="2"/>
    <n v="45184"/>
    <n v="0.99427693812454654"/>
    <x v="2"/>
    <n v="1882.6666666666667"/>
    <n v="271.19477513515233"/>
    <n v="0.14404821625450726"/>
    <x v="0"/>
    <s v="CX"/>
  </r>
  <r>
    <s v="ITM_848"/>
    <s v="Traditional Across"/>
    <s v="Electronics"/>
    <n v="367"/>
    <n v="374"/>
    <n v="343"/>
    <n v="357"/>
    <n v="400"/>
    <n v="398"/>
    <n v="376"/>
    <n v="375"/>
    <n v="363"/>
    <n v="405"/>
    <n v="409"/>
    <n v="329"/>
    <n v="4496"/>
    <n v="10"/>
    <n v="44960"/>
    <n v="0.99431886716244766"/>
    <x v="2"/>
    <n v="374.66666666666669"/>
    <n v="25.013935509970633"/>
    <n v="6.6763173069316631E-2"/>
    <x v="0"/>
    <s v="CX"/>
  </r>
  <r>
    <s v="ITM_441"/>
    <s v="State Probably"/>
    <s v="Electronics"/>
    <n v="368"/>
    <n v="358"/>
    <n v="369"/>
    <n v="346"/>
    <n v="369"/>
    <n v="394"/>
    <n v="406"/>
    <n v="363"/>
    <n v="404"/>
    <n v="392"/>
    <n v="351"/>
    <n v="371"/>
    <n v="4491"/>
    <n v="10"/>
    <n v="44910"/>
    <n v="0.99436074957108067"/>
    <x v="2"/>
    <n v="374.25"/>
    <n v="20.073161638910253"/>
    <n v="5.3635702441977962E-2"/>
    <x v="0"/>
    <s v="CX"/>
  </r>
  <r>
    <s v="ITM_106"/>
    <s v="Say Base"/>
    <s v="Electronics"/>
    <n v="379"/>
    <n v="347"/>
    <n v="355"/>
    <n v="373"/>
    <n v="360"/>
    <n v="353"/>
    <n v="389"/>
    <n v="375"/>
    <n v="391"/>
    <n v="352"/>
    <n v="378"/>
    <n v="403"/>
    <n v="4455"/>
    <n v="10"/>
    <n v="44550"/>
    <n v="0.99440229624898313"/>
    <x v="2"/>
    <n v="371.25"/>
    <n v="17.884096541086695"/>
    <n v="4.8172650615721735E-2"/>
    <x v="0"/>
    <s v="CX"/>
  </r>
  <r>
    <s v="ITM_757"/>
    <s v="Interest The"/>
    <s v="Home &amp; Kitchen"/>
    <n v="357"/>
    <n v="359"/>
    <n v="377"/>
    <n v="380"/>
    <n v="366"/>
    <n v="373"/>
    <n v="364"/>
    <n v="382"/>
    <n v="381"/>
    <n v="378"/>
    <n v="360"/>
    <n v="353"/>
    <n v="4430"/>
    <n v="10"/>
    <n v="44300"/>
    <n v="0.99444360978054491"/>
    <x v="2"/>
    <n v="369.16666666666669"/>
    <n v="10.48664374190794"/>
    <n v="2.8406258443091484E-2"/>
    <x v="0"/>
    <s v="CX"/>
  </r>
  <r>
    <s v="ITM_119"/>
    <s v="Picture Yard"/>
    <s v="Apparel"/>
    <n v="504"/>
    <n v="550"/>
    <n v="492"/>
    <n v="276"/>
    <n v="276"/>
    <n v="30"/>
    <n v="510"/>
    <n v="548"/>
    <n v="306"/>
    <n v="320"/>
    <n v="586"/>
    <n v="26"/>
    <n v="4424"/>
    <n v="10"/>
    <n v="44240"/>
    <n v="0.99448486735698505"/>
    <x v="2"/>
    <n v="368.66666666666669"/>
    <n v="195.71841244424851"/>
    <n v="0.53088176974027623"/>
    <x v="2"/>
    <s v="CZ"/>
  </r>
  <r>
    <s v="ITM_885"/>
    <s v="Easy Feel"/>
    <s v="Grocery"/>
    <n v="2094"/>
    <n v="1998"/>
    <n v="1888"/>
    <n v="1664"/>
    <n v="1666"/>
    <n v="1716"/>
    <n v="1787"/>
    <n v="1589"/>
    <n v="1849"/>
    <n v="1828"/>
    <n v="1975"/>
    <n v="1972"/>
    <n v="22026"/>
    <n v="2"/>
    <n v="44052"/>
    <n v="0.99452594960737695"/>
    <x v="2"/>
    <n v="1835.5"/>
    <n v="156.62723552783183"/>
    <n v="8.5332190426495133E-2"/>
    <x v="0"/>
    <s v="CX"/>
  </r>
  <r>
    <s v="ITM_490"/>
    <s v="Money Popular"/>
    <s v="Electronics"/>
    <n v="371"/>
    <n v="382"/>
    <n v="396"/>
    <n v="360"/>
    <n v="367"/>
    <n v="372"/>
    <n v="364"/>
    <n v="349"/>
    <n v="352"/>
    <n v="367"/>
    <n v="327"/>
    <n v="360"/>
    <n v="4367"/>
    <n v="10"/>
    <n v="43670"/>
    <n v="0.99456667561016032"/>
    <x v="2"/>
    <n v="363.91666666666669"/>
    <n v="17.185926236489571"/>
    <n v="4.7224894627404361E-2"/>
    <x v="0"/>
    <s v="CX"/>
  </r>
  <r>
    <s v="ITM_303"/>
    <s v="Phone Participant"/>
    <s v="Home &amp; Kitchen"/>
    <n v="362"/>
    <n v="352"/>
    <n v="355"/>
    <n v="336"/>
    <n v="378"/>
    <n v="372"/>
    <n v="358"/>
    <n v="375"/>
    <n v="395"/>
    <n v="397"/>
    <n v="348"/>
    <n v="337"/>
    <n v="4365"/>
    <n v="10"/>
    <n v="43650"/>
    <n v="0.99460738296123641"/>
    <x v="2"/>
    <n v="363.75"/>
    <n v="20.145493518176938"/>
    <n v="5.5382800049970961E-2"/>
    <x v="0"/>
    <s v="CX"/>
  </r>
  <r>
    <s v="ITM_308"/>
    <s v="School Leg"/>
    <s v="Grocery"/>
    <n v="1519"/>
    <n v="2133"/>
    <n v="1760"/>
    <n v="2017"/>
    <n v="1825"/>
    <n v="1764"/>
    <n v="1517"/>
    <n v="1946"/>
    <n v="1534"/>
    <n v="1799"/>
    <n v="1772"/>
    <n v="2050"/>
    <n v="21636"/>
    <n v="2"/>
    <n v="43272"/>
    <n v="0.99464773779504556"/>
    <x v="2"/>
    <n v="1803"/>
    <n v="207.97683437432073"/>
    <n v="0.11535043503844744"/>
    <x v="0"/>
    <s v="CX"/>
  </r>
  <r>
    <s v="ITM_600"/>
    <s v="Agency Significant"/>
    <s v="Grocery"/>
    <n v="1650"/>
    <n v="1497"/>
    <n v="1992"/>
    <n v="1983"/>
    <n v="1887"/>
    <n v="1804"/>
    <n v="1930"/>
    <n v="1732"/>
    <n v="1650"/>
    <n v="1707"/>
    <n v="1814"/>
    <n v="1939"/>
    <n v="21585"/>
    <n v="2"/>
    <n v="43170"/>
    <n v="0.99468799750514769"/>
    <x v="2"/>
    <n v="1798.75"/>
    <n v="155.0420031064896"/>
    <n v="8.6194303325359059E-2"/>
    <x v="0"/>
    <s v="CX"/>
  </r>
  <r>
    <s v="ITM_744"/>
    <s v="Make However"/>
    <s v="Electronics"/>
    <n v="380"/>
    <n v="371"/>
    <n v="365"/>
    <n v="348"/>
    <n v="373"/>
    <n v="343"/>
    <n v="406"/>
    <n v="357"/>
    <n v="333"/>
    <n v="336"/>
    <n v="356"/>
    <n v="349"/>
    <n v="4317"/>
    <n v="10"/>
    <n v="43170"/>
    <n v="0.99472825721524971"/>
    <x v="2"/>
    <n v="359.75"/>
    <n v="20.701888363581276"/>
    <n v="5.7545207403978525E-2"/>
    <x v="0"/>
    <s v="CX"/>
  </r>
  <r>
    <s v="ITM_927"/>
    <s v="Professional Claim"/>
    <s v="Electronics"/>
    <n v="364"/>
    <n v="357"/>
    <n v="339"/>
    <n v="406"/>
    <n v="362"/>
    <n v="349"/>
    <n v="360"/>
    <n v="346"/>
    <n v="328"/>
    <n v="355"/>
    <n v="341"/>
    <n v="350"/>
    <n v="4257"/>
    <n v="10"/>
    <n v="42570"/>
    <n v="0.99476795737413437"/>
    <x v="2"/>
    <n v="354.75"/>
    <n v="19.26430991143042"/>
    <n v="5.4303903908190052E-2"/>
    <x v="0"/>
    <s v="CX"/>
  </r>
  <r>
    <s v="ITM_109"/>
    <s v="Two How"/>
    <s v="Grocery"/>
    <n v="1470"/>
    <n v="1807"/>
    <n v="1718"/>
    <n v="1748"/>
    <n v="2132"/>
    <n v="1966"/>
    <n v="1868"/>
    <n v="1479"/>
    <n v="1711"/>
    <n v="1590"/>
    <n v="2017"/>
    <n v="1666"/>
    <n v="21172"/>
    <n v="2"/>
    <n v="42344"/>
    <n v="0.9948074467687269"/>
    <x v="2"/>
    <n v="1764.3333333333333"/>
    <n v="205.74093742698147"/>
    <n v="0.11661114911788106"/>
    <x v="0"/>
    <s v="CX"/>
  </r>
  <r>
    <s v="ITM_232"/>
    <s v="Executive Ground"/>
    <s v="Electronics"/>
    <n v="372"/>
    <n v="353"/>
    <n v="335"/>
    <n v="360"/>
    <n v="344"/>
    <n v="368"/>
    <n v="355"/>
    <n v="353"/>
    <n v="333"/>
    <n v="327"/>
    <n v="342"/>
    <n v="366"/>
    <n v="4208"/>
    <n v="10"/>
    <n v="42080"/>
    <n v="0.99484668996078385"/>
    <x v="2"/>
    <n v="350.66666666666669"/>
    <n v="14.599709420105427"/>
    <n v="4.1634152338703684E-2"/>
    <x v="0"/>
    <s v="CX"/>
  </r>
  <r>
    <s v="ITM_040"/>
    <s v="Occur Anything"/>
    <s v="Grocery"/>
    <n v="1826"/>
    <n v="1618"/>
    <n v="1858"/>
    <n v="1519"/>
    <n v="1936"/>
    <n v="1626"/>
    <n v="1470"/>
    <n v="1743"/>
    <n v="2323"/>
    <n v="1612"/>
    <n v="2023"/>
    <n v="1443"/>
    <n v="20997"/>
    <n v="2"/>
    <n v="41994"/>
    <n v="0.99488585295049958"/>
    <x v="2"/>
    <n v="1749.75"/>
    <n v="258.10432175593439"/>
    <n v="0.14750925661147843"/>
    <x v="0"/>
    <s v="CX"/>
  </r>
  <r>
    <s v="ITM_373"/>
    <s v="Hundred Movement"/>
    <s v="Toys"/>
    <n v="351"/>
    <n v="321"/>
    <n v="362"/>
    <n v="342"/>
    <n v="356"/>
    <n v="336"/>
    <n v="377"/>
    <n v="372"/>
    <n v="331"/>
    <n v="320"/>
    <n v="344"/>
    <n v="358"/>
    <n v="4170"/>
    <n v="10"/>
    <n v="41700"/>
    <n v="0.99492474176011869"/>
    <x v="2"/>
    <n v="347.5"/>
    <n v="18.53988329864222"/>
    <n v="5.3352182154366101E-2"/>
    <x v="0"/>
    <s v="CX"/>
  </r>
  <r>
    <s v="ITM_822"/>
    <s v="Politics Financial"/>
    <s v="Grocery"/>
    <n v="1681"/>
    <n v="1901"/>
    <n v="1943"/>
    <n v="1401"/>
    <n v="1758"/>
    <n v="1483"/>
    <n v="1850"/>
    <n v="2016"/>
    <n v="1645"/>
    <n v="1803"/>
    <n v="1776"/>
    <n v="1501"/>
    <n v="20758"/>
    <n v="2"/>
    <n v="41516"/>
    <n v="0.99496345897403116"/>
    <x v="2"/>
    <n v="1729.8333333333333"/>
    <n v="193.14423876910422"/>
    <n v="0.11165482537957658"/>
    <x v="0"/>
    <s v="CX"/>
  </r>
  <r>
    <s v="ITM_878"/>
    <s v="Nothing Entire"/>
    <s v="Grocery"/>
    <n v="1563"/>
    <n v="1718"/>
    <n v="1716"/>
    <n v="1947"/>
    <n v="1601"/>
    <n v="1881"/>
    <n v="1718"/>
    <n v="1801"/>
    <n v="1828"/>
    <n v="1567"/>
    <n v="1534"/>
    <n v="1750"/>
    <n v="20624"/>
    <n v="2"/>
    <n v="41248"/>
    <n v="0.99500192625506634"/>
    <x v="2"/>
    <n v="1718.6666666666667"/>
    <n v="132.59393468462846"/>
    <n v="7.7149302570575132E-2"/>
    <x v="0"/>
    <s v="CX"/>
  </r>
  <r>
    <s v="ITM_413"/>
    <s v="Growth Someone"/>
    <s v="Grocery"/>
    <n v="1776"/>
    <n v="1547"/>
    <n v="1919"/>
    <n v="1664"/>
    <n v="1710"/>
    <n v="1732"/>
    <n v="1690"/>
    <n v="1500"/>
    <n v="1548"/>
    <n v="2079"/>
    <n v="1842"/>
    <n v="1544"/>
    <n v="20551"/>
    <n v="2"/>
    <n v="41102"/>
    <n v="0.99504025737863866"/>
    <x v="2"/>
    <n v="1712.5833333333333"/>
    <n v="172.94531891130598"/>
    <n v="0.10098505313297026"/>
    <x v="0"/>
    <s v="CX"/>
  </r>
  <r>
    <s v="ITM_479"/>
    <s v="General Form"/>
    <s v="Grocery"/>
    <n v="1675"/>
    <n v="1603"/>
    <n v="1682"/>
    <n v="1662"/>
    <n v="1446"/>
    <n v="2109"/>
    <n v="1570"/>
    <n v="1704"/>
    <n v="1674"/>
    <n v="1809"/>
    <n v="1694"/>
    <n v="1693"/>
    <n v="20321"/>
    <n v="2"/>
    <n v="40642"/>
    <n v="0.9950781595129442"/>
    <x v="2"/>
    <n v="1693.4166666666667"/>
    <n v="157.43307861572242"/>
    <n v="9.2967715338254459E-2"/>
    <x v="0"/>
    <s v="CX"/>
  </r>
  <r>
    <s v="ITM_924"/>
    <s v="Course Response"/>
    <s v="Apparel"/>
    <n v="354"/>
    <n v="409"/>
    <n v="152"/>
    <n v="581"/>
    <n v="596"/>
    <n v="253"/>
    <n v="224"/>
    <n v="306"/>
    <n v="336"/>
    <n v="278"/>
    <n v="131"/>
    <n v="423"/>
    <n v="4043"/>
    <n v="10"/>
    <n v="40430"/>
    <n v="0.99511586393915286"/>
    <x v="2"/>
    <n v="336.91666666666669"/>
    <n v="147.8374158159954"/>
    <n v="0.43879519905811148"/>
    <x v="1"/>
    <s v="CY"/>
  </r>
  <r>
    <s v="ITM_023"/>
    <s v="Hand Sea"/>
    <s v="Grocery"/>
    <n v="1510"/>
    <n v="1620"/>
    <n v="1741"/>
    <n v="1708"/>
    <n v="1432"/>
    <n v="1739"/>
    <n v="1835"/>
    <n v="2063"/>
    <n v="1718"/>
    <n v="1557"/>
    <n v="1764"/>
    <n v="1378"/>
    <n v="20065"/>
    <n v="2"/>
    <n v="40130"/>
    <n v="0.99515328858975283"/>
    <x v="2"/>
    <n v="1672.0833333333333"/>
    <n v="187.51603971798056"/>
    <n v="0.11214515208650719"/>
    <x v="0"/>
    <s v="CX"/>
  </r>
  <r>
    <s v="ITM_121"/>
    <s v="Nearly Travel"/>
    <s v="Toys"/>
    <n v="343"/>
    <n v="357"/>
    <n v="337"/>
    <n v="303"/>
    <n v="363"/>
    <n v="332"/>
    <n v="344"/>
    <n v="342"/>
    <n v="316"/>
    <n v="327"/>
    <n v="296"/>
    <n v="352"/>
    <n v="4012"/>
    <n v="10"/>
    <n v="40120"/>
    <n v="0.99519070391449904"/>
    <x v="2"/>
    <n v="334.33333333333331"/>
    <n v="20.733518463560106"/>
    <n v="6.2014511855114973E-2"/>
    <x v="0"/>
    <s v="CX"/>
  </r>
  <r>
    <s v="ITM_294"/>
    <s v="But Run"/>
    <s v="Grocery"/>
    <n v="1814"/>
    <n v="1758"/>
    <n v="1459"/>
    <n v="1622"/>
    <n v="1419"/>
    <n v="1602"/>
    <n v="1389"/>
    <n v="1443"/>
    <n v="2227"/>
    <n v="1821"/>
    <n v="1749"/>
    <n v="1588"/>
    <n v="19891"/>
    <n v="2"/>
    <n v="39782"/>
    <n v="0.99522780402539279"/>
    <x v="2"/>
    <n v="1657.5833333333333"/>
    <n v="236.94742736171128"/>
    <n v="0.14294752040322434"/>
    <x v="0"/>
    <s v="CX"/>
  </r>
  <r>
    <s v="ITM_279"/>
    <s v="Stay However"/>
    <s v="Grocery"/>
    <n v="1916"/>
    <n v="1698"/>
    <n v="1674"/>
    <n v="1620"/>
    <n v="1796"/>
    <n v="1618"/>
    <n v="1720"/>
    <n v="1415"/>
    <n v="1609"/>
    <n v="1616"/>
    <n v="1508"/>
    <n v="1692"/>
    <n v="19882"/>
    <n v="2"/>
    <n v="39764"/>
    <n v="0.99526488734975005"/>
    <x v="2"/>
    <n v="1656.8333333333333"/>
    <n v="128.34812980422592"/>
    <n v="7.7465926850956199E-2"/>
    <x v="0"/>
    <s v="CX"/>
  </r>
  <r>
    <s v="ITM_062"/>
    <s v="Picture Forward"/>
    <s v="Grocery"/>
    <n v="1413"/>
    <n v="1642"/>
    <n v="1571"/>
    <n v="1684"/>
    <n v="1569"/>
    <n v="1954"/>
    <n v="1409"/>
    <n v="1750"/>
    <n v="1685"/>
    <n v="1718"/>
    <n v="1676"/>
    <n v="1742"/>
    <n v="19813"/>
    <n v="2"/>
    <n v="39626"/>
    <n v="0.99530184197732718"/>
    <x v="2"/>
    <n v="1651.0833333333333"/>
    <n v="149.44227120946209"/>
    <n v="9.0511646621589115E-2"/>
    <x v="0"/>
    <s v="CX"/>
  </r>
  <r>
    <s v="ITM_252"/>
    <s v="Dog Population"/>
    <s v="Toys"/>
    <n v="338"/>
    <n v="298"/>
    <n v="307"/>
    <n v="349"/>
    <n v="307"/>
    <n v="337"/>
    <n v="365"/>
    <n v="346"/>
    <n v="336"/>
    <n v="325"/>
    <n v="306"/>
    <n v="341"/>
    <n v="3955"/>
    <n v="10"/>
    <n v="39550"/>
    <n v="0.99533872572841675"/>
    <x v="2"/>
    <n v="329.58333333333331"/>
    <n v="20.873899898430505"/>
    <n v="6.3334209552760062E-2"/>
    <x v="0"/>
    <s v="CX"/>
  </r>
  <r>
    <s v="ITM_863"/>
    <s v="Science Point"/>
    <s v="Electronics"/>
    <n v="346"/>
    <n v="335"/>
    <n v="325"/>
    <n v="325"/>
    <n v="346"/>
    <n v="307"/>
    <n v="343"/>
    <n v="300"/>
    <n v="322"/>
    <n v="360"/>
    <n v="331"/>
    <n v="313"/>
    <n v="3953"/>
    <n v="10"/>
    <n v="39530"/>
    <n v="0.99537559082779914"/>
    <x v="2"/>
    <n v="329.41666666666669"/>
    <n v="17.671025762958738"/>
    <n v="5.3643387087150225E-2"/>
    <x v="0"/>
    <s v="CX"/>
  </r>
  <r>
    <s v="ITM_568"/>
    <s v="Cost Very"/>
    <s v="Home &amp; Kitchen"/>
    <n v="343"/>
    <n v="330"/>
    <n v="314"/>
    <n v="339"/>
    <n v="347"/>
    <n v="311"/>
    <n v="328"/>
    <n v="316"/>
    <n v="311"/>
    <n v="332"/>
    <n v="321"/>
    <n v="349"/>
    <n v="3941"/>
    <n v="10"/>
    <n v="39410"/>
    <n v="0.99541234401693801"/>
    <x v="2"/>
    <n v="328.41666666666669"/>
    <n v="13.92485242835683"/>
    <n v="4.2399956645592984E-2"/>
    <x v="0"/>
    <s v="CX"/>
  </r>
  <r>
    <s v="ITM_738"/>
    <s v="Simple Forward"/>
    <s v="Grocery"/>
    <n v="1474"/>
    <n v="1722"/>
    <n v="1742"/>
    <n v="1800"/>
    <n v="1761"/>
    <n v="1692"/>
    <n v="1680"/>
    <n v="1431"/>
    <n v="1250"/>
    <n v="1844"/>
    <n v="1411"/>
    <n v="1739"/>
    <n v="19546"/>
    <n v="2"/>
    <n v="39092"/>
    <n v="0.99544880064393149"/>
    <x v="2"/>
    <n v="1628.8333333333333"/>
    <n v="187.65821607541241"/>
    <n v="0.1152102012127775"/>
    <x v="0"/>
    <s v="CX"/>
  </r>
  <r>
    <s v="ITM_097"/>
    <s v="Yeah Around"/>
    <s v="Electronics"/>
    <n v="309"/>
    <n v="289"/>
    <n v="353"/>
    <n v="330"/>
    <n v="307"/>
    <n v="321"/>
    <n v="306"/>
    <n v="340"/>
    <n v="320"/>
    <n v="337"/>
    <n v="347"/>
    <n v="298"/>
    <n v="3857"/>
    <n v="10"/>
    <n v="38570"/>
    <n v="0.99548477046136585"/>
    <x v="2"/>
    <n v="321.41666666666669"/>
    <n v="20.259490854830723"/>
    <n v="6.303186161731103E-2"/>
    <x v="0"/>
    <s v="CX"/>
  </r>
  <r>
    <s v="ITM_222"/>
    <s v="Prepare Full"/>
    <s v="Home &amp; Kitchen"/>
    <n v="330"/>
    <n v="348"/>
    <n v="266"/>
    <n v="312"/>
    <n v="324"/>
    <n v="330"/>
    <n v="278"/>
    <n v="338"/>
    <n v="333"/>
    <n v="341"/>
    <n v="335"/>
    <n v="322"/>
    <n v="3857"/>
    <n v="10"/>
    <n v="38570"/>
    <n v="0.99552074027880011"/>
    <x v="2"/>
    <n v="321.41666666666669"/>
    <n v="25.014389798068169"/>
    <n v="7.7825428461710658E-2"/>
    <x v="0"/>
    <s v="CX"/>
  </r>
  <r>
    <s v="ITM_342"/>
    <s v="Type Save"/>
    <s v="Grocery"/>
    <n v="1713"/>
    <n v="1450"/>
    <n v="1684"/>
    <n v="1756"/>
    <n v="1340"/>
    <n v="1185"/>
    <n v="1831"/>
    <n v="1407"/>
    <n v="1566"/>
    <n v="1633"/>
    <n v="1531"/>
    <n v="1850"/>
    <n v="18946"/>
    <n v="2"/>
    <n v="37892"/>
    <n v="0.99555607780335864"/>
    <x v="2"/>
    <n v="1578.8333333333333"/>
    <n v="204.76719966978641"/>
    <n v="0.12969526000408724"/>
    <x v="0"/>
    <s v="CX"/>
  </r>
  <r>
    <s v="ITM_368"/>
    <s v="Compare Husband"/>
    <s v="Electronics"/>
    <n v="337"/>
    <n v="307"/>
    <n v="325"/>
    <n v="329"/>
    <n v="335"/>
    <n v="336"/>
    <n v="303"/>
    <n v="294"/>
    <n v="317"/>
    <n v="311"/>
    <n v="276"/>
    <n v="300"/>
    <n v="3770"/>
    <n v="10"/>
    <n v="37700"/>
    <n v="0.99559123627152746"/>
    <x v="2"/>
    <n v="314.16666666666669"/>
    <n v="19.135085971887221"/>
    <n v="6.0907435454282927E-2"/>
    <x v="0"/>
    <s v="CX"/>
  </r>
  <r>
    <s v="ITM_515"/>
    <s v="Study Scientist"/>
    <s v="Electronics"/>
    <n v="55"/>
    <n v="57"/>
    <n v="66"/>
    <n v="75"/>
    <n v="70"/>
    <n v="67"/>
    <n v="66"/>
    <n v="62"/>
    <n v="51"/>
    <n v="51"/>
    <n v="69"/>
    <n v="65"/>
    <n v="754"/>
    <n v="50"/>
    <n v="37700"/>
    <n v="0.99562639473969627"/>
    <x v="2"/>
    <n v="62.833333333333336"/>
    <n v="7.7204961372997518"/>
    <n v="0.12287261756975731"/>
    <x v="0"/>
    <s v="CX"/>
  </r>
  <r>
    <s v="ITM_461"/>
    <s v="Trial Politics"/>
    <s v="Toys"/>
    <n v="341"/>
    <n v="299"/>
    <n v="315"/>
    <n v="313"/>
    <n v="305"/>
    <n v="298"/>
    <n v="332"/>
    <n v="332"/>
    <n v="309"/>
    <n v="312"/>
    <n v="291"/>
    <n v="302"/>
    <n v="3749"/>
    <n v="10"/>
    <n v="37490"/>
    <n v="0.99566135736493899"/>
    <x v="2"/>
    <n v="312.41666666666669"/>
    <n v="15.412263908585228"/>
    <n v="4.9332399814089815E-2"/>
    <x v="0"/>
    <s v="CX"/>
  </r>
  <r>
    <s v="ITM_329"/>
    <s v="Be Help"/>
    <s v="Grocery"/>
    <n v="1704"/>
    <n v="1876"/>
    <n v="1143"/>
    <n v="1723"/>
    <n v="1539"/>
    <n v="1620"/>
    <n v="1501"/>
    <n v="1465"/>
    <n v="1507"/>
    <n v="1543"/>
    <n v="1294"/>
    <n v="1640"/>
    <n v="18555"/>
    <n v="2"/>
    <n v="37110"/>
    <n v="0.99569596560774398"/>
    <x v="2"/>
    <n v="1546.25"/>
    <n v="194.37130586960242"/>
    <n v="0.12570496741768952"/>
    <x v="0"/>
    <s v="CX"/>
  </r>
  <r>
    <s v="ITM_407"/>
    <s v="Remain Stock"/>
    <s v="Home &amp; Kitchen"/>
    <n v="306"/>
    <n v="288"/>
    <n v="333"/>
    <n v="327"/>
    <n v="292"/>
    <n v="305"/>
    <n v="297"/>
    <n v="333"/>
    <n v="309"/>
    <n v="295"/>
    <n v="300"/>
    <n v="301"/>
    <n v="3686"/>
    <n v="10"/>
    <n v="36860"/>
    <n v="0.99573034070420829"/>
    <x v="2"/>
    <n v="307.16666666666669"/>
    <n v="15.596231090953486"/>
    <n v="5.0774490800716721E-2"/>
    <x v="0"/>
    <s v="CX"/>
  </r>
  <r>
    <s v="ITM_797"/>
    <s v="Admit Art"/>
    <s v="Grocery"/>
    <n v="1613"/>
    <n v="1776"/>
    <n v="1769"/>
    <n v="1271"/>
    <n v="1784"/>
    <n v="1597"/>
    <n v="1339"/>
    <n v="1036"/>
    <n v="1628"/>
    <n v="1309"/>
    <n v="1544"/>
    <n v="1687"/>
    <n v="18353"/>
    <n v="2"/>
    <n v="36706"/>
    <n v="0.99576457218252667"/>
    <x v="2"/>
    <n v="1529.4166666666667"/>
    <n v="238.25405017384813"/>
    <n v="0.1557809950463781"/>
    <x v="0"/>
    <s v="CX"/>
  </r>
  <r>
    <s v="ITM_671"/>
    <s v="Attack Politics"/>
    <s v="Toys"/>
    <n v="330"/>
    <n v="295"/>
    <n v="260"/>
    <n v="283"/>
    <n v="295"/>
    <n v="274"/>
    <n v="337"/>
    <n v="298"/>
    <n v="301"/>
    <n v="333"/>
    <n v="339"/>
    <n v="307"/>
    <n v="3652"/>
    <n v="10"/>
    <n v="36520"/>
    <n v="0.99579863019996773"/>
    <x v="2"/>
    <n v="304.33333333333331"/>
    <n v="25.801104040272577"/>
    <n v="8.4779093232001904E-2"/>
    <x v="0"/>
    <s v="CX"/>
  </r>
  <r>
    <s v="ITM_558"/>
    <s v="Here Plant"/>
    <s v="Grocery"/>
    <n v="1405"/>
    <n v="1861"/>
    <n v="1552"/>
    <n v="1456"/>
    <n v="1357"/>
    <n v="1343"/>
    <n v="1669"/>
    <n v="1573"/>
    <n v="1359"/>
    <n v="1709"/>
    <n v="1548"/>
    <n v="1329"/>
    <n v="18161"/>
    <n v="2"/>
    <n v="36322"/>
    <n v="0.99583250356550701"/>
    <x v="2"/>
    <n v="1513.4166666666667"/>
    <n v="169.47000717924527"/>
    <n v="0.11197842002923535"/>
    <x v="0"/>
    <s v="CX"/>
  </r>
  <r>
    <s v="ITM_724"/>
    <s v="Threat Local"/>
    <s v="Electronics"/>
    <n v="66"/>
    <n v="59"/>
    <n v="54"/>
    <n v="59"/>
    <n v="62"/>
    <n v="70"/>
    <n v="65"/>
    <n v="49"/>
    <n v="68"/>
    <n v="54"/>
    <n v="58"/>
    <n v="61"/>
    <n v="725"/>
    <n v="50"/>
    <n v="36250"/>
    <n v="0.99586630978490009"/>
    <x v="2"/>
    <n v="60.416666666666664"/>
    <n v="6.2298158929944352"/>
    <n v="0.10311419409094238"/>
    <x v="0"/>
    <s v="CX"/>
  </r>
  <r>
    <s v="ITM_630"/>
    <s v="Total Key"/>
    <s v="Toys"/>
    <n v="278"/>
    <n v="274"/>
    <n v="309"/>
    <n v="313"/>
    <n v="298"/>
    <n v="301"/>
    <n v="321"/>
    <n v="286"/>
    <n v="335"/>
    <n v="297"/>
    <n v="317"/>
    <n v="292"/>
    <n v="3621"/>
    <n v="10"/>
    <n v="36210"/>
    <n v="0.99590007870087871"/>
    <x v="2"/>
    <n v="301.75"/>
    <n v="18.096333129318566"/>
    <n v="5.9971277976200714E-2"/>
    <x v="0"/>
    <s v="CX"/>
  </r>
  <r>
    <s v="ITM_192"/>
    <s v="Hand Daughter"/>
    <s v="Apparel"/>
    <n v="503"/>
    <n v="264"/>
    <n v="490"/>
    <n v="209"/>
    <n v="174"/>
    <n v="311"/>
    <n v="88"/>
    <n v="611"/>
    <n v="412"/>
    <n v="82"/>
    <n v="39"/>
    <n v="395"/>
    <n v="3578"/>
    <n v="10"/>
    <n v="35780"/>
    <n v="0.99593344660515148"/>
    <x v="2"/>
    <n v="298.16666666666669"/>
    <n v="186.28464697062316"/>
    <n v="0.62476684283048567"/>
    <x v="2"/>
    <s v="CZ"/>
  </r>
  <r>
    <s v="ITM_758"/>
    <s v="Tonight Factor"/>
    <s v="Apparel"/>
    <n v="462"/>
    <n v="151"/>
    <n v="556"/>
    <n v="379"/>
    <n v="329"/>
    <n v="511"/>
    <n v="122"/>
    <n v="256"/>
    <n v="171"/>
    <n v="82"/>
    <n v="267"/>
    <n v="273"/>
    <n v="3559"/>
    <n v="10"/>
    <n v="35590"/>
    <n v="0.99596663731820534"/>
    <x v="2"/>
    <n v="296.58333333333331"/>
    <n v="155.22620346585899"/>
    <n v="0.52338141095541102"/>
    <x v="2"/>
    <s v="CZ"/>
  </r>
  <r>
    <s v="ITM_646"/>
    <s v="Remain Employee"/>
    <s v="Electronics"/>
    <n v="290"/>
    <n v="276"/>
    <n v="280"/>
    <n v="313"/>
    <n v="281"/>
    <n v="293"/>
    <n v="275"/>
    <n v="282"/>
    <n v="322"/>
    <n v="299"/>
    <n v="318"/>
    <n v="279"/>
    <n v="3508"/>
    <n v="10"/>
    <n v="35080"/>
    <n v="0.99599935241272419"/>
    <x v="2"/>
    <n v="292.33333333333331"/>
    <n v="16.918700430069215"/>
    <n v="5.7874687902175197E-2"/>
    <x v="0"/>
    <s v="CX"/>
  </r>
  <r>
    <s v="ITM_620"/>
    <s v="Modern Alone"/>
    <s v="Grocery"/>
    <n v="1681"/>
    <n v="1584"/>
    <n v="1720"/>
    <n v="1308"/>
    <n v="1187"/>
    <n v="1425"/>
    <n v="1452"/>
    <n v="1623"/>
    <n v="1187"/>
    <n v="1531"/>
    <n v="1359"/>
    <n v="1324"/>
    <n v="17381"/>
    <n v="2"/>
    <n v="34762"/>
    <n v="0.99603177094509787"/>
    <x v="2"/>
    <n v="1448.4166666666667"/>
    <n v="181.90030153072811"/>
    <n v="0.12558561753459163"/>
    <x v="0"/>
    <s v="CX"/>
  </r>
  <r>
    <s v="ITM_060"/>
    <s v="First Beautiful"/>
    <s v="Grocery"/>
    <n v="1268"/>
    <n v="1565"/>
    <n v="1676"/>
    <n v="1221"/>
    <n v="1234"/>
    <n v="1228"/>
    <n v="1535"/>
    <n v="1744"/>
    <n v="1455"/>
    <n v="1342"/>
    <n v="1461"/>
    <n v="1494"/>
    <n v="17223"/>
    <n v="2"/>
    <n v="34446"/>
    <n v="0.99606389478049695"/>
    <x v="2"/>
    <n v="1435.25"/>
    <n v="178.52991855199457"/>
    <n v="0.12438942243650554"/>
    <x v="0"/>
    <s v="CX"/>
  </r>
  <r>
    <s v="ITM_697"/>
    <s v="Quality Good"/>
    <s v="Toys"/>
    <n v="56"/>
    <n v="75"/>
    <n v="55"/>
    <n v="48"/>
    <n v="57"/>
    <n v="56"/>
    <n v="66"/>
    <n v="43"/>
    <n v="58"/>
    <n v="51"/>
    <n v="56"/>
    <n v="67"/>
    <n v="688"/>
    <n v="50"/>
    <n v="34400"/>
    <n v="0.99609597571696928"/>
    <x v="2"/>
    <n v="57.333333333333336"/>
    <n v="8.6585043148165468"/>
    <n v="0.15102042409563743"/>
    <x v="0"/>
    <s v="CX"/>
  </r>
  <r>
    <s v="ITM_276"/>
    <s v="Station Perhaps"/>
    <s v="Home &amp; Kitchen"/>
    <n v="271"/>
    <n v="301"/>
    <n v="302"/>
    <n v="303"/>
    <n v="256"/>
    <n v="281"/>
    <n v="303"/>
    <n v="272"/>
    <n v="288"/>
    <n v="277"/>
    <n v="289"/>
    <n v="282"/>
    <n v="3425"/>
    <n v="10"/>
    <n v="34250"/>
    <n v="0.99612791676563728"/>
    <x v="2"/>
    <n v="285.41666666666669"/>
    <n v="15.1084463633807"/>
    <n v="5.2934702587027267E-2"/>
    <x v="0"/>
    <s v="CX"/>
  </r>
  <r>
    <s v="ITM_894"/>
    <s v="Production Star"/>
    <s v="Grocery"/>
    <n v="1727"/>
    <n v="1662"/>
    <n v="1694"/>
    <n v="1488"/>
    <n v="1082"/>
    <n v="1332"/>
    <n v="1546"/>
    <n v="1106"/>
    <n v="949"/>
    <n v="1597"/>
    <n v="1440"/>
    <n v="1501"/>
    <n v="17124"/>
    <n v="2"/>
    <n v="34248"/>
    <n v="0.99615985594913459"/>
    <x v="2"/>
    <n v="1427"/>
    <n v="257.34942640838989"/>
    <n v="0.18034297575920805"/>
    <x v="0"/>
    <s v="CX"/>
  </r>
  <r>
    <s v="ITM_196"/>
    <s v="Institution Others"/>
    <s v="Electronics"/>
    <n v="271"/>
    <n v="273"/>
    <n v="312"/>
    <n v="282"/>
    <n v="283"/>
    <n v="290"/>
    <n v="293"/>
    <n v="292"/>
    <n v="292"/>
    <n v="277"/>
    <n v="263"/>
    <n v="281"/>
    <n v="3409"/>
    <n v="10"/>
    <n v="34090"/>
    <n v="0.99619164778414449"/>
    <x v="2"/>
    <n v="284.08333333333331"/>
    <n v="12.87321626361093"/>
    <n v="4.5314929646034369E-2"/>
    <x v="0"/>
    <s v="CX"/>
  </r>
  <r>
    <s v="ITM_331"/>
    <s v="Why Owner"/>
    <s v="Electronics"/>
    <n v="250"/>
    <n v="275"/>
    <n v="297"/>
    <n v="279"/>
    <n v="285"/>
    <n v="308"/>
    <n v="280"/>
    <n v="293"/>
    <n v="260"/>
    <n v="282"/>
    <n v="289"/>
    <n v="272"/>
    <n v="3370"/>
    <n v="10"/>
    <n v="33700"/>
    <n v="0.99622307591086312"/>
    <x v="2"/>
    <n v="280.83333333333331"/>
    <n v="15.764363339987806"/>
    <n v="5.6134231477701392E-2"/>
    <x v="0"/>
    <s v="CX"/>
  </r>
  <r>
    <s v="ITM_754"/>
    <s v="Yeah North"/>
    <s v="Electronics"/>
    <n v="293"/>
    <n v="314"/>
    <n v="294"/>
    <n v="256"/>
    <n v="257"/>
    <n v="291"/>
    <n v="261"/>
    <n v="288"/>
    <n v="276"/>
    <n v="288"/>
    <n v="269"/>
    <n v="252"/>
    <n v="3339"/>
    <n v="10"/>
    <n v="33390"/>
    <n v="0.99625421493611932"/>
    <x v="2"/>
    <n v="278.25"/>
    <n v="19.353764021972104"/>
    <n v="6.9555306458120775E-2"/>
    <x v="0"/>
    <s v="CX"/>
  </r>
  <r>
    <s v="ITM_830"/>
    <s v="Word Radio"/>
    <s v="Grocery"/>
    <n v="1383"/>
    <n v="1472"/>
    <n v="1255"/>
    <n v="1453"/>
    <n v="1185"/>
    <n v="1338"/>
    <n v="1387"/>
    <n v="1672"/>
    <n v="1249"/>
    <n v="1368"/>
    <n v="1363"/>
    <n v="1560"/>
    <n v="16685"/>
    <n v="2"/>
    <n v="33370"/>
    <n v="0.99628533530966823"/>
    <x v="2"/>
    <n v="1390.4166666666667"/>
    <n v="135.92140665796094"/>
    <n v="9.7755881324275165E-2"/>
    <x v="0"/>
    <s v="CX"/>
  </r>
  <r>
    <s v="ITM_615"/>
    <s v="Check West"/>
    <s v="Electronics"/>
    <n v="304"/>
    <n v="273"/>
    <n v="295"/>
    <n v="252"/>
    <n v="272"/>
    <n v="277"/>
    <n v="277"/>
    <n v="303"/>
    <n v="247"/>
    <n v="247"/>
    <n v="299"/>
    <n v="275"/>
    <n v="3321"/>
    <n v="10"/>
    <n v="33210"/>
    <n v="0.99631630646955915"/>
    <x v="2"/>
    <n v="276.75"/>
    <n v="20.63150723793807"/>
    <n v="7.4549258312332681E-2"/>
    <x v="0"/>
    <s v="CX"/>
  </r>
  <r>
    <s v="ITM_321"/>
    <s v="Movement Left"/>
    <s v="Grocery"/>
    <n v="1655"/>
    <n v="1130"/>
    <n v="1267"/>
    <n v="1528"/>
    <n v="1624"/>
    <n v="1241"/>
    <n v="1114"/>
    <n v="1450"/>
    <n v="1347"/>
    <n v="1369"/>
    <n v="1357"/>
    <n v="1477"/>
    <n v="16559"/>
    <n v="2"/>
    <n v="33118"/>
    <n v="0.9963471918315967"/>
    <x v="2"/>
    <n v="1379.9166666666667"/>
    <n v="175.41092447234448"/>
    <n v="0.12711704170953159"/>
    <x v="0"/>
    <s v="CX"/>
  </r>
  <r>
    <s v="ITM_715"/>
    <s v="Fight Show"/>
    <s v="Grocery"/>
    <n v="1505"/>
    <n v="1270"/>
    <n v="1393"/>
    <n v="1545"/>
    <n v="1219"/>
    <n v="1282"/>
    <n v="1170"/>
    <n v="1273"/>
    <n v="1636"/>
    <n v="1475"/>
    <n v="1150"/>
    <n v="1620"/>
    <n v="16538"/>
    <n v="2"/>
    <n v="33076"/>
    <n v="0.9963780380250491"/>
    <x v="2"/>
    <n v="1378.1666666666667"/>
    <n v="173.523293345111"/>
    <n v="0.12590878704446318"/>
    <x v="0"/>
    <s v="CX"/>
  </r>
  <r>
    <s v="ITM_679"/>
    <s v="Determine Central"/>
    <s v="Grocery"/>
    <n v="1489"/>
    <n v="1336"/>
    <n v="1704"/>
    <n v="1247"/>
    <n v="1013"/>
    <n v="1662"/>
    <n v="1343"/>
    <n v="1206"/>
    <n v="1173"/>
    <n v="1211"/>
    <n v="1177"/>
    <n v="1929"/>
    <n v="16490"/>
    <n v="2"/>
    <n v="32980"/>
    <n v="0.99640879469030663"/>
    <x v="2"/>
    <n v="1374.1666666666667"/>
    <n v="268.99673311072485"/>
    <n v="0.19575262567184343"/>
    <x v="0"/>
    <s v="CX"/>
  </r>
  <r>
    <s v="ITM_731"/>
    <s v="Phone Green"/>
    <s v="Apparel"/>
    <n v="216"/>
    <n v="30"/>
    <n v="175"/>
    <n v="549"/>
    <n v="415"/>
    <n v="107"/>
    <n v="573"/>
    <n v="286"/>
    <n v="477"/>
    <n v="161"/>
    <n v="157"/>
    <n v="145"/>
    <n v="3291"/>
    <n v="10"/>
    <n v="32910"/>
    <n v="0.99643948607458876"/>
    <x v="2"/>
    <n v="274.25"/>
    <n v="183.389364715921"/>
    <n v="0.6686941284080985"/>
    <x v="2"/>
    <s v="CZ"/>
  </r>
  <r>
    <s v="ITM_137"/>
    <s v="Letter Television"/>
    <s v="Home &amp; Kitchen"/>
    <n v="263"/>
    <n v="266"/>
    <n v="297"/>
    <n v="260"/>
    <n v="294"/>
    <n v="295"/>
    <n v="261"/>
    <n v="270"/>
    <n v="251"/>
    <n v="266"/>
    <n v="275"/>
    <n v="257"/>
    <n v="3255"/>
    <n v="10"/>
    <n v="32550"/>
    <n v="0.99646984172814035"/>
    <x v="2"/>
    <n v="271.25"/>
    <n v="15.748737323122997"/>
    <n v="5.8059861099070957E-2"/>
    <x v="0"/>
    <s v="CX"/>
  </r>
  <r>
    <s v="ITM_673"/>
    <s v="Others Find"/>
    <s v="Grocery"/>
    <n v="1440"/>
    <n v="1560"/>
    <n v="1279"/>
    <n v="1192"/>
    <n v="1123"/>
    <n v="1377"/>
    <n v="1545"/>
    <n v="1613"/>
    <n v="1290"/>
    <n v="1176"/>
    <n v="1409"/>
    <n v="1100"/>
    <n v="16104"/>
    <n v="2"/>
    <n v="32208"/>
    <n v="0.99649987843749799"/>
    <x v="2"/>
    <n v="1342"/>
    <n v="176.00258262567937"/>
    <n v="0.13114946544387435"/>
    <x v="0"/>
    <s v="CX"/>
  </r>
  <r>
    <s v="ITM_692"/>
    <s v="Heavy Ask"/>
    <s v="Toys"/>
    <n v="270"/>
    <n v="236"/>
    <n v="279"/>
    <n v="260"/>
    <n v="258"/>
    <n v="279"/>
    <n v="215"/>
    <n v="271"/>
    <n v="275"/>
    <n v="277"/>
    <n v="294"/>
    <n v="269"/>
    <n v="3183"/>
    <n v="10"/>
    <n v="31830"/>
    <n v="0.99652956262958858"/>
    <x v="2"/>
    <n v="265.25"/>
    <n v="21.252272605749507"/>
    <n v="8.0121668636190413E-2"/>
    <x v="0"/>
    <s v="CX"/>
  </r>
  <r>
    <s v="ITM_466"/>
    <s v="Behind Of"/>
    <s v="Grocery"/>
    <n v="1374"/>
    <n v="1586"/>
    <n v="973"/>
    <n v="1684"/>
    <n v="1215"/>
    <n v="1260"/>
    <n v="1282"/>
    <n v="1214"/>
    <n v="1373"/>
    <n v="1256"/>
    <n v="1246"/>
    <n v="1418"/>
    <n v="15881"/>
    <n v="2"/>
    <n v="31762"/>
    <n v="0.99655918340587446"/>
    <x v="2"/>
    <n v="1323.4166666666667"/>
    <n v="184.81610434224217"/>
    <n v="0.13965073056526076"/>
    <x v="0"/>
    <s v="CX"/>
  </r>
  <r>
    <s v="ITM_082"/>
    <s v="Spring Believe"/>
    <s v="Apparel"/>
    <n v="132"/>
    <n v="134"/>
    <n v="467"/>
    <n v="375"/>
    <n v="443"/>
    <n v="346"/>
    <n v="81"/>
    <n v="92"/>
    <n v="269"/>
    <n v="113"/>
    <n v="216"/>
    <n v="460"/>
    <n v="3128"/>
    <n v="10"/>
    <n v="31280"/>
    <n v="0.9965883546760157"/>
    <x v="2"/>
    <n v="260.66666666666669"/>
    <n v="151.68887616274026"/>
    <n v="0.58192663489542296"/>
    <x v="2"/>
    <s v="CZ"/>
  </r>
  <r>
    <s v="ITM_105"/>
    <s v="Last Many"/>
    <s v="Home &amp; Kitchen"/>
    <n v="286"/>
    <n v="255"/>
    <n v="287"/>
    <n v="280"/>
    <n v="232"/>
    <n v="266"/>
    <n v="247"/>
    <n v="269"/>
    <n v="251"/>
    <n v="247"/>
    <n v="241"/>
    <n v="257"/>
    <n v="3118"/>
    <n v="10"/>
    <n v="31180"/>
    <n v="0.9966174326876206"/>
    <x v="2"/>
    <n v="259.83333333333331"/>
    <n v="17.88769680449937"/>
    <n v="6.8842963968567178E-2"/>
    <x v="0"/>
    <s v="CX"/>
  </r>
  <r>
    <s v="ITM_864"/>
    <s v="Rise Maybe"/>
    <s v="Grocery"/>
    <n v="1130"/>
    <n v="1579"/>
    <n v="1697"/>
    <n v="1292"/>
    <n v="1321"/>
    <n v="1001"/>
    <n v="700"/>
    <n v="1180"/>
    <n v="1577"/>
    <n v="1371"/>
    <n v="1112"/>
    <n v="1598"/>
    <n v="15558"/>
    <n v="2"/>
    <n v="31116"/>
    <n v="0.99664645101376226"/>
    <x v="2"/>
    <n v="1296.5"/>
    <n v="291.45824587907799"/>
    <n v="0.22480389192370073"/>
    <x v="1"/>
    <s v="CY"/>
  </r>
  <r>
    <s v="ITM_173"/>
    <s v="Between Natural"/>
    <s v="Electronics"/>
    <n v="234"/>
    <n v="226"/>
    <n v="253"/>
    <n v="273"/>
    <n v="259"/>
    <n v="254"/>
    <n v="267"/>
    <n v="243"/>
    <n v="276"/>
    <n v="264"/>
    <n v="263"/>
    <n v="271"/>
    <n v="3083"/>
    <n v="10"/>
    <n v="30830"/>
    <n v="0.99667520262049025"/>
    <x v="2"/>
    <n v="256.91666666666669"/>
    <n v="15.704419374137583"/>
    <n v="6.1126510700503074E-2"/>
    <x v="0"/>
    <s v="CX"/>
  </r>
  <r>
    <s v="ITM_123"/>
    <s v="One Concern"/>
    <s v="Toys"/>
    <n v="265"/>
    <n v="246"/>
    <n v="216"/>
    <n v="273"/>
    <n v="275"/>
    <n v="271"/>
    <n v="262"/>
    <n v="257"/>
    <n v="269"/>
    <n v="248"/>
    <n v="253"/>
    <n v="234"/>
    <n v="3069"/>
    <n v="10"/>
    <n v="30690"/>
    <n v="0.99670382366526755"/>
    <x v="2"/>
    <n v="255.75"/>
    <n v="17.628102563804195"/>
    <n v="6.8927087248501245E-2"/>
    <x v="0"/>
    <s v="CX"/>
  </r>
  <r>
    <s v="ITM_111"/>
    <s v="Be Happen"/>
    <s v="Electronics"/>
    <n v="234"/>
    <n v="231"/>
    <n v="239"/>
    <n v="262"/>
    <n v="268"/>
    <n v="270"/>
    <n v="254"/>
    <n v="265"/>
    <n v="262"/>
    <n v="248"/>
    <n v="245"/>
    <n v="275"/>
    <n v="3053"/>
    <n v="10"/>
    <n v="30530"/>
    <n v="0.99673229549638676"/>
    <x v="2"/>
    <n v="254.41666666666666"/>
    <n v="14.804534522376663"/>
    <n v="5.8190112764009157E-2"/>
    <x v="0"/>
    <s v="CX"/>
  </r>
  <r>
    <s v="ITM_505"/>
    <s v="Resource Ground"/>
    <s v="Electronics"/>
    <n v="272"/>
    <n v="269"/>
    <n v="248"/>
    <n v="228"/>
    <n v="252"/>
    <n v="252"/>
    <n v="266"/>
    <n v="240"/>
    <n v="255"/>
    <n v="249"/>
    <n v="273"/>
    <n v="241"/>
    <n v="3045"/>
    <n v="10"/>
    <n v="30450"/>
    <n v="0.99676069272067702"/>
    <x v="2"/>
    <n v="253.75"/>
    <n v="14.026760139105537"/>
    <n v="5.5277872469381428E-2"/>
    <x v="0"/>
    <s v="CX"/>
  </r>
  <r>
    <s v="ITM_018"/>
    <s v="Color New"/>
    <s v="Apparel"/>
    <n v="449"/>
    <n v="269"/>
    <n v="382"/>
    <n v="104"/>
    <n v="37"/>
    <n v="210"/>
    <n v="257"/>
    <n v="409"/>
    <n v="239"/>
    <n v="170"/>
    <n v="64"/>
    <n v="404"/>
    <n v="2994"/>
    <n v="10"/>
    <n v="29940"/>
    <n v="0.99678861432643229"/>
    <x v="2"/>
    <n v="249.5"/>
    <n v="140.07497992146921"/>
    <n v="0.56142276521630941"/>
    <x v="2"/>
    <s v="CZ"/>
  </r>
  <r>
    <s v="ITM_053"/>
    <s v="Early Best"/>
    <s v="Grocery"/>
    <n v="1321"/>
    <n v="1171"/>
    <n v="1390"/>
    <n v="972"/>
    <n v="1224"/>
    <n v="1652"/>
    <n v="1333"/>
    <n v="995"/>
    <n v="1003"/>
    <n v="991"/>
    <n v="1269"/>
    <n v="1595"/>
    <n v="14916"/>
    <n v="2"/>
    <n v="29832"/>
    <n v="0.99681643521296848"/>
    <x v="2"/>
    <n v="1243"/>
    <n v="231.44761826383092"/>
    <n v="0.18620081919857676"/>
    <x v="0"/>
    <s v="CX"/>
  </r>
  <r>
    <s v="ITM_175"/>
    <s v="Head Fill"/>
    <s v="Home &amp; Kitchen"/>
    <n v="239"/>
    <n v="257"/>
    <n v="255"/>
    <n v="263"/>
    <n v="248"/>
    <n v="257"/>
    <n v="228"/>
    <n v="273"/>
    <n v="246"/>
    <n v="243"/>
    <n v="219"/>
    <n v="241"/>
    <n v="2969"/>
    <n v="10"/>
    <n v="29690"/>
    <n v="0.99684412367238318"/>
    <x v="2"/>
    <n v="247.41666666666666"/>
    <n v="14.94510155890754"/>
    <n v="6.0404586967628994E-2"/>
    <x v="0"/>
    <s v="CX"/>
  </r>
  <r>
    <s v="ITM_387"/>
    <s v="Check Consider"/>
    <s v="Grocery"/>
    <n v="1456"/>
    <n v="1368"/>
    <n v="1112"/>
    <n v="1284"/>
    <n v="1354"/>
    <n v="913"/>
    <n v="1151"/>
    <n v="1083"/>
    <n v="1208"/>
    <n v="1207"/>
    <n v="1498"/>
    <n v="1129"/>
    <n v="14763"/>
    <n v="2"/>
    <n v="29526"/>
    <n v="0.9968716591877983"/>
    <x v="2"/>
    <n v="1230.25"/>
    <n v="168.87656869603154"/>
    <n v="0.13727012289862348"/>
    <x v="0"/>
    <s v="CX"/>
  </r>
  <r>
    <s v="ITM_992"/>
    <s v="Network Pick"/>
    <s v="Electronics"/>
    <n v="265"/>
    <n v="262"/>
    <n v="266"/>
    <n v="230"/>
    <n v="223"/>
    <n v="256"/>
    <n v="240"/>
    <n v="238"/>
    <n v="234"/>
    <n v="264"/>
    <n v="234"/>
    <n v="230"/>
    <n v="2942"/>
    <n v="10"/>
    <n v="29420"/>
    <n v="0.99689909584916514"/>
    <x v="2"/>
    <n v="245.16666666666666"/>
    <n v="16.129213097715436"/>
    <n v="6.5788768583475613E-2"/>
    <x v="0"/>
    <s v="CX"/>
  </r>
  <r>
    <s v="ITM_504"/>
    <s v="No Half"/>
    <s v="Grocery"/>
    <n v="1433"/>
    <n v="1101"/>
    <n v="1174"/>
    <n v="1262"/>
    <n v="972"/>
    <n v="1260"/>
    <n v="1384"/>
    <n v="1276"/>
    <n v="1495"/>
    <n v="1397"/>
    <n v="852"/>
    <n v="1053"/>
    <n v="14659"/>
    <n v="2"/>
    <n v="29318"/>
    <n v="0.99692643738682496"/>
    <x v="2"/>
    <n v="1221.5833333333333"/>
    <n v="196.97321383806755"/>
    <n v="0.16124418896628764"/>
    <x v="0"/>
    <s v="CX"/>
  </r>
  <r>
    <s v="ITM_855"/>
    <s v="Mother Data"/>
    <s v="Apparel"/>
    <n v="66"/>
    <n v="461"/>
    <n v="313"/>
    <n v="393"/>
    <n v="11"/>
    <n v="48"/>
    <n v="126"/>
    <n v="29"/>
    <n v="438"/>
    <n v="351"/>
    <n v="278"/>
    <n v="343"/>
    <n v="2857"/>
    <n v="10"/>
    <n v="28570"/>
    <n v="0.99695308135063354"/>
    <x v="2"/>
    <n v="238.08333333333334"/>
    <n v="170.08311248185444"/>
    <n v="0.71438479166337177"/>
    <x v="2"/>
    <s v="CZ"/>
  </r>
  <r>
    <s v="ITM_968"/>
    <s v="Star Sense"/>
    <s v="Electronics"/>
    <n v="252"/>
    <n v="238"/>
    <n v="236"/>
    <n v="223"/>
    <n v="232"/>
    <n v="241"/>
    <n v="226"/>
    <n v="238"/>
    <n v="213"/>
    <n v="271"/>
    <n v="248"/>
    <n v="220"/>
    <n v="2838"/>
    <n v="10"/>
    <n v="28380"/>
    <n v="0.9969795481232232"/>
    <x v="2"/>
    <n v="236.5"/>
    <n v="15.739354266527986"/>
    <n v="6.6551180830985143E-2"/>
    <x v="0"/>
    <s v="CX"/>
  </r>
  <r>
    <s v="ITM_324"/>
    <s v="Congress Artist"/>
    <s v="Grocery"/>
    <n v="1131"/>
    <n v="1296"/>
    <n v="1374"/>
    <n v="1328"/>
    <n v="1231"/>
    <n v="1373"/>
    <n v="1092"/>
    <n v="864"/>
    <n v="1151"/>
    <n v="833"/>
    <n v="1169"/>
    <n v="1065"/>
    <n v="13907"/>
    <n v="2"/>
    <n v="27814"/>
    <n v="0.9970054870524977"/>
    <x v="2"/>
    <n v="1158.9166666666667"/>
    <n v="178.91311163565251"/>
    <n v="0.15437961743207235"/>
    <x v="0"/>
    <s v="CX"/>
  </r>
  <r>
    <s v="ITM_176"/>
    <s v="Once Among"/>
    <s v="Home &amp; Kitchen"/>
    <n v="228"/>
    <n v="234"/>
    <n v="239"/>
    <n v="233"/>
    <n v="218"/>
    <n v="218"/>
    <n v="244"/>
    <n v="250"/>
    <n v="227"/>
    <n v="202"/>
    <n v="246"/>
    <n v="231"/>
    <n v="2770"/>
    <n v="10"/>
    <n v="27700"/>
    <n v="0.99703131966704095"/>
    <x v="2"/>
    <n v="230.83333333333334"/>
    <n v="13.603698249395494"/>
    <n v="5.8932988806045458E-2"/>
    <x v="0"/>
    <s v="CX"/>
  </r>
  <r>
    <s v="ITM_456"/>
    <s v="Discover Trade"/>
    <s v="Apparel"/>
    <n v="404"/>
    <n v="113"/>
    <n v="325"/>
    <n v="156"/>
    <n v="204"/>
    <n v="182"/>
    <n v="92"/>
    <n v="174"/>
    <n v="270"/>
    <n v="266"/>
    <n v="182"/>
    <n v="392"/>
    <n v="2760"/>
    <n v="10"/>
    <n v="27600"/>
    <n v="0.99705705902304786"/>
    <x v="2"/>
    <n v="230"/>
    <n v="102.27858569079399"/>
    <n v="0.44468950300345211"/>
    <x v="1"/>
    <s v="CY"/>
  </r>
  <r>
    <s v="ITM_557"/>
    <s v="Southern Onto"/>
    <s v="Grocery"/>
    <n v="1650"/>
    <n v="1228"/>
    <n v="1151"/>
    <n v="1312"/>
    <n v="1266"/>
    <n v="846"/>
    <n v="1071"/>
    <n v="805"/>
    <n v="894"/>
    <n v="1235"/>
    <n v="927"/>
    <n v="1394"/>
    <n v="13779"/>
    <n v="2"/>
    <n v="27558"/>
    <n v="0.99708275921046952"/>
    <x v="2"/>
    <n v="1148.25"/>
    <n v="251.44242970219935"/>
    <n v="0.21897881968404037"/>
    <x v="1"/>
    <s v="CY"/>
  </r>
  <r>
    <s v="ITM_547"/>
    <s v="Crime Drop"/>
    <s v="Grocery"/>
    <n v="1068"/>
    <n v="1073"/>
    <n v="1235"/>
    <n v="1083"/>
    <n v="1172"/>
    <n v="889"/>
    <n v="933"/>
    <n v="1410"/>
    <n v="1233"/>
    <n v="931"/>
    <n v="1303"/>
    <n v="1229"/>
    <n v="13559"/>
    <n v="2"/>
    <n v="27118"/>
    <n v="0.99710804906033168"/>
    <x v="2"/>
    <n v="1129.9166666666667"/>
    <n v="161.61708861792206"/>
    <n v="0.14303452049672283"/>
    <x v="0"/>
    <s v="CX"/>
  </r>
  <r>
    <s v="ITM_411"/>
    <s v="Treat Address"/>
    <s v="Electronics"/>
    <n v="218"/>
    <n v="232"/>
    <n v="204"/>
    <n v="245"/>
    <n v="206"/>
    <n v="217"/>
    <n v="244"/>
    <n v="214"/>
    <n v="228"/>
    <n v="237"/>
    <n v="217"/>
    <n v="224"/>
    <n v="2686"/>
    <n v="10"/>
    <n v="26860"/>
    <n v="0.99713309830317021"/>
    <x v="2"/>
    <n v="223.83333333333334"/>
    <n v="13.643735381174583"/>
    <n v="6.09548862896854E-2"/>
    <x v="0"/>
    <s v="CX"/>
  </r>
  <r>
    <s v="ITM_923"/>
    <s v="Represent Size"/>
    <s v="Home &amp; Kitchen"/>
    <n v="225"/>
    <n v="232"/>
    <n v="200"/>
    <n v="212"/>
    <n v="219"/>
    <n v="233"/>
    <n v="216"/>
    <n v="213"/>
    <n v="227"/>
    <n v="217"/>
    <n v="222"/>
    <n v="230"/>
    <n v="2646"/>
    <n v="10"/>
    <n v="26460"/>
    <n v="0.99715777451186383"/>
    <x v="2"/>
    <n v="220.5"/>
    <n v="9.6624860343307279"/>
    <n v="4.3820798341635957E-2"/>
    <x v="0"/>
    <s v="CX"/>
  </r>
  <r>
    <s v="ITM_091"/>
    <s v="Several Run"/>
    <s v="Apparel"/>
    <n v="191"/>
    <n v="313"/>
    <n v="448"/>
    <n v="69"/>
    <n v="336"/>
    <n v="42"/>
    <n v="105"/>
    <n v="73"/>
    <n v="258"/>
    <n v="115"/>
    <n v="613"/>
    <n v="77"/>
    <n v="2640"/>
    <n v="10"/>
    <n v="26400"/>
    <n v="0.99718239476543569"/>
    <x v="2"/>
    <n v="220"/>
    <n v="178.78783769901941"/>
    <n v="0.81267198954099729"/>
    <x v="2"/>
    <s v="CZ"/>
  </r>
  <r>
    <s v="ITM_961"/>
    <s v="Hair Hospital"/>
    <s v="Home &amp; Kitchen"/>
    <n v="220"/>
    <n v="213"/>
    <n v="222"/>
    <n v="207"/>
    <n v="215"/>
    <n v="242"/>
    <n v="220"/>
    <n v="217"/>
    <n v="209"/>
    <n v="213"/>
    <n v="215"/>
    <n v="224"/>
    <n v="2617"/>
    <n v="10"/>
    <n v="26170"/>
    <n v="0.99720680052437405"/>
    <x v="2"/>
    <n v="218.08333333333334"/>
    <n v="9.0800313709243152"/>
    <n v="4.1635604299232624E-2"/>
    <x v="0"/>
    <s v="CX"/>
  </r>
  <r>
    <s v="ITM_670"/>
    <s v="Discuss Relationship"/>
    <s v="Grocery"/>
    <n v="1006"/>
    <n v="1247"/>
    <n v="1287"/>
    <n v="1035"/>
    <n v="1030"/>
    <n v="1083"/>
    <n v="1237"/>
    <n v="792"/>
    <n v="1027"/>
    <n v="888"/>
    <n v="1240"/>
    <n v="1162"/>
    <n v="13034"/>
    <n v="2"/>
    <n v="26068"/>
    <n v="0.9972311111596055"/>
    <x v="2"/>
    <n v="1086.1666666666667"/>
    <n v="153.70623299204885"/>
    <n v="0.14151256681790594"/>
    <x v="0"/>
    <s v="CX"/>
  </r>
  <r>
    <s v="ITM_536"/>
    <s v="Pm Traditional"/>
    <s v="Apparel"/>
    <n v="1054"/>
    <n v="1264"/>
    <n v="1245"/>
    <n v="1139"/>
    <n v="1018"/>
    <n v="1030"/>
    <n v="1038"/>
    <n v="887"/>
    <n v="1204"/>
    <n v="942"/>
    <n v="919"/>
    <n v="1177"/>
    <n v="12917"/>
    <n v="2"/>
    <n v="25834"/>
    <n v="0.99725520356986219"/>
    <x v="2"/>
    <n v="1076.4166666666667"/>
    <n v="127.98825111799273"/>
    <n v="0.11890214549941261"/>
    <x v="0"/>
    <s v="CX"/>
  </r>
  <r>
    <s v="ITM_352"/>
    <s v="Occur Help"/>
    <s v="Toys"/>
    <n v="215"/>
    <n v="219"/>
    <n v="227"/>
    <n v="239"/>
    <n v="221"/>
    <n v="202"/>
    <n v="197"/>
    <n v="199"/>
    <n v="230"/>
    <n v="212"/>
    <n v="198"/>
    <n v="215"/>
    <n v="2574"/>
    <n v="10"/>
    <n v="25740"/>
    <n v="0.99727920831709471"/>
    <x v="2"/>
    <n v="214.5"/>
    <n v="13.621507058525298"/>
    <n v="6.3503529410374349E-2"/>
    <x v="0"/>
    <s v="CX"/>
  </r>
  <r>
    <s v="ITM_086"/>
    <s v="Part Treatment"/>
    <s v="Grocery"/>
    <n v="1226"/>
    <n v="1079"/>
    <n v="1142"/>
    <n v="844"/>
    <n v="943"/>
    <n v="1385"/>
    <n v="1037"/>
    <n v="553"/>
    <n v="1119"/>
    <n v="837"/>
    <n v="1324"/>
    <n v="1177"/>
    <n v="12666"/>
    <n v="2"/>
    <n v="25332"/>
    <n v="0.99730283256949925"/>
    <x v="2"/>
    <n v="1055.5"/>
    <n v="232.48479911207488"/>
    <n v="0.22026034970352903"/>
    <x v="1"/>
    <s v="CY"/>
  </r>
  <r>
    <s v="ITM_539"/>
    <s v="Various General"/>
    <s v="Toys"/>
    <n v="233"/>
    <n v="209"/>
    <n v="211"/>
    <n v="188"/>
    <n v="222"/>
    <n v="223"/>
    <n v="249"/>
    <n v="185"/>
    <n v="206"/>
    <n v="202"/>
    <n v="218"/>
    <n v="184"/>
    <n v="2530"/>
    <n v="10"/>
    <n v="25300"/>
    <n v="0.99732642697917229"/>
    <x v="2"/>
    <n v="210.83333333333334"/>
    <n v="19.738441189872631"/>
    <n v="9.3621064932202194E-2"/>
    <x v="0"/>
    <s v="CX"/>
  </r>
  <r>
    <s v="ITM_328"/>
    <s v="Claim Moment"/>
    <s v="Apparel"/>
    <n v="709"/>
    <n v="728"/>
    <n v="1176"/>
    <n v="804"/>
    <n v="1257"/>
    <n v="1281"/>
    <n v="946"/>
    <n v="1156"/>
    <n v="1266"/>
    <n v="1230"/>
    <n v="1080"/>
    <n v="864"/>
    <n v="12497"/>
    <n v="2"/>
    <n v="24994"/>
    <n v="0.99734973601772436"/>
    <x v="2"/>
    <n v="1041.4166666666667"/>
    <n v="219.14854170934672"/>
    <n v="0.21043310398592946"/>
    <x v="1"/>
    <s v="CY"/>
  </r>
  <r>
    <s v="ITM_775"/>
    <s v="Serious Strong"/>
    <s v="Grocery"/>
    <n v="879"/>
    <n v="1227"/>
    <n v="1358"/>
    <n v="716"/>
    <n v="978"/>
    <n v="848"/>
    <n v="1117"/>
    <n v="998"/>
    <n v="1006"/>
    <n v="1393"/>
    <n v="970"/>
    <n v="957"/>
    <n v="12447"/>
    <n v="2"/>
    <n v="24894"/>
    <n v="0.9973729517977401"/>
    <x v="2"/>
    <n v="1037.25"/>
    <n v="202.90038980203607"/>
    <n v="0.19561377662283547"/>
    <x v="0"/>
    <s v="CX"/>
  </r>
  <r>
    <s v="ITM_590"/>
    <s v="Read Role"/>
    <s v="Apparel"/>
    <n v="895"/>
    <n v="1059"/>
    <n v="1177"/>
    <n v="1170"/>
    <n v="792"/>
    <n v="614"/>
    <n v="945"/>
    <n v="1182"/>
    <n v="1108"/>
    <n v="1148"/>
    <n v="1188"/>
    <n v="1089"/>
    <n v="12367"/>
    <n v="2"/>
    <n v="24734"/>
    <n v="0.99739601836409797"/>
    <x v="2"/>
    <n v="1030.5833333333333"/>
    <n v="183.09285192011831"/>
    <n v="0.1776594342234511"/>
    <x v="0"/>
    <s v="CX"/>
  </r>
  <r>
    <s v="ITM_602"/>
    <s v="Sing Lot"/>
    <s v="Apparel"/>
    <n v="1084"/>
    <n v="990"/>
    <n v="971"/>
    <n v="1109"/>
    <n v="732"/>
    <n v="1235"/>
    <n v="676"/>
    <n v="1015"/>
    <n v="1228"/>
    <n v="1115"/>
    <n v="1003"/>
    <n v="1044"/>
    <n v="12202"/>
    <n v="2"/>
    <n v="24404"/>
    <n v="0.99741877717728611"/>
    <x v="2"/>
    <n v="1016.8333333333334"/>
    <n v="169.45947937933451"/>
    <n v="0.16665413477725077"/>
    <x v="0"/>
    <s v="CX"/>
  </r>
  <r>
    <s v="ITM_160"/>
    <s v="She I"/>
    <s v="Home &amp; Kitchen"/>
    <n v="223"/>
    <n v="212"/>
    <n v="195"/>
    <n v="197"/>
    <n v="226"/>
    <n v="191"/>
    <n v="181"/>
    <n v="201"/>
    <n v="197"/>
    <n v="182"/>
    <n v="202"/>
    <n v="219"/>
    <n v="2426"/>
    <n v="10"/>
    <n v="24260"/>
    <n v="0.99744140169818196"/>
    <x v="2"/>
    <n v="202.16666666666666"/>
    <n v="14.977761292440649"/>
    <n v="7.4086205898304947E-2"/>
    <x v="0"/>
    <s v="CX"/>
  </r>
  <r>
    <s v="ITM_973"/>
    <s v="Population Figure"/>
    <s v="Apparel"/>
    <n v="206"/>
    <n v="338"/>
    <n v="92"/>
    <n v="529"/>
    <n v="38"/>
    <n v="88"/>
    <n v="43"/>
    <n v="11"/>
    <n v="494"/>
    <n v="26"/>
    <n v="26"/>
    <n v="495"/>
    <n v="2386"/>
    <n v="10"/>
    <n v="23860"/>
    <n v="0.99746365318493291"/>
    <x v="2"/>
    <n v="198.83333333333334"/>
    <n v="207.17574153068182"/>
    <n v="1.0419567889221215"/>
    <x v="2"/>
    <s v="CZ"/>
  </r>
  <r>
    <s v="ITM_868"/>
    <s v="Number Be"/>
    <s v="Home &amp; Kitchen"/>
    <n v="173"/>
    <n v="226"/>
    <n v="181"/>
    <n v="192"/>
    <n v="195"/>
    <n v="207"/>
    <n v="197"/>
    <n v="212"/>
    <n v="202"/>
    <n v="209"/>
    <n v="188"/>
    <n v="200"/>
    <n v="2382"/>
    <n v="10"/>
    <n v="23820"/>
    <n v="0.99748586736826927"/>
    <x v="2"/>
    <n v="198.5"/>
    <n v="14.33051416954871"/>
    <n v="7.2194026043066545E-2"/>
    <x v="0"/>
    <s v="CX"/>
  </r>
  <r>
    <s v="ITM_032"/>
    <s v="Without Certainly"/>
    <s v="Grocery"/>
    <n v="1320"/>
    <n v="804"/>
    <n v="666"/>
    <n v="853"/>
    <n v="1307"/>
    <n v="1026"/>
    <n v="875"/>
    <n v="1005"/>
    <n v="894"/>
    <n v="1179"/>
    <n v="1077"/>
    <n v="847"/>
    <n v="11853"/>
    <n v="2"/>
    <n v="23706"/>
    <n v="0.9975079752368744"/>
    <x v="2"/>
    <n v="987.75"/>
    <n v="203.46325332734031"/>
    <n v="0.20598658904311851"/>
    <x v="1"/>
    <s v="CY"/>
  </r>
  <r>
    <s v="ITM_408"/>
    <s v="Health Middle"/>
    <s v="Electronics"/>
    <n v="180"/>
    <n v="199"/>
    <n v="175"/>
    <n v="209"/>
    <n v="182"/>
    <n v="221"/>
    <n v="195"/>
    <n v="209"/>
    <n v="191"/>
    <n v="199"/>
    <n v="212"/>
    <n v="195"/>
    <n v="2367"/>
    <n v="10"/>
    <n v="23670"/>
    <n v="0.99753004953240632"/>
    <x v="2"/>
    <n v="197.25"/>
    <n v="13.94225102472207"/>
    <n v="7.0683148414307076E-2"/>
    <x v="0"/>
    <s v="CX"/>
  </r>
  <r>
    <s v="ITM_116"/>
    <s v="Customer Stage"/>
    <s v="Apparel"/>
    <n v="35"/>
    <n v="330"/>
    <n v="19"/>
    <n v="405"/>
    <n v="345"/>
    <n v="286"/>
    <n v="280"/>
    <n v="104"/>
    <n v="153"/>
    <n v="209"/>
    <n v="12"/>
    <n v="181"/>
    <n v="2359"/>
    <n v="10"/>
    <n v="23590"/>
    <n v="0.9975520492211094"/>
    <x v="2"/>
    <n v="196.58333333333334"/>
    <n v="135.11036453973696"/>
    <n v="0.68729307947301543"/>
    <x v="2"/>
    <s v="CZ"/>
  </r>
  <r>
    <s v="ITM_917"/>
    <s v="Kind Not"/>
    <s v="Home &amp; Kitchen"/>
    <n v="193"/>
    <n v="172"/>
    <n v="194"/>
    <n v="193"/>
    <n v="192"/>
    <n v="215"/>
    <n v="203"/>
    <n v="187"/>
    <n v="206"/>
    <n v="219"/>
    <n v="203"/>
    <n v="181"/>
    <n v="2358"/>
    <n v="10"/>
    <n v="23580"/>
    <n v="0.99757403958395874"/>
    <x v="2"/>
    <n v="196.5"/>
    <n v="13.500841724600999"/>
    <n v="6.8706573662091597E-2"/>
    <x v="0"/>
    <s v="CX"/>
  </r>
  <r>
    <s v="ITM_315"/>
    <s v="The Commercial"/>
    <s v="Electronics"/>
    <n v="192"/>
    <n v="193"/>
    <n v="196"/>
    <n v="195"/>
    <n v="189"/>
    <n v="182"/>
    <n v="185"/>
    <n v="212"/>
    <n v="187"/>
    <n v="218"/>
    <n v="199"/>
    <n v="193"/>
    <n v="2341"/>
    <n v="10"/>
    <n v="23410"/>
    <n v="0.99759587140729644"/>
    <x v="2"/>
    <n v="195.08333333333334"/>
    <n v="10.535294217174204"/>
    <n v="5.400407116876995E-2"/>
    <x v="0"/>
    <s v="CX"/>
  </r>
  <r>
    <s v="ITM_052"/>
    <s v="From Big"/>
    <s v="Home &amp; Kitchen"/>
    <n v="186"/>
    <n v="191"/>
    <n v="201"/>
    <n v="196"/>
    <n v="192"/>
    <n v="205"/>
    <n v="185"/>
    <n v="209"/>
    <n v="194"/>
    <n v="193"/>
    <n v="189"/>
    <n v="180"/>
    <n v="2321"/>
    <n v="10"/>
    <n v="23210"/>
    <n v="0.99761751671356169"/>
    <x v="2"/>
    <n v="193.41666666666666"/>
    <n v="8.3932693092125739"/>
    <n v="4.3394757307432523E-2"/>
    <x v="0"/>
    <s v="CX"/>
  </r>
  <r>
    <s v="ITM_215"/>
    <s v="Wind Sing"/>
    <s v="Apparel"/>
    <n v="695"/>
    <n v="787"/>
    <n v="1191"/>
    <n v="1087"/>
    <n v="1114"/>
    <n v="951"/>
    <n v="794"/>
    <n v="742"/>
    <n v="1207"/>
    <n v="1232"/>
    <n v="1087"/>
    <n v="700"/>
    <n v="11587"/>
    <n v="2"/>
    <n v="23174"/>
    <n v="0.99763912844675395"/>
    <x v="2"/>
    <n v="965.58333333333337"/>
    <n v="210.38253398526351"/>
    <n v="0.21788128142083041"/>
    <x v="1"/>
    <s v="CY"/>
  </r>
  <r>
    <s v="ITM_784"/>
    <s v="Blue Book"/>
    <s v="Home &amp; Kitchen"/>
    <n v="183"/>
    <n v="209"/>
    <n v="205"/>
    <n v="184"/>
    <n v="182"/>
    <n v="177"/>
    <n v="186"/>
    <n v="190"/>
    <n v="200"/>
    <n v="177"/>
    <n v="206"/>
    <n v="170"/>
    <n v="2269"/>
    <n v="10"/>
    <n v="22690"/>
    <n v="0.99766028880863056"/>
    <x v="2"/>
    <n v="189.08333333333334"/>
    <n v="12.915518032994498"/>
    <n v="6.8305956983664151E-2"/>
    <x v="0"/>
    <s v="CX"/>
  </r>
  <r>
    <s v="ITM_056"/>
    <s v="Reach Garden"/>
    <s v="Apparel"/>
    <n v="1190"/>
    <n v="1200"/>
    <n v="1197"/>
    <n v="684"/>
    <n v="761"/>
    <n v="937"/>
    <n v="669"/>
    <n v="1002"/>
    <n v="994"/>
    <n v="1053"/>
    <n v="943"/>
    <n v="692"/>
    <n v="11322"/>
    <n v="2"/>
    <n v="22644"/>
    <n v="0.99768140627158064"/>
    <x v="2"/>
    <n v="943.5"/>
    <n v="201.82598265022091"/>
    <n v="0.21391201128799248"/>
    <x v="1"/>
    <s v="CY"/>
  </r>
  <r>
    <s v="ITM_004"/>
    <s v="Task Save"/>
    <s v="Apparel"/>
    <n v="1145"/>
    <n v="1113"/>
    <n v="717"/>
    <n v="832"/>
    <n v="783"/>
    <n v="954"/>
    <n v="1047"/>
    <n v="894"/>
    <n v="994"/>
    <n v="978"/>
    <n v="1136"/>
    <n v="712"/>
    <n v="11305"/>
    <n v="2"/>
    <n v="22610"/>
    <n v="0.99770249202662831"/>
    <x v="2"/>
    <n v="942.08333333333337"/>
    <n v="155.64087937728081"/>
    <n v="0.16520924834386286"/>
    <x v="0"/>
    <s v="CX"/>
  </r>
  <r>
    <s v="ITM_405"/>
    <s v="Particularly Improve"/>
    <s v="Apparel"/>
    <n v="1012"/>
    <n v="1042"/>
    <n v="623"/>
    <n v="636"/>
    <n v="1092"/>
    <n v="901"/>
    <n v="748"/>
    <n v="1088"/>
    <n v="951"/>
    <n v="1103"/>
    <n v="1078"/>
    <n v="954"/>
    <n v="11228"/>
    <n v="2"/>
    <n v="22456"/>
    <n v="0.99772343416353015"/>
    <x v="2"/>
    <n v="935.66666666666663"/>
    <n v="175.18578882449498"/>
    <n v="0.18723098199981653"/>
    <x v="0"/>
    <s v="CX"/>
  </r>
  <r>
    <s v="ITM_335"/>
    <s v="Describe That"/>
    <s v="Toys"/>
    <n v="205"/>
    <n v="176"/>
    <n v="174"/>
    <n v="205"/>
    <n v="172"/>
    <n v="165"/>
    <n v="178"/>
    <n v="201"/>
    <n v="182"/>
    <n v="187"/>
    <n v="182"/>
    <n v="175"/>
    <n v="2202"/>
    <n v="10"/>
    <n v="22020"/>
    <n v="0.99774396969321388"/>
    <x v="2"/>
    <n v="183.5"/>
    <n v="13.38588130015421"/>
    <n v="7.2947582017189164E-2"/>
    <x v="0"/>
    <s v="CX"/>
  </r>
  <r>
    <s v="ITM_820"/>
    <s v="Together Executive"/>
    <s v="Apparel"/>
    <n v="1009"/>
    <n v="898"/>
    <n v="793"/>
    <n v="889"/>
    <n v="899"/>
    <n v="843"/>
    <n v="892"/>
    <n v="572"/>
    <n v="1051"/>
    <n v="984"/>
    <n v="1044"/>
    <n v="895"/>
    <n v="10769"/>
    <n v="2"/>
    <n v="21538"/>
    <n v="0.99776405571675297"/>
    <x v="2"/>
    <n v="897.41666666666663"/>
    <n v="129.64669356183015"/>
    <n v="0.14446655425220187"/>
    <x v="0"/>
    <s v="CX"/>
  </r>
  <r>
    <s v="ITM_818"/>
    <s v="Research Party"/>
    <s v="Electronics"/>
    <n v="187"/>
    <n v="197"/>
    <n v="185"/>
    <n v="184"/>
    <n v="176"/>
    <n v="194"/>
    <n v="200"/>
    <n v="153"/>
    <n v="164"/>
    <n v="155"/>
    <n v="171"/>
    <n v="185"/>
    <n v="2151"/>
    <n v="10"/>
    <n v="21510"/>
    <n v="0.99778411562790181"/>
    <x v="2"/>
    <n v="179.25"/>
    <n v="15.667714342790168"/>
    <n v="8.7407053516263142E-2"/>
    <x v="0"/>
    <s v="CX"/>
  </r>
  <r>
    <s v="ITM_364"/>
    <s v="Mrs Expect"/>
    <s v="Toys"/>
    <n v="188"/>
    <n v="179"/>
    <n v="156"/>
    <n v="178"/>
    <n v="174"/>
    <n v="210"/>
    <n v="169"/>
    <n v="181"/>
    <n v="181"/>
    <n v="188"/>
    <n v="186"/>
    <n v="160"/>
    <n v="2150"/>
    <n v="10"/>
    <n v="21500"/>
    <n v="0.99780416621319701"/>
    <x v="2"/>
    <n v="179.16666666666666"/>
    <n v="14.128200897710245"/>
    <n v="7.8855074777917658E-2"/>
    <x v="0"/>
    <s v="CX"/>
  </r>
  <r>
    <s v="ITM_948"/>
    <s v="Woman Good"/>
    <s v="Apparel"/>
    <n v="678"/>
    <n v="1155"/>
    <n v="790"/>
    <n v="692"/>
    <n v="1107"/>
    <n v="868"/>
    <n v="1123"/>
    <n v="683"/>
    <n v="647"/>
    <n v="1043"/>
    <n v="750"/>
    <n v="1069"/>
    <n v="10605"/>
    <n v="2"/>
    <n v="21210"/>
    <n v="0.99782394634873717"/>
    <x v="2"/>
    <n v="883.75"/>
    <n v="200.61592658610132"/>
    <n v="0.22700529175230702"/>
    <x v="1"/>
    <s v="CY"/>
  </r>
  <r>
    <s v="ITM_743"/>
    <s v="Performance Hotel"/>
    <s v="Apparel"/>
    <n v="522"/>
    <n v="730"/>
    <n v="894"/>
    <n v="1045"/>
    <n v="1115"/>
    <n v="1081"/>
    <n v="553"/>
    <n v="937"/>
    <n v="953"/>
    <n v="871"/>
    <n v="637"/>
    <n v="787"/>
    <n v="10125"/>
    <n v="2"/>
    <n v="20250"/>
    <n v="0.99784283120232919"/>
    <x v="2"/>
    <n v="843.75"/>
    <n v="200.27895319006709"/>
    <n v="0.23736764822526468"/>
    <x v="1"/>
    <s v="CY"/>
  </r>
  <r>
    <s v="ITM_594"/>
    <s v="Light Response"/>
    <s v="Apparel"/>
    <n v="219"/>
    <n v="136"/>
    <n v="7"/>
    <n v="187"/>
    <n v="168"/>
    <n v="395"/>
    <n v="305"/>
    <n v="235"/>
    <n v="16"/>
    <n v="118"/>
    <n v="12"/>
    <n v="197"/>
    <n v="1995"/>
    <n v="10"/>
    <n v="19950"/>
    <n v="0.99786143628031243"/>
    <x v="2"/>
    <n v="166.25"/>
    <n v="118.87283121049991"/>
    <n v="0.71502454863458598"/>
    <x v="2"/>
    <s v="CZ"/>
  </r>
  <r>
    <s v="ITM_085"/>
    <s v="Learn Significant"/>
    <s v="Apparel"/>
    <n v="970"/>
    <n v="676"/>
    <n v="515"/>
    <n v="1056"/>
    <n v="1046"/>
    <n v="728"/>
    <n v="560"/>
    <n v="929"/>
    <n v="947"/>
    <n v="859"/>
    <n v="844"/>
    <n v="812"/>
    <n v="9942"/>
    <n v="2"/>
    <n v="19884"/>
    <n v="0.99787997980766174"/>
    <x v="2"/>
    <n v="828.5"/>
    <n v="177.96858762663197"/>
    <n v="0.21480819266944112"/>
    <x v="1"/>
    <s v="CY"/>
  </r>
  <r>
    <s v="ITM_633"/>
    <s v="Forget Thus"/>
    <s v="Toys"/>
    <n v="146"/>
    <n v="174"/>
    <n v="163"/>
    <n v="150"/>
    <n v="160"/>
    <n v="187"/>
    <n v="157"/>
    <n v="172"/>
    <n v="180"/>
    <n v="183"/>
    <n v="139"/>
    <n v="168"/>
    <n v="1979"/>
    <n v="10"/>
    <n v="19790"/>
    <n v="0.99789843567198699"/>
    <x v="2"/>
    <n v="164.91666666666666"/>
    <n v="15.156506753526585"/>
    <n v="9.1904032866255203E-2"/>
    <x v="0"/>
    <s v="CX"/>
  </r>
  <r>
    <s v="ITM_693"/>
    <s v="Prove Share"/>
    <s v="Apparel"/>
    <n v="706"/>
    <n v="873"/>
    <n v="880"/>
    <n v="631"/>
    <n v="936"/>
    <n v="811"/>
    <n v="651"/>
    <n v="1033"/>
    <n v="763"/>
    <n v="1016"/>
    <n v="777"/>
    <n v="718"/>
    <n v="9795"/>
    <n v="2"/>
    <n v="19590"/>
    <n v="0.99791670501923968"/>
    <x v="2"/>
    <n v="816.25"/>
    <n v="133.60125543775948"/>
    <n v="0.1636768826190009"/>
    <x v="0"/>
    <s v="CX"/>
  </r>
  <r>
    <s v="ITM_017"/>
    <s v="Admit Fly"/>
    <s v="Home &amp; Kitchen"/>
    <n v="159"/>
    <n v="168"/>
    <n v="152"/>
    <n v="171"/>
    <n v="174"/>
    <n v="143"/>
    <n v="183"/>
    <n v="162"/>
    <n v="152"/>
    <n v="148"/>
    <n v="158"/>
    <n v="177"/>
    <n v="1947"/>
    <n v="10"/>
    <n v="19470"/>
    <n v="0.99793486245624896"/>
    <x v="2"/>
    <n v="162.25"/>
    <n v="12.461759688962651"/>
    <n v="7.6805914878044071E-2"/>
    <x v="0"/>
    <s v="CX"/>
  </r>
  <r>
    <s v="ITM_595"/>
    <s v="Star Thing"/>
    <s v="Apparel"/>
    <n v="342"/>
    <n v="160"/>
    <n v="126"/>
    <n v="96"/>
    <n v="172"/>
    <n v="313"/>
    <n v="7"/>
    <n v="304"/>
    <n v="12"/>
    <n v="86"/>
    <n v="140"/>
    <n v="179"/>
    <n v="1937"/>
    <n v="10"/>
    <n v="19370"/>
    <n v="0.9979529266347219"/>
    <x v="2"/>
    <n v="161.41666666666666"/>
    <n v="110.44987207970973"/>
    <n v="0.68425320854750482"/>
    <x v="2"/>
    <s v="CZ"/>
  </r>
  <r>
    <s v="ITM_727"/>
    <s v="Measure Floor"/>
    <s v="Electronics"/>
    <n v="141"/>
    <n v="169"/>
    <n v="165"/>
    <n v="166"/>
    <n v="145"/>
    <n v="170"/>
    <n v="156"/>
    <n v="144"/>
    <n v="157"/>
    <n v="163"/>
    <n v="182"/>
    <n v="151"/>
    <n v="1909"/>
    <n v="10"/>
    <n v="19090"/>
    <n v="0.99797072968929335"/>
    <x v="2"/>
    <n v="159.08333333333334"/>
    <n v="12.332207155790616"/>
    <n v="7.7520422142214454E-2"/>
    <x v="0"/>
    <s v="CX"/>
  </r>
  <r>
    <s v="ITM_343"/>
    <s v="Discussion Class"/>
    <s v="Apparel"/>
    <n v="528"/>
    <n v="717"/>
    <n v="675"/>
    <n v="564"/>
    <n v="968"/>
    <n v="969"/>
    <n v="1029"/>
    <n v="772"/>
    <n v="753"/>
    <n v="730"/>
    <n v="1048"/>
    <n v="729"/>
    <n v="9482"/>
    <n v="2"/>
    <n v="18964"/>
    <n v="0.99798841523810911"/>
    <x v="2"/>
    <n v="790.16666666666663"/>
    <n v="174.43354208999091"/>
    <n v="0.2207553791478476"/>
    <x v="1"/>
    <s v="CY"/>
  </r>
  <r>
    <s v="ITM_076"/>
    <s v="Born Property"/>
    <s v="Apparel"/>
    <n v="786"/>
    <n v="542"/>
    <n v="622"/>
    <n v="532"/>
    <n v="693"/>
    <n v="1093"/>
    <n v="885"/>
    <n v="648"/>
    <n v="667"/>
    <n v="677"/>
    <n v="1033"/>
    <n v="1101"/>
    <n v="9279"/>
    <n v="2"/>
    <n v="18558"/>
    <n v="0.99800572215726768"/>
    <x v="2"/>
    <n v="773.25"/>
    <n v="206.04859312131381"/>
    <n v="0.26647086080997584"/>
    <x v="1"/>
    <s v="CY"/>
  </r>
  <r>
    <s v="ITM_795"/>
    <s v="Front Big"/>
    <s v="Electronics"/>
    <n v="162"/>
    <n v="156"/>
    <n v="177"/>
    <n v="155"/>
    <n v="156"/>
    <n v="151"/>
    <n v="154"/>
    <n v="155"/>
    <n v="145"/>
    <n v="145"/>
    <n v="146"/>
    <n v="141"/>
    <n v="1843"/>
    <n v="10"/>
    <n v="18430"/>
    <n v="0.99802290970549978"/>
    <x v="2"/>
    <n v="153.58333333333334"/>
    <n v="9.5580364409255427"/>
    <n v="6.2233552518234675E-2"/>
    <x v="0"/>
    <s v="CX"/>
  </r>
  <r>
    <s v="ITM_582"/>
    <s v="When Water"/>
    <s v="Apparel"/>
    <n v="820"/>
    <n v="554"/>
    <n v="777"/>
    <n v="779"/>
    <n v="796"/>
    <n v="833"/>
    <n v="592"/>
    <n v="877"/>
    <n v="617"/>
    <n v="863"/>
    <n v="942"/>
    <n v="730"/>
    <n v="9180"/>
    <n v="2"/>
    <n v="18360"/>
    <n v="0.99804003197275659"/>
    <x v="2"/>
    <n v="765"/>
    <n v="120.60679914499016"/>
    <n v="0.15765594659475837"/>
    <x v="0"/>
    <s v="CX"/>
  </r>
  <r>
    <s v="ITM_020"/>
    <s v="Particular Election"/>
    <s v="Apparel"/>
    <n v="148"/>
    <n v="24"/>
    <n v="235"/>
    <n v="76"/>
    <n v="268"/>
    <n v="19"/>
    <n v="123"/>
    <n v="171"/>
    <n v="162"/>
    <n v="386"/>
    <n v="157"/>
    <n v="51"/>
    <n v="1820"/>
    <n v="10"/>
    <n v="18200"/>
    <n v="0.9980570050263553"/>
    <x v="2"/>
    <n v="151.66666666666666"/>
    <n v="107.23494455322545"/>
    <n v="0.70704359046082721"/>
    <x v="2"/>
    <s v="CZ"/>
  </r>
  <r>
    <s v="ITM_034"/>
    <s v="Fight Quickly"/>
    <s v="Apparel"/>
    <n v="981"/>
    <n v="728"/>
    <n v="654"/>
    <n v="842"/>
    <n v="638"/>
    <n v="722"/>
    <n v="691"/>
    <n v="731"/>
    <n v="717"/>
    <n v="643"/>
    <n v="788"/>
    <n v="932"/>
    <n v="9067"/>
    <n v="2"/>
    <n v="18134"/>
    <n v="0.9980739165293202"/>
    <x v="2"/>
    <n v="755.58333333333337"/>
    <n v="110.95736964612989"/>
    <n v="0.14684994328372766"/>
    <x v="0"/>
    <s v="CX"/>
  </r>
  <r>
    <s v="ITM_187"/>
    <s v="Lay Cut"/>
    <s v="Apparel"/>
    <n v="874"/>
    <n v="487"/>
    <n v="685"/>
    <n v="980"/>
    <n v="970"/>
    <n v="1018"/>
    <n v="863"/>
    <n v="468"/>
    <n v="487"/>
    <n v="704"/>
    <n v="670"/>
    <n v="791"/>
    <n v="8997"/>
    <n v="2"/>
    <n v="17994"/>
    <n v="0.99809069747033419"/>
    <x v="2"/>
    <n v="749.75"/>
    <n v="198.52919409772184"/>
    <n v="0.26479385674921219"/>
    <x v="1"/>
    <s v="CY"/>
  </r>
  <r>
    <s v="ITM_916"/>
    <s v="Give Keep"/>
    <s v="Apparel"/>
    <n v="630"/>
    <n v="580"/>
    <n v="890"/>
    <n v="864"/>
    <n v="582"/>
    <n v="957"/>
    <n v="788"/>
    <n v="1090"/>
    <n v="814"/>
    <n v="646"/>
    <n v="603"/>
    <n v="536"/>
    <n v="8980"/>
    <n v="2"/>
    <n v="17960"/>
    <n v="0.99810744670344598"/>
    <x v="2"/>
    <n v="748.33333333333337"/>
    <n v="177.43031068990209"/>
    <n v="0.23710063789296493"/>
    <x v="1"/>
    <s v="CY"/>
  </r>
  <r>
    <s v="ITM_392"/>
    <s v="Happy Prevent"/>
    <s v="Electronics"/>
    <n v="146"/>
    <n v="169"/>
    <n v="149"/>
    <n v="137"/>
    <n v="134"/>
    <n v="138"/>
    <n v="139"/>
    <n v="141"/>
    <n v="130"/>
    <n v="151"/>
    <n v="169"/>
    <n v="159"/>
    <n v="1762"/>
    <n v="10"/>
    <n v="17620"/>
    <n v="0.9981238788575344"/>
    <x v="2"/>
    <n v="146.83333333333334"/>
    <n v="13.044213857167291"/>
    <n v="8.8836870763908907E-2"/>
    <x v="0"/>
    <s v="CX"/>
  </r>
  <r>
    <s v="ITM_601"/>
    <s v="Hand Step"/>
    <s v="Electronics"/>
    <n v="116"/>
    <n v="138"/>
    <n v="154"/>
    <n v="157"/>
    <n v="170"/>
    <n v="139"/>
    <n v="122"/>
    <n v="145"/>
    <n v="139"/>
    <n v="133"/>
    <n v="167"/>
    <n v="146"/>
    <n v="1726"/>
    <n v="10"/>
    <n v="17260"/>
    <n v="0.99813997528089238"/>
    <x v="2"/>
    <n v="143.83333333333334"/>
    <n v="16.386431933619676"/>
    <n v="0.11392652561033377"/>
    <x v="0"/>
    <s v="CX"/>
  </r>
  <r>
    <s v="ITM_660"/>
    <s v="Teach Team"/>
    <s v="Apparel"/>
    <n v="778"/>
    <n v="516"/>
    <n v="659"/>
    <n v="960"/>
    <n v="749"/>
    <n v="716"/>
    <n v="678"/>
    <n v="933"/>
    <n v="546"/>
    <n v="641"/>
    <n v="834"/>
    <n v="438"/>
    <n v="8448"/>
    <n v="2"/>
    <n v="16896"/>
    <n v="0.99815573224317833"/>
    <x v="2"/>
    <n v="704"/>
    <n v="159.61772514923956"/>
    <n v="0.22672972322335164"/>
    <x v="1"/>
    <s v="CY"/>
  </r>
  <r>
    <s v="ITM_967"/>
    <s v="Almost Million"/>
    <s v="Apparel"/>
    <n v="899"/>
    <n v="720"/>
    <n v="760"/>
    <n v="469"/>
    <n v="488"/>
    <n v="799"/>
    <n v="540"/>
    <n v="563"/>
    <n v="536"/>
    <n v="979"/>
    <n v="722"/>
    <n v="956"/>
    <n v="8431"/>
    <n v="2"/>
    <n v="16862"/>
    <n v="0.99817145749756198"/>
    <x v="2"/>
    <n v="702.58333333333337"/>
    <n v="182.59565778633475"/>
    <n v="0.2598918151388942"/>
    <x v="1"/>
    <s v="CY"/>
  </r>
  <r>
    <s v="ITM_406"/>
    <s v="Bank Turn"/>
    <s v="Electronics"/>
    <n v="131"/>
    <n v="158"/>
    <n v="118"/>
    <n v="163"/>
    <n v="148"/>
    <n v="141"/>
    <n v="126"/>
    <n v="132"/>
    <n v="152"/>
    <n v="126"/>
    <n v="138"/>
    <n v="131"/>
    <n v="1664"/>
    <n v="10"/>
    <n v="16640"/>
    <n v="0.99818697571799508"/>
    <x v="2"/>
    <n v="138.66666666666666"/>
    <n v="13.96966410303108"/>
    <n v="0.10074276997378184"/>
    <x v="0"/>
    <s v="CX"/>
  </r>
  <r>
    <s v="ITM_262"/>
    <s v="Chair Such"/>
    <s v="Apparel"/>
    <n v="536"/>
    <n v="790"/>
    <n v="886"/>
    <n v="757"/>
    <n v="594"/>
    <n v="787"/>
    <n v="703"/>
    <n v="402"/>
    <n v="727"/>
    <n v="473"/>
    <n v="793"/>
    <n v="830"/>
    <n v="8278"/>
    <n v="2"/>
    <n v="16556"/>
    <n v="0.99820241560125789"/>
    <x v="2"/>
    <n v="689.83333333333337"/>
    <n v="152.85931341259428"/>
    <n v="0.22158876068508471"/>
    <x v="1"/>
    <s v="CY"/>
  </r>
  <r>
    <s v="ITM_174"/>
    <s v="Character Street"/>
    <s v="Apparel"/>
    <n v="534"/>
    <n v="858"/>
    <n v="875"/>
    <n v="487"/>
    <n v="865"/>
    <n v="520"/>
    <n v="558"/>
    <n v="665"/>
    <n v="973"/>
    <n v="545"/>
    <n v="688"/>
    <n v="650"/>
    <n v="8218"/>
    <n v="2"/>
    <n v="16436"/>
    <n v="0.99821774357427706"/>
    <x v="2"/>
    <n v="684.83333333333337"/>
    <n v="167.3226786418351"/>
    <n v="0.24432613089584096"/>
    <x v="1"/>
    <s v="CY"/>
  </r>
  <r>
    <s v="ITM_007"/>
    <s v="Memory Expert"/>
    <s v="Apparel"/>
    <n v="808"/>
    <n v="531"/>
    <n v="542"/>
    <n v="851"/>
    <n v="955"/>
    <n v="782"/>
    <n v="483"/>
    <n v="859"/>
    <n v="464"/>
    <n v="454"/>
    <n v="967"/>
    <n v="468"/>
    <n v="8164"/>
    <n v="2"/>
    <n v="16328"/>
    <n v="0.99823297082807705"/>
    <x v="2"/>
    <n v="680.33333333333337"/>
    <n v="206.44010063821219"/>
    <n v="0.30343963837071852"/>
    <x v="1"/>
    <s v="CY"/>
  </r>
  <r>
    <s v="ITM_932"/>
    <s v="Early Arrive"/>
    <s v="Apparel"/>
    <n v="750"/>
    <n v="811"/>
    <n v="586"/>
    <n v="861"/>
    <n v="888"/>
    <n v="625"/>
    <n v="1027"/>
    <n v="662"/>
    <n v="461"/>
    <n v="447"/>
    <n v="483"/>
    <n v="497"/>
    <n v="8098"/>
    <n v="2"/>
    <n v="16196"/>
    <n v="0.99824807498060919"/>
    <x v="2"/>
    <n v="674.83333333333337"/>
    <n v="191.85877065901343"/>
    <n v="0.28430541465894804"/>
    <x v="1"/>
    <s v="CY"/>
  </r>
  <r>
    <s v="ITM_188"/>
    <s v="Notice Remain"/>
    <s v="Electronics"/>
    <n v="134"/>
    <n v="147"/>
    <n v="137"/>
    <n v="121"/>
    <n v="115"/>
    <n v="141"/>
    <n v="142"/>
    <n v="130"/>
    <n v="138"/>
    <n v="129"/>
    <n v="140"/>
    <n v="134"/>
    <n v="1608"/>
    <n v="10"/>
    <n v="16080"/>
    <n v="0.9982630709532393"/>
    <x v="2"/>
    <n v="134"/>
    <n v="9.1154214982582733"/>
    <n v="6.8025533569091592E-2"/>
    <x v="0"/>
    <s v="CX"/>
  </r>
  <r>
    <s v="ITM_892"/>
    <s v="Expert Could"/>
    <s v="Apparel"/>
    <n v="404"/>
    <n v="455"/>
    <n v="986"/>
    <n v="605"/>
    <n v="486"/>
    <n v="589"/>
    <n v="961"/>
    <n v="552"/>
    <n v="858"/>
    <n v="709"/>
    <n v="693"/>
    <n v="560"/>
    <n v="7858"/>
    <n v="2"/>
    <n v="15716"/>
    <n v="0.99827772746479748"/>
    <x v="2"/>
    <n v="654.83333333333337"/>
    <n v="192.31074915985397"/>
    <n v="0.29367892465236034"/>
    <x v="1"/>
    <s v="CY"/>
  </r>
  <r>
    <s v="ITM_313"/>
    <s v="System Pick"/>
    <s v="Apparel"/>
    <n v="467"/>
    <n v="899"/>
    <n v="650"/>
    <n v="373"/>
    <n v="426"/>
    <n v="956"/>
    <n v="468"/>
    <n v="876"/>
    <n v="554"/>
    <n v="962"/>
    <n v="511"/>
    <n v="693"/>
    <n v="7835"/>
    <n v="2"/>
    <n v="15670"/>
    <n v="0.99829234107742892"/>
    <x v="2"/>
    <n v="652.91666666666663"/>
    <n v="219.05975039341268"/>
    <n v="0.33550950921773481"/>
    <x v="1"/>
    <s v="CY"/>
  </r>
  <r>
    <s v="ITM_071"/>
    <s v="Past Building"/>
    <s v="Apparel"/>
    <n v="870"/>
    <n v="660"/>
    <n v="796"/>
    <n v="491"/>
    <n v="629"/>
    <n v="624"/>
    <n v="706"/>
    <n v="456"/>
    <n v="920"/>
    <n v="683"/>
    <n v="451"/>
    <n v="474"/>
    <n v="7760"/>
    <n v="2"/>
    <n v="15520"/>
    <n v="0.99830681480225603"/>
    <x v="2"/>
    <n v="646.66666666666663"/>
    <n v="159.94847655265485"/>
    <n v="0.24734300497833225"/>
    <x v="1"/>
    <s v="CY"/>
  </r>
  <r>
    <s v="ITM_024"/>
    <s v="Model Traditional"/>
    <s v="Electronics"/>
    <n v="123"/>
    <n v="109"/>
    <n v="123"/>
    <n v="124"/>
    <n v="139"/>
    <n v="143"/>
    <n v="140"/>
    <n v="122"/>
    <n v="110"/>
    <n v="126"/>
    <n v="136"/>
    <n v="140"/>
    <n v="1535"/>
    <n v="10"/>
    <n v="15350"/>
    <n v="0.99832112998757139"/>
    <x v="2"/>
    <n v="127.91666666666667"/>
    <n v="11.634262357625454"/>
    <n v="9.0951888137788567E-2"/>
    <x v="0"/>
    <s v="CX"/>
  </r>
  <r>
    <s v="ITM_359"/>
    <s v="Size Could"/>
    <s v="Home &amp; Kitchen"/>
    <n v="126"/>
    <n v="124"/>
    <n v="135"/>
    <n v="120"/>
    <n v="125"/>
    <n v="121"/>
    <n v="112"/>
    <n v="126"/>
    <n v="135"/>
    <n v="137"/>
    <n v="128"/>
    <n v="107"/>
    <n v="1496"/>
    <n v="10"/>
    <n v="14960"/>
    <n v="0.99833508146459549"/>
    <x v="2"/>
    <n v="124.66666666666667"/>
    <n v="8.9882077628345236"/>
    <n v="7.2097923231292965E-2"/>
    <x v="0"/>
    <s v="CX"/>
  </r>
  <r>
    <s v="ITM_720"/>
    <s v="Billion Conference"/>
    <s v="Apparel"/>
    <n v="317"/>
    <n v="488"/>
    <n v="530"/>
    <n v="323"/>
    <n v="754"/>
    <n v="658"/>
    <n v="699"/>
    <n v="825"/>
    <n v="823"/>
    <n v="386"/>
    <n v="706"/>
    <n v="797"/>
    <n v="7306"/>
    <n v="2"/>
    <n v="14612"/>
    <n v="0.99834870840191337"/>
    <x v="2"/>
    <n v="608.83333333333337"/>
    <n v="192.21239830095791"/>
    <n v="0.31570610178093278"/>
    <x v="1"/>
    <s v="CY"/>
  </r>
  <r>
    <s v="ITM_938"/>
    <s v="Compare Pick"/>
    <s v="Home &amp; Kitchen"/>
    <n v="134"/>
    <n v="124"/>
    <n v="108"/>
    <n v="106"/>
    <n v="133"/>
    <n v="125"/>
    <n v="119"/>
    <n v="97"/>
    <n v="116"/>
    <n v="109"/>
    <n v="125"/>
    <n v="124"/>
    <n v="1420"/>
    <n v="10"/>
    <n v="14200"/>
    <n v="0.99836195111406179"/>
    <x v="2"/>
    <n v="118.33333333333333"/>
    <n v="11.364484816810444"/>
    <n v="9.6037899860369952E-2"/>
    <x v="0"/>
    <s v="CX"/>
  </r>
  <r>
    <s v="ITM_639"/>
    <s v="Set Maybe"/>
    <s v="Apparel"/>
    <n v="419"/>
    <n v="643"/>
    <n v="257"/>
    <n v="683"/>
    <n v="327"/>
    <n v="771"/>
    <n v="608"/>
    <n v="488"/>
    <n v="704"/>
    <n v="818"/>
    <n v="684"/>
    <n v="633"/>
    <n v="7035"/>
    <n v="2"/>
    <n v="14070"/>
    <n v="0.99837507259011316"/>
    <x v="2"/>
    <n v="586.25"/>
    <n v="175.74316228778034"/>
    <n v="0.29977511690879377"/>
    <x v="1"/>
    <s v="CY"/>
  </r>
  <r>
    <s v="ITM_688"/>
    <s v="Instead Draw"/>
    <s v="Apparel"/>
    <n v="344"/>
    <n v="424"/>
    <n v="406"/>
    <n v="767"/>
    <n v="543"/>
    <n v="913"/>
    <n v="331"/>
    <n v="457"/>
    <n v="485"/>
    <n v="925"/>
    <n v="558"/>
    <n v="719"/>
    <n v="6872"/>
    <n v="2"/>
    <n v="13744"/>
    <n v="0.99838789004333628"/>
    <x v="2"/>
    <n v="572.66666666666663"/>
    <n v="209.30071160602361"/>
    <n v="0.36548436252507038"/>
    <x v="1"/>
    <s v="CY"/>
  </r>
  <r>
    <s v="ITM_186"/>
    <s v="Indeed Floor"/>
    <s v="Apparel"/>
    <n v="798"/>
    <n v="402"/>
    <n v="595"/>
    <n v="709"/>
    <n v="347"/>
    <n v="597"/>
    <n v="555"/>
    <n v="622"/>
    <n v="849"/>
    <n v="451"/>
    <n v="581"/>
    <n v="342"/>
    <n v="6848"/>
    <n v="2"/>
    <n v="13696"/>
    <n v="0.99840066273246209"/>
    <x v="2"/>
    <n v="570.66666666666663"/>
    <n v="164.49445049126803"/>
    <n v="0.28824962118796971"/>
    <x v="1"/>
    <s v="CY"/>
  </r>
  <r>
    <s v="ITM_193"/>
    <s v="Appear Author"/>
    <s v="Electronics"/>
    <n v="116"/>
    <n v="130"/>
    <n v="111"/>
    <n v="109"/>
    <n v="84"/>
    <n v="101"/>
    <n v="134"/>
    <n v="105"/>
    <n v="120"/>
    <n v="100"/>
    <n v="128"/>
    <n v="130"/>
    <n v="1368"/>
    <n v="10"/>
    <n v="13680"/>
    <n v="0.99841342050022197"/>
    <x v="2"/>
    <n v="114"/>
    <n v="15.159755335036968"/>
    <n v="0.13298030995646462"/>
    <x v="0"/>
    <s v="CX"/>
  </r>
  <r>
    <s v="ITM_531"/>
    <s v="Cold Seem"/>
    <s v="Apparel"/>
    <n v="797"/>
    <n v="361"/>
    <n v="426"/>
    <n v="468"/>
    <n v="375"/>
    <n v="505"/>
    <n v="728"/>
    <n v="617"/>
    <n v="466"/>
    <n v="573"/>
    <n v="724"/>
    <n v="774"/>
    <n v="6814"/>
    <n v="2"/>
    <n v="13628"/>
    <n v="0.99842612977354306"/>
    <x v="2"/>
    <n v="567.83333333333337"/>
    <n v="157.21255636490321"/>
    <n v="0.27686390906645708"/>
    <x v="1"/>
    <s v="CY"/>
  </r>
  <r>
    <s v="ITM_768"/>
    <s v="Successful A"/>
    <s v="Apparel"/>
    <n v="543"/>
    <n v="505"/>
    <n v="500"/>
    <n v="539"/>
    <n v="408"/>
    <n v="627"/>
    <n v="502"/>
    <n v="560"/>
    <n v="684"/>
    <n v="778"/>
    <n v="564"/>
    <n v="545"/>
    <n v="6755"/>
    <n v="2"/>
    <n v="13510"/>
    <n v="0.99843872900179143"/>
    <x v="2"/>
    <n v="562.91666666666663"/>
    <n v="95.988122686974577"/>
    <n v="0.17051924089469947"/>
    <x v="0"/>
    <s v="CX"/>
  </r>
  <r>
    <s v="ITM_873"/>
    <s v="Thing Author"/>
    <s v="Apparel"/>
    <n v="611"/>
    <n v="656"/>
    <n v="686"/>
    <n v="577"/>
    <n v="477"/>
    <n v="382"/>
    <n v="678"/>
    <n v="624"/>
    <n v="530"/>
    <n v="357"/>
    <n v="564"/>
    <n v="603"/>
    <n v="6745"/>
    <n v="2"/>
    <n v="13490"/>
    <n v="0.9984513095783325"/>
    <x v="2"/>
    <n v="562.08333333333337"/>
    <n v="108.08116338561436"/>
    <n v="0.19228672507448069"/>
    <x v="0"/>
    <s v="CX"/>
  </r>
  <r>
    <s v="ITM_808"/>
    <s v="Subject Protect"/>
    <s v="Apparel"/>
    <n v="340"/>
    <n v="649"/>
    <n v="553"/>
    <n v="595"/>
    <n v="513"/>
    <n v="724"/>
    <n v="486"/>
    <n v="629"/>
    <n v="722"/>
    <n v="318"/>
    <n v="507"/>
    <n v="705"/>
    <n v="6741"/>
    <n v="2"/>
    <n v="13482"/>
    <n v="0.99846388269419062"/>
    <x v="2"/>
    <n v="561.75"/>
    <n v="136.6954976980189"/>
    <n v="0.24333866968939724"/>
    <x v="1"/>
    <s v="CY"/>
  </r>
  <r>
    <s v="ITM_474"/>
    <s v="Design Run"/>
    <s v="Electronics"/>
    <n v="100"/>
    <n v="117"/>
    <n v="127"/>
    <n v="109"/>
    <n v="105"/>
    <n v="108"/>
    <n v="114"/>
    <n v="109"/>
    <n v="109"/>
    <n v="108"/>
    <n v="122"/>
    <n v="119"/>
    <n v="1347"/>
    <n v="10"/>
    <n v="13470"/>
    <n v="0.99847644461902441"/>
    <x v="2"/>
    <n v="112.25"/>
    <n v="7.7121509792841012"/>
    <n v="6.8705131218566598E-2"/>
    <x v="0"/>
    <s v="CX"/>
  </r>
  <r>
    <s v="ITM_287"/>
    <s v="Certain Heart"/>
    <s v="Electronics"/>
    <n v="114"/>
    <n v="115"/>
    <n v="123"/>
    <n v="87"/>
    <n v="105"/>
    <n v="103"/>
    <n v="116"/>
    <n v="111"/>
    <n v="121"/>
    <n v="120"/>
    <n v="105"/>
    <n v="119"/>
    <n v="1339"/>
    <n v="10"/>
    <n v="13390"/>
    <n v="0.99848893193702926"/>
    <x v="2"/>
    <n v="111.58333333333333"/>
    <n v="10.211030874262967"/>
    <n v="9.1510358843282749E-2"/>
    <x v="0"/>
    <s v="CX"/>
  </r>
  <r>
    <s v="ITM_794"/>
    <s v="Admit Feeling"/>
    <s v="Apparel"/>
    <n v="431"/>
    <n v="595"/>
    <n v="786"/>
    <n v="791"/>
    <n v="624"/>
    <n v="730"/>
    <n v="557"/>
    <n v="546"/>
    <n v="713"/>
    <n v="229"/>
    <n v="455"/>
    <n v="228"/>
    <n v="6685"/>
    <n v="2"/>
    <n v="13370"/>
    <n v="0.99850140060332682"/>
    <x v="2"/>
    <n v="557.08333333333337"/>
    <n v="192.97218750772126"/>
    <n v="0.34639734481565521"/>
    <x v="1"/>
    <s v="CY"/>
  </r>
  <r>
    <s v="ITM_843"/>
    <s v="Myself Carry"/>
    <s v="Apparel"/>
    <n v="262"/>
    <n v="297"/>
    <n v="737"/>
    <n v="617"/>
    <n v="571"/>
    <n v="387"/>
    <n v="669"/>
    <n v="294"/>
    <n v="818"/>
    <n v="722"/>
    <n v="615"/>
    <n v="629"/>
    <n v="6618"/>
    <n v="2"/>
    <n v="13236"/>
    <n v="0.99851374430318574"/>
    <x v="2"/>
    <n v="551.5"/>
    <n v="191.87235340194272"/>
    <n v="0.34790997896997772"/>
    <x v="1"/>
    <s v="CY"/>
  </r>
  <r>
    <s v="ITM_750"/>
    <s v="Government Understand"/>
    <s v="Home &amp; Kitchen"/>
    <n v="107"/>
    <n v="93"/>
    <n v="128"/>
    <n v="116"/>
    <n v="137"/>
    <n v="109"/>
    <n v="112"/>
    <n v="105"/>
    <n v="84"/>
    <n v="109"/>
    <n v="104"/>
    <n v="116"/>
    <n v="1320"/>
    <n v="10"/>
    <n v="13200"/>
    <n v="0.99852605442997167"/>
    <x v="2"/>
    <n v="110"/>
    <n v="14.032429971643932"/>
    <n v="0.12756754519676303"/>
    <x v="0"/>
    <s v="CX"/>
  </r>
  <r>
    <s v="ITM_094"/>
    <s v="Data However"/>
    <s v="Apparel"/>
    <n v="529"/>
    <n v="725"/>
    <n v="222"/>
    <n v="211"/>
    <n v="744"/>
    <n v="695"/>
    <n v="544"/>
    <n v="404"/>
    <n v="549"/>
    <n v="764"/>
    <n v="646"/>
    <n v="534"/>
    <n v="6567"/>
    <n v="2"/>
    <n v="13134"/>
    <n v="0.99853830300612367"/>
    <x v="2"/>
    <n v="547.25"/>
    <n v="187.99474122238826"/>
    <n v="0.34352625166265555"/>
    <x v="1"/>
    <s v="CY"/>
  </r>
  <r>
    <s v="ITM_135"/>
    <s v="Sort Wide"/>
    <s v="Toys"/>
    <n v="100"/>
    <n v="105"/>
    <n v="111"/>
    <n v="113"/>
    <n v="115"/>
    <n v="109"/>
    <n v="114"/>
    <n v="108"/>
    <n v="105"/>
    <n v="95"/>
    <n v="117"/>
    <n v="117"/>
    <n v="1309"/>
    <n v="10"/>
    <n v="13090"/>
    <n v="0.99855051054851962"/>
    <x v="2"/>
    <n v="109.08333333333333"/>
    <n v="6.8683507790620615"/>
    <n v="6.2964254659086893E-2"/>
    <x v="0"/>
    <s v="CX"/>
  </r>
  <r>
    <s v="ITM_146"/>
    <s v="Nothing Instead"/>
    <s v="Apparel"/>
    <n v="356"/>
    <n v="476"/>
    <n v="548"/>
    <n v="248"/>
    <n v="636"/>
    <n v="267"/>
    <n v="768"/>
    <n v="460"/>
    <n v="509"/>
    <n v="719"/>
    <n v="840"/>
    <n v="644"/>
    <n v="6471"/>
    <n v="2"/>
    <n v="12942"/>
    <n v="0.99856258006828202"/>
    <x v="2"/>
    <n v="539.25"/>
    <n v="190.50656156678698"/>
    <n v="0.35328059632227538"/>
    <x v="1"/>
    <s v="CY"/>
  </r>
  <r>
    <s v="ITM_281"/>
    <s v="Hard Money"/>
    <s v="Apparel"/>
    <n v="758"/>
    <n v="477"/>
    <n v="694"/>
    <n v="745"/>
    <n v="728"/>
    <n v="272"/>
    <n v="451"/>
    <n v="473"/>
    <n v="528"/>
    <n v="329"/>
    <n v="572"/>
    <n v="438"/>
    <n v="6465"/>
    <n v="2"/>
    <n v="12930"/>
    <n v="0.9985746383970201"/>
    <x v="2"/>
    <n v="538.75"/>
    <n v="163.17482258998393"/>
    <n v="0.30287670086307922"/>
    <x v="1"/>
    <s v="CY"/>
  </r>
  <r>
    <s v="ITM_685"/>
    <s v="Design Central"/>
    <s v="Electronics"/>
    <n v="106"/>
    <n v="116"/>
    <n v="100"/>
    <n v="117"/>
    <n v="114"/>
    <n v="114"/>
    <n v="92"/>
    <n v="94"/>
    <n v="116"/>
    <n v="112"/>
    <n v="91"/>
    <n v="91"/>
    <n v="1263"/>
    <n v="10"/>
    <n v="12630"/>
    <n v="0.99858641695014927"/>
    <x v="2"/>
    <n v="105.25"/>
    <n v="10.888901772822722"/>
    <n v="0.1034574990291945"/>
    <x v="0"/>
    <s v="CX"/>
  </r>
  <r>
    <s v="ITM_295"/>
    <s v="What Nearly"/>
    <s v="Toys"/>
    <n v="110"/>
    <n v="105"/>
    <n v="97"/>
    <n v="106"/>
    <n v="103"/>
    <n v="105"/>
    <n v="121"/>
    <n v="101"/>
    <n v="98"/>
    <n v="100"/>
    <n v="89"/>
    <n v="96"/>
    <n v="1231"/>
    <n v="10"/>
    <n v="12310"/>
    <n v="0.99859789707596258"/>
    <x v="2"/>
    <n v="102.58333333333333"/>
    <n v="8.0165548407749014"/>
    <n v="7.8146757180583934E-2"/>
    <x v="0"/>
    <s v="CX"/>
  </r>
  <r>
    <s v="ITM_048"/>
    <s v="Group Important"/>
    <s v="Apparel"/>
    <n v="505"/>
    <n v="723"/>
    <n v="214"/>
    <n v="694"/>
    <n v="422"/>
    <n v="439"/>
    <n v="743"/>
    <n v="254"/>
    <n v="231"/>
    <n v="486"/>
    <n v="660"/>
    <n v="749"/>
    <n v="6120"/>
    <n v="2"/>
    <n v="12240"/>
    <n v="0.99860931192080038"/>
    <x v="2"/>
    <n v="510"/>
    <n v="203.94161374810639"/>
    <n v="0.39988551715314979"/>
    <x v="1"/>
    <s v="CY"/>
  </r>
  <r>
    <s v="ITM_182"/>
    <s v="Others Get"/>
    <s v="Toys"/>
    <n v="493"/>
    <n v="515"/>
    <n v="509"/>
    <n v="493"/>
    <n v="501"/>
    <n v="436"/>
    <n v="526"/>
    <n v="504"/>
    <n v="508"/>
    <n v="509"/>
    <n v="525"/>
    <n v="528"/>
    <n v="6047"/>
    <n v="2"/>
    <n v="12094"/>
    <n v="0.99862059060817532"/>
    <x v="2"/>
    <n v="503.91666666666669"/>
    <n v="24.425985914160925"/>
    <n v="4.8472272361490175E-2"/>
    <x v="0"/>
    <s v="CX"/>
  </r>
  <r>
    <s v="ITM_336"/>
    <s v="Month Theory"/>
    <s v="Apparel"/>
    <n v="645"/>
    <n v="774"/>
    <n v="364"/>
    <n v="398"/>
    <n v="374"/>
    <n v="438"/>
    <n v="707"/>
    <n v="580"/>
    <n v="477"/>
    <n v="277"/>
    <n v="646"/>
    <n v="337"/>
    <n v="6017"/>
    <n v="2"/>
    <n v="12034"/>
    <n v="0.9986318133404285"/>
    <x v="2"/>
    <n v="501.41666666666669"/>
    <n v="162.95256327774615"/>
    <n v="0.32498433759896189"/>
    <x v="1"/>
    <s v="CY"/>
  </r>
  <r>
    <s v="ITM_075"/>
    <s v="Might Every"/>
    <s v="Electronics"/>
    <n v="485"/>
    <n v="507"/>
    <n v="536"/>
    <n v="524"/>
    <n v="504"/>
    <n v="485"/>
    <n v="492"/>
    <n v="529"/>
    <n v="493"/>
    <n v="488"/>
    <n v="481"/>
    <n v="468"/>
    <n v="5992"/>
    <n v="2"/>
    <n v="11984"/>
    <n v="0.99864298944341345"/>
    <x v="2"/>
    <n v="499.33333333333331"/>
    <n v="21.029560723952944"/>
    <n v="4.2115275148103364E-2"/>
    <x v="0"/>
    <s v="CX"/>
  </r>
  <r>
    <s v="ITM_831"/>
    <s v="Race Certainly"/>
    <s v="Apparel"/>
    <n v="375"/>
    <n v="392"/>
    <n v="748"/>
    <n v="365"/>
    <n v="252"/>
    <n v="273"/>
    <n v="749"/>
    <n v="571"/>
    <n v="622"/>
    <n v="304"/>
    <n v="518"/>
    <n v="800"/>
    <n v="5969"/>
    <n v="2"/>
    <n v="11938"/>
    <n v="0.99865412264747178"/>
    <x v="2"/>
    <n v="497.41666666666669"/>
    <n v="197.86058376053728"/>
    <n v="0.39777634530515116"/>
    <x v="1"/>
    <s v="CY"/>
  </r>
  <r>
    <s v="ITM_204"/>
    <s v="Democratic Painting"/>
    <s v="Toys"/>
    <n v="487"/>
    <n v="507"/>
    <n v="499"/>
    <n v="497"/>
    <n v="502"/>
    <n v="503"/>
    <n v="463"/>
    <n v="496"/>
    <n v="485"/>
    <n v="480"/>
    <n v="510"/>
    <n v="479"/>
    <n v="5908"/>
    <n v="2"/>
    <n v="11816"/>
    <n v="0.9986651420761159"/>
    <x v="2"/>
    <n v="492.33333333333331"/>
    <n v="13.773052301395275"/>
    <n v="2.7975055453070972E-2"/>
    <x v="0"/>
    <s v="CX"/>
  </r>
  <r>
    <s v="ITM_751"/>
    <s v="Or Western"/>
    <s v="Apparel"/>
    <n v="455"/>
    <n v="772"/>
    <n v="661"/>
    <n v="689"/>
    <n v="309"/>
    <n v="212"/>
    <n v="318"/>
    <n v="584"/>
    <n v="502"/>
    <n v="547"/>
    <n v="331"/>
    <n v="447"/>
    <n v="5827"/>
    <n v="2"/>
    <n v="11654"/>
    <n v="0.99867601042593135"/>
    <x v="2"/>
    <n v="485.58333333333331"/>
    <n v="172.77018804987122"/>
    <n v="0.35579925460759476"/>
    <x v="1"/>
    <s v="CY"/>
  </r>
  <r>
    <s v="ITM_465"/>
    <s v="Ever Own"/>
    <s v="Apparel"/>
    <n v="591"/>
    <n v="665"/>
    <n v="628"/>
    <n v="552"/>
    <n v="177"/>
    <n v="463"/>
    <n v="598"/>
    <n v="644"/>
    <n v="302"/>
    <n v="207"/>
    <n v="651"/>
    <n v="328"/>
    <n v="5806"/>
    <n v="2"/>
    <n v="11612"/>
    <n v="0.99868683960716143"/>
    <x v="2"/>
    <n v="483.83333333333331"/>
    <n v="182.1422188258062"/>
    <n v="0.37645653219250336"/>
    <x v="1"/>
    <s v="CY"/>
  </r>
  <r>
    <s v="ITM_956"/>
    <s v="Population Lead"/>
    <s v="Electronics"/>
    <n v="489"/>
    <n v="447"/>
    <n v="525"/>
    <n v="436"/>
    <n v="498"/>
    <n v="460"/>
    <n v="468"/>
    <n v="464"/>
    <n v="493"/>
    <n v="468"/>
    <n v="503"/>
    <n v="486"/>
    <n v="5737"/>
    <n v="2"/>
    <n v="11474"/>
    <n v="0.9986975400916116"/>
    <x v="2"/>
    <n v="478.08333333333331"/>
    <n v="25.385960090116143"/>
    <n v="5.3099445891823902E-2"/>
    <x v="0"/>
    <s v="CX"/>
  </r>
  <r>
    <s v="ITM_251"/>
    <s v="Both Prevent"/>
    <s v="Toys"/>
    <n v="505"/>
    <n v="532"/>
    <n v="455"/>
    <n v="492"/>
    <n v="472"/>
    <n v="437"/>
    <n v="474"/>
    <n v="479"/>
    <n v="465"/>
    <n v="475"/>
    <n v="481"/>
    <n v="466"/>
    <n v="5733"/>
    <n v="2"/>
    <n v="11466"/>
    <n v="0.99870823311537882"/>
    <x v="2"/>
    <n v="477.75"/>
    <n v="24.185363718203995"/>
    <n v="5.0623471937632641E-2"/>
    <x v="0"/>
    <s v="CX"/>
  </r>
  <r>
    <s v="ITM_093"/>
    <s v="Company Even"/>
    <s v="Toys"/>
    <n v="468"/>
    <n v="479"/>
    <n v="480"/>
    <n v="433"/>
    <n v="477"/>
    <n v="459"/>
    <n v="511"/>
    <n v="486"/>
    <n v="462"/>
    <n v="506"/>
    <n v="463"/>
    <n v="459"/>
    <n v="5683"/>
    <n v="2"/>
    <n v="11366"/>
    <n v="0.99871883288060981"/>
    <x v="2"/>
    <n v="473.58333333333331"/>
    <n v="21.398633487947667"/>
    <n v="4.5184515547311635E-2"/>
    <x v="0"/>
    <s v="CX"/>
  </r>
  <r>
    <s v="ITM_300"/>
    <s v="Expect Into"/>
    <s v="Electronics"/>
    <n v="512"/>
    <n v="451"/>
    <n v="455"/>
    <n v="467"/>
    <n v="479"/>
    <n v="455"/>
    <n v="524"/>
    <n v="471"/>
    <n v="471"/>
    <n v="466"/>
    <n v="477"/>
    <n v="447"/>
    <n v="5675"/>
    <n v="2"/>
    <n v="11350"/>
    <n v="0.99872941772447488"/>
    <x v="2"/>
    <n v="472.91666666666669"/>
    <n v="23.500322370451681"/>
    <n v="4.9692311620338353E-2"/>
    <x v="0"/>
    <s v="CX"/>
  </r>
  <r>
    <s v="ITM_950"/>
    <s v="Maintain Home"/>
    <s v="Toys"/>
    <n v="504"/>
    <n v="493"/>
    <n v="469"/>
    <n v="478"/>
    <n v="466"/>
    <n v="440"/>
    <n v="458"/>
    <n v="458"/>
    <n v="483"/>
    <n v="489"/>
    <n v="487"/>
    <n v="444"/>
    <n v="5669"/>
    <n v="2"/>
    <n v="11338"/>
    <n v="0.99873999137731573"/>
    <x v="2"/>
    <n v="472.41666666666669"/>
    <n v="19.952025795225236"/>
    <n v="4.2233958289416618E-2"/>
    <x v="0"/>
    <s v="CX"/>
  </r>
  <r>
    <s v="ITM_704"/>
    <s v="Go Need"/>
    <s v="Home &amp; Kitchen"/>
    <n v="446"/>
    <n v="455"/>
    <n v="473"/>
    <n v="466"/>
    <n v="476"/>
    <n v="458"/>
    <n v="462"/>
    <n v="467"/>
    <n v="514"/>
    <n v="467"/>
    <n v="499"/>
    <n v="482"/>
    <n v="5665"/>
    <n v="2"/>
    <n v="11330"/>
    <n v="0.99875055756947362"/>
    <x v="2"/>
    <n v="472.08333333333331"/>
    <n v="18.966277889182603"/>
    <n v="4.0175698970907545E-2"/>
    <x v="0"/>
    <s v="CX"/>
  </r>
  <r>
    <s v="ITM_184"/>
    <s v="Me Sing"/>
    <s v="Electronics"/>
    <n v="483"/>
    <n v="441"/>
    <n v="473"/>
    <n v="484"/>
    <n v="476"/>
    <n v="469"/>
    <n v="433"/>
    <n v="463"/>
    <n v="477"/>
    <n v="464"/>
    <n v="519"/>
    <n v="459"/>
    <n v="5641"/>
    <n v="2"/>
    <n v="11282"/>
    <n v="0.99876107899753419"/>
    <x v="2"/>
    <n v="470.08333333333331"/>
    <n v="21.902504353833535"/>
    <n v="4.6592811956391145E-2"/>
    <x v="0"/>
    <s v="CX"/>
  </r>
  <r>
    <s v="ITM_230"/>
    <s v="Region Go"/>
    <s v="Apparel"/>
    <n v="478"/>
    <n v="539"/>
    <n v="454"/>
    <n v="394"/>
    <n v="300"/>
    <n v="570"/>
    <n v="566"/>
    <n v="329"/>
    <n v="137"/>
    <n v="652"/>
    <n v="655"/>
    <n v="552"/>
    <n v="5626"/>
    <n v="2"/>
    <n v="11252"/>
    <n v="0.99877157244803383"/>
    <x v="2"/>
    <n v="468.83333333333331"/>
    <n v="154.8605433245921"/>
    <n v="0.33031043723695436"/>
    <x v="1"/>
    <s v="CY"/>
  </r>
  <r>
    <s v="ITM_835"/>
    <s v="Low Near"/>
    <s v="Toys"/>
    <n v="97"/>
    <n v="90"/>
    <n v="101"/>
    <n v="86"/>
    <n v="118"/>
    <n v="91"/>
    <n v="76"/>
    <n v="91"/>
    <n v="96"/>
    <n v="84"/>
    <n v="97"/>
    <n v="90"/>
    <n v="1117"/>
    <n v="10"/>
    <n v="11170"/>
    <n v="0.99878198942653362"/>
    <x v="2"/>
    <n v="93.083333333333329"/>
    <n v="10.334921676558874"/>
    <n v="0.11102870198630842"/>
    <x v="0"/>
    <s v="CX"/>
  </r>
  <r>
    <s v="ITM_241"/>
    <s v="If Picture"/>
    <s v="Apparel"/>
    <n v="574"/>
    <n v="541"/>
    <n v="645"/>
    <n v="80"/>
    <n v="398"/>
    <n v="596"/>
    <n v="323"/>
    <n v="645"/>
    <n v="478"/>
    <n v="438"/>
    <n v="310"/>
    <n v="554"/>
    <n v="5582"/>
    <n v="2"/>
    <n v="11164"/>
    <n v="0.99879240080952136"/>
    <x v="2"/>
    <n v="465.16666666666669"/>
    <n v="166.60777747497715"/>
    <n v="0.35816792004652914"/>
    <x v="1"/>
    <s v="CY"/>
  </r>
  <r>
    <s v="ITM_613"/>
    <s v="Region Six"/>
    <s v="Electronics"/>
    <n v="110"/>
    <n v="100"/>
    <n v="87"/>
    <n v="79"/>
    <n v="95"/>
    <n v="96"/>
    <n v="80"/>
    <n v="95"/>
    <n v="105"/>
    <n v="95"/>
    <n v="88"/>
    <n v="86"/>
    <n v="1116"/>
    <n v="10"/>
    <n v="11160"/>
    <n v="0.99880280846216762"/>
    <x v="2"/>
    <n v="93"/>
    <n v="9.429161728864921"/>
    <n v="0.10138883579424646"/>
    <x v="0"/>
    <s v="CX"/>
  </r>
  <r>
    <s v="ITM_936"/>
    <s v="Brother Worker"/>
    <s v="Electronics"/>
    <n v="477"/>
    <n v="467"/>
    <n v="476"/>
    <n v="450"/>
    <n v="453"/>
    <n v="483"/>
    <n v="451"/>
    <n v="482"/>
    <n v="437"/>
    <n v="434"/>
    <n v="462"/>
    <n v="471"/>
    <n v="5543"/>
    <n v="2"/>
    <n v="11086"/>
    <n v="0.99881314710349711"/>
    <x v="2"/>
    <n v="461.91666666666669"/>
    <n v="16.8493772926929"/>
    <n v="3.6477093182809811E-2"/>
    <x v="0"/>
    <s v="CX"/>
  </r>
  <r>
    <s v="ITM_957"/>
    <s v="Charge Office"/>
    <s v="Home &amp; Kitchen"/>
    <n v="92"/>
    <n v="96"/>
    <n v="93"/>
    <n v="80"/>
    <n v="89"/>
    <n v="102"/>
    <n v="87"/>
    <n v="86"/>
    <n v="94"/>
    <n v="96"/>
    <n v="99"/>
    <n v="92"/>
    <n v="1106"/>
    <n v="10"/>
    <n v="11060"/>
    <n v="0.99882346149760715"/>
    <x v="2"/>
    <n v="92.166666666666671"/>
    <n v="6.0277137733417083"/>
    <n v="6.5400149439512209E-2"/>
    <x v="0"/>
    <s v="CX"/>
  </r>
  <r>
    <s v="ITM_449"/>
    <s v="Relationship Ever"/>
    <s v="Electronics"/>
    <n v="451"/>
    <n v="435"/>
    <n v="453"/>
    <n v="465"/>
    <n v="444"/>
    <n v="472"/>
    <n v="472"/>
    <n v="441"/>
    <n v="479"/>
    <n v="444"/>
    <n v="507"/>
    <n v="451"/>
    <n v="5514"/>
    <n v="2"/>
    <n v="11028"/>
    <n v="0.99883374604898556"/>
    <x v="2"/>
    <n v="459.5"/>
    <n v="20.425029208836353"/>
    <n v="4.4450553229241248E-2"/>
    <x v="0"/>
    <s v="CX"/>
  </r>
  <r>
    <s v="ITM_501"/>
    <s v="Box Represent"/>
    <s v="Electronics"/>
    <n v="412"/>
    <n v="512"/>
    <n v="480"/>
    <n v="495"/>
    <n v="485"/>
    <n v="449"/>
    <n v="443"/>
    <n v="403"/>
    <n v="444"/>
    <n v="424"/>
    <n v="479"/>
    <n v="474"/>
    <n v="5500"/>
    <n v="2"/>
    <n v="11000"/>
    <n v="0.99884400448797384"/>
    <x v="2"/>
    <n v="458.33333333333331"/>
    <n v="34.367884938580595"/>
    <n v="7.4984476229630392E-2"/>
    <x v="0"/>
    <s v="CX"/>
  </r>
  <r>
    <s v="ITM_450"/>
    <s v="Management Name"/>
    <s v="Toys"/>
    <n v="94"/>
    <n v="86"/>
    <n v="100"/>
    <n v="86"/>
    <n v="106"/>
    <n v="92"/>
    <n v="83"/>
    <n v="94"/>
    <n v="95"/>
    <n v="80"/>
    <n v="80"/>
    <n v="101"/>
    <n v="1097"/>
    <n v="10"/>
    <n v="10970"/>
    <n v="0.99885423494940118"/>
    <x v="2"/>
    <n v="91.416666666666671"/>
    <n v="8.500891218875319"/>
    <n v="9.299060585825325E-2"/>
    <x v="0"/>
    <s v="CX"/>
  </r>
  <r>
    <s v="ITM_261"/>
    <s v="Top His"/>
    <s v="Electronics"/>
    <n v="416"/>
    <n v="456"/>
    <n v="450"/>
    <n v="451"/>
    <n v="489"/>
    <n v="456"/>
    <n v="462"/>
    <n v="444"/>
    <n v="440"/>
    <n v="447"/>
    <n v="465"/>
    <n v="479"/>
    <n v="5455"/>
    <n v="2"/>
    <n v="10910"/>
    <n v="0.99886440945570676"/>
    <x v="2"/>
    <n v="454.58333333333331"/>
    <n v="18.715372064566374"/>
    <n v="4.1170387676406323E-2"/>
    <x v="0"/>
    <s v="CX"/>
  </r>
  <r>
    <s v="ITM_746"/>
    <s v="Themselves Especially"/>
    <s v="Electronics"/>
    <n v="434"/>
    <n v="496"/>
    <n v="490"/>
    <n v="449"/>
    <n v="429"/>
    <n v="430"/>
    <n v="448"/>
    <n v="462"/>
    <n v="448"/>
    <n v="453"/>
    <n v="463"/>
    <n v="431"/>
    <n v="5433"/>
    <n v="2"/>
    <n v="10866"/>
    <n v="0.9988745429282565"/>
    <x v="2"/>
    <n v="452.75"/>
    <n v="22.185683344322424"/>
    <n v="4.9002061500436053E-2"/>
    <x v="0"/>
    <s v="CX"/>
  </r>
  <r>
    <s v="ITM_371"/>
    <s v="Hit Phone"/>
    <s v="Electronics"/>
    <n v="445"/>
    <n v="456"/>
    <n v="430"/>
    <n v="444"/>
    <n v="412"/>
    <n v="444"/>
    <n v="466"/>
    <n v="477"/>
    <n v="465"/>
    <n v="455"/>
    <n v="445"/>
    <n v="414"/>
    <n v="5353"/>
    <n v="2"/>
    <n v="10706"/>
    <n v="0.99888452718714815"/>
    <x v="2"/>
    <n v="446.08333333333331"/>
    <n v="19.883562573293062"/>
    <n v="4.4573650453860782E-2"/>
    <x v="0"/>
    <s v="CX"/>
  </r>
  <r>
    <s v="ITM_771"/>
    <s v="Modern Former"/>
    <s v="Toys"/>
    <n v="436"/>
    <n v="435"/>
    <n v="437"/>
    <n v="452"/>
    <n v="463"/>
    <n v="431"/>
    <n v="441"/>
    <n v="458"/>
    <n v="455"/>
    <n v="430"/>
    <n v="457"/>
    <n v="425"/>
    <n v="5320"/>
    <n v="2"/>
    <n v="10640"/>
    <n v="0.99889444989540588"/>
    <x v="2"/>
    <n v="443.33333333333331"/>
    <n v="12.914638159386378"/>
    <n v="2.9130762765533183E-2"/>
    <x v="0"/>
    <s v="CX"/>
  </r>
  <r>
    <s v="ITM_913"/>
    <s v="Front Agency"/>
    <s v="Home &amp; Kitchen"/>
    <n v="448"/>
    <n v="450"/>
    <n v="451"/>
    <n v="461"/>
    <n v="434"/>
    <n v="439"/>
    <n v="458"/>
    <n v="420"/>
    <n v="454"/>
    <n v="413"/>
    <n v="409"/>
    <n v="466"/>
    <n v="5303"/>
    <n v="2"/>
    <n v="10606"/>
    <n v="0.9989043408957613"/>
    <x v="2"/>
    <n v="441.91666666666669"/>
    <n v="19.080967830100583"/>
    <n v="4.3177751076976613E-2"/>
    <x v="0"/>
    <s v="CX"/>
  </r>
  <r>
    <s v="ITM_943"/>
    <s v="Letter Often"/>
    <s v="Electronics"/>
    <n v="395"/>
    <n v="451"/>
    <n v="432"/>
    <n v="450"/>
    <n v="450"/>
    <n v="417"/>
    <n v="434"/>
    <n v="440"/>
    <n v="456"/>
    <n v="435"/>
    <n v="451"/>
    <n v="444"/>
    <n v="5255"/>
    <n v="2"/>
    <n v="10510"/>
    <n v="0.99891414236792186"/>
    <x v="2"/>
    <n v="437.91666666666669"/>
    <n v="17.42755567971874"/>
    <n v="3.9796511542649834E-2"/>
    <x v="0"/>
    <s v="CX"/>
  </r>
  <r>
    <s v="ITM_349"/>
    <s v="Tv Central"/>
    <s v="Electronics"/>
    <n v="431"/>
    <n v="414"/>
    <n v="454"/>
    <n v="434"/>
    <n v="434"/>
    <n v="464"/>
    <n v="422"/>
    <n v="462"/>
    <n v="435"/>
    <n v="403"/>
    <n v="434"/>
    <n v="442"/>
    <n v="5229"/>
    <n v="2"/>
    <n v="10458"/>
    <n v="0.99892389534564363"/>
    <x v="2"/>
    <n v="435.75"/>
    <n v="18.156516486074384"/>
    <n v="4.1667278223922855E-2"/>
    <x v="0"/>
    <s v="CX"/>
  </r>
  <r>
    <s v="ITM_899"/>
    <s v="Maybe Election"/>
    <s v="Toys"/>
    <n v="460"/>
    <n v="415"/>
    <n v="425"/>
    <n v="449"/>
    <n v="434"/>
    <n v="428"/>
    <n v="409"/>
    <n v="446"/>
    <n v="417"/>
    <n v="448"/>
    <n v="446"/>
    <n v="419"/>
    <n v="5196"/>
    <n v="2"/>
    <n v="10392"/>
    <n v="0.99893358677273147"/>
    <x v="2"/>
    <n v="433"/>
    <n v="16.486909407714407"/>
    <n v="3.8076003251072535E-2"/>
    <x v="0"/>
    <s v="CX"/>
  </r>
  <r>
    <s v="ITM_491"/>
    <s v="Great That"/>
    <s v="Apparel"/>
    <n v="401"/>
    <n v="636"/>
    <n v="351"/>
    <n v="239"/>
    <n v="230"/>
    <n v="200"/>
    <n v="235"/>
    <n v="259"/>
    <n v="606"/>
    <n v="660"/>
    <n v="725"/>
    <n v="613"/>
    <n v="5155"/>
    <n v="2"/>
    <n v="10310"/>
    <n v="0.99894320172781959"/>
    <x v="2"/>
    <n v="429.58333333333331"/>
    <n v="202.3841793733049"/>
    <n v="0.47111739136365838"/>
    <x v="1"/>
    <s v="CY"/>
  </r>
  <r>
    <s v="ITM_486"/>
    <s v="Attention Final"/>
    <s v="Toys"/>
    <n v="424"/>
    <n v="447"/>
    <n v="384"/>
    <n v="438"/>
    <n v="386"/>
    <n v="432"/>
    <n v="435"/>
    <n v="458"/>
    <n v="451"/>
    <n v="431"/>
    <n v="409"/>
    <n v="427"/>
    <n v="5122"/>
    <n v="2"/>
    <n v="10244"/>
    <n v="0.99895275513227366"/>
    <x v="2"/>
    <n v="426.83333333333331"/>
    <n v="23.404868698368695"/>
    <n v="5.4833741581496356E-2"/>
    <x v="0"/>
    <s v="CX"/>
  </r>
  <r>
    <s v="ITM_772"/>
    <s v="Cup Middle"/>
    <s v="Home &amp; Kitchen"/>
    <n v="419"/>
    <n v="419"/>
    <n v="399"/>
    <n v="426"/>
    <n v="452"/>
    <n v="439"/>
    <n v="426"/>
    <n v="427"/>
    <n v="406"/>
    <n v="422"/>
    <n v="412"/>
    <n v="437"/>
    <n v="5084"/>
    <n v="2"/>
    <n v="10168"/>
    <n v="0.99896223766024028"/>
    <x v="2"/>
    <n v="423.66666666666669"/>
    <n v="14.587250556149325"/>
    <n v="3.4430961186819806E-2"/>
    <x v="0"/>
    <s v="CX"/>
  </r>
  <r>
    <s v="ITM_825"/>
    <s v="True Successful"/>
    <s v="Electronics"/>
    <n v="92"/>
    <n v="79"/>
    <n v="116"/>
    <n v="80"/>
    <n v="68"/>
    <n v="100"/>
    <n v="83"/>
    <n v="73"/>
    <n v="80"/>
    <n v="84"/>
    <n v="93"/>
    <n v="68"/>
    <n v="1016"/>
    <n v="10"/>
    <n v="10160"/>
    <n v="0.99897171272752405"/>
    <x v="2"/>
    <n v="84.666666666666671"/>
    <n v="13.852031904337657"/>
    <n v="0.16360667603548412"/>
    <x v="0"/>
    <s v="CX"/>
  </r>
  <r>
    <s v="ITM_383"/>
    <s v="Parent Current"/>
    <s v="Electronics"/>
    <n v="72"/>
    <n v="100"/>
    <n v="83"/>
    <n v="82"/>
    <n v="76"/>
    <n v="84"/>
    <n v="84"/>
    <n v="93"/>
    <n v="86"/>
    <n v="74"/>
    <n v="96"/>
    <n v="81"/>
    <n v="1011"/>
    <n v="10"/>
    <n v="10110"/>
    <n v="0.9989811411655396"/>
    <x v="2"/>
    <n v="84.25"/>
    <n v="8.5612764553806198"/>
    <n v="0.10161752469294504"/>
    <x v="0"/>
    <s v="CX"/>
  </r>
  <r>
    <s v="ITM_753"/>
    <s v="Few Rate"/>
    <s v="Electronics"/>
    <n v="400"/>
    <n v="421"/>
    <n v="438"/>
    <n v="407"/>
    <n v="433"/>
    <n v="406"/>
    <n v="440"/>
    <n v="402"/>
    <n v="432"/>
    <n v="388"/>
    <n v="461"/>
    <n v="424"/>
    <n v="5052"/>
    <n v="2"/>
    <n v="10104"/>
    <n v="0.99899056400804298"/>
    <x v="2"/>
    <n v="421"/>
    <n v="20.967507330065814"/>
    <n v="4.9804055415833284E-2"/>
    <x v="0"/>
    <s v="CX"/>
  </r>
  <r>
    <s v="ITM_969"/>
    <s v="Issue Technology"/>
    <s v="Electronics"/>
    <n v="442"/>
    <n v="416"/>
    <n v="405"/>
    <n v="438"/>
    <n v="448"/>
    <n v="408"/>
    <n v="418"/>
    <n v="388"/>
    <n v="427"/>
    <n v="422"/>
    <n v="423"/>
    <n v="399"/>
    <n v="5034"/>
    <n v="2"/>
    <n v="10068"/>
    <n v="0.99899995327747337"/>
    <x v="2"/>
    <n v="419.5"/>
    <n v="17.850388332928883"/>
    <n v="4.2551581246552762E-2"/>
    <x v="0"/>
    <s v="CX"/>
  </r>
  <r>
    <s v="ITM_014"/>
    <s v="Whole Interest"/>
    <s v="Apparel"/>
    <n v="469"/>
    <n v="558"/>
    <n v="587"/>
    <n v="454"/>
    <n v="377"/>
    <n v="278"/>
    <n v="624"/>
    <n v="89"/>
    <n v="301"/>
    <n v="396"/>
    <n v="251"/>
    <n v="629"/>
    <n v="5013"/>
    <n v="2"/>
    <n v="10026"/>
    <n v="0.9990093033783185"/>
    <x v="2"/>
    <n v="417.75"/>
    <n v="168.03631912611792"/>
    <n v="0.40224133842278376"/>
    <x v="1"/>
    <s v="CY"/>
  </r>
  <r>
    <s v="ITM_748"/>
    <s v="End Man"/>
    <s v="Electronics"/>
    <n v="384"/>
    <n v="420"/>
    <n v="384"/>
    <n v="415"/>
    <n v="422"/>
    <n v="422"/>
    <n v="410"/>
    <n v="402"/>
    <n v="433"/>
    <n v="417"/>
    <n v="402"/>
    <n v="444"/>
    <n v="4955"/>
    <n v="2"/>
    <n v="9910"/>
    <n v="0.99901854529926148"/>
    <x v="2"/>
    <n v="412.91666666666669"/>
    <n v="17.901032643313336"/>
    <n v="4.3352652213876894E-2"/>
    <x v="0"/>
    <s v="CX"/>
  </r>
  <r>
    <s v="ITM_488"/>
    <s v="Player General"/>
    <s v="Electronics"/>
    <n v="415"/>
    <n v="408"/>
    <n v="401"/>
    <n v="436"/>
    <n v="383"/>
    <n v="372"/>
    <n v="423"/>
    <n v="414"/>
    <n v="424"/>
    <n v="416"/>
    <n v="425"/>
    <n v="395"/>
    <n v="4912"/>
    <n v="2"/>
    <n v="9824"/>
    <n v="0.99902770701786336"/>
    <x v="2"/>
    <n v="409.33333333333331"/>
    <n v="18.636880997992485"/>
    <n v="4.5529839571642881E-2"/>
    <x v="0"/>
    <s v="CX"/>
  </r>
  <r>
    <s v="ITM_427"/>
    <s v="Field Wife"/>
    <s v="Toys"/>
    <n v="401"/>
    <n v="389"/>
    <n v="391"/>
    <n v="409"/>
    <n v="423"/>
    <n v="403"/>
    <n v="401"/>
    <n v="423"/>
    <n v="407"/>
    <n v="399"/>
    <n v="408"/>
    <n v="439"/>
    <n v="4893"/>
    <n v="2"/>
    <n v="9786"/>
    <n v="0.99903683329822146"/>
    <x v="2"/>
    <n v="407.75"/>
    <n v="14.353491814632678"/>
    <n v="3.5201696663722082E-2"/>
    <x v="0"/>
    <s v="CX"/>
  </r>
  <r>
    <s v="ITM_206"/>
    <s v="Baby Certain"/>
    <s v="Electronics"/>
    <n v="435"/>
    <n v="404"/>
    <n v="398"/>
    <n v="394"/>
    <n v="420"/>
    <n v="406"/>
    <n v="395"/>
    <n v="433"/>
    <n v="414"/>
    <n v="429"/>
    <n v="371"/>
    <n v="385"/>
    <n v="4884"/>
    <n v="2"/>
    <n v="9768"/>
    <n v="0.99904594279204306"/>
    <x v="2"/>
    <n v="407"/>
    <n v="19.87689384916338"/>
    <n v="4.8837577024971449E-2"/>
    <x v="0"/>
    <s v="CX"/>
  </r>
  <r>
    <s v="ITM_695"/>
    <s v="Risk Whether"/>
    <s v="Electronics"/>
    <n v="384"/>
    <n v="384"/>
    <n v="423"/>
    <n v="390"/>
    <n v="393"/>
    <n v="400"/>
    <n v="400"/>
    <n v="411"/>
    <n v="414"/>
    <n v="408"/>
    <n v="421"/>
    <n v="398"/>
    <n v="4826"/>
    <n v="2"/>
    <n v="9652"/>
    <n v="0.99905494410596263"/>
    <x v="2"/>
    <n v="402.16666666666669"/>
    <n v="13.347341126663212"/>
    <n v="3.3188581334429867E-2"/>
    <x v="0"/>
    <s v="CX"/>
  </r>
  <r>
    <s v="ITM_402"/>
    <s v="Consider Water"/>
    <s v="Electronics"/>
    <n v="83"/>
    <n v="81"/>
    <n v="77"/>
    <n v="77"/>
    <n v="67"/>
    <n v="87"/>
    <n v="96"/>
    <n v="80"/>
    <n v="79"/>
    <n v="73"/>
    <n v="76"/>
    <n v="88"/>
    <n v="964"/>
    <n v="10"/>
    <n v="9640"/>
    <n v="0.99906393422885775"/>
    <x v="2"/>
    <n v="80.333333333333329"/>
    <n v="7.5718777944003648"/>
    <n v="9.4255740179257655E-2"/>
    <x v="0"/>
    <s v="CX"/>
  </r>
  <r>
    <s v="ITM_691"/>
    <s v="Follow Discover"/>
    <s v="Apparel"/>
    <n v="496"/>
    <n v="366"/>
    <n v="372"/>
    <n v="525"/>
    <n v="145"/>
    <n v="491"/>
    <n v="509"/>
    <n v="334"/>
    <n v="559"/>
    <n v="235"/>
    <n v="469"/>
    <n v="290"/>
    <n v="4791"/>
    <n v="2"/>
    <n v="9582"/>
    <n v="0.99907287026180192"/>
    <x v="2"/>
    <n v="399.25"/>
    <n v="129.92454103685094"/>
    <n v="0.32542151793826157"/>
    <x v="1"/>
    <s v="CY"/>
  </r>
  <r>
    <s v="ITM_350"/>
    <s v="Pretty Level"/>
    <s v="Electronics"/>
    <n v="395"/>
    <n v="381"/>
    <n v="406"/>
    <n v="416"/>
    <n v="452"/>
    <n v="354"/>
    <n v="428"/>
    <n v="380"/>
    <n v="423"/>
    <n v="393"/>
    <n v="393"/>
    <n v="368"/>
    <n v="4789"/>
    <n v="2"/>
    <n v="9578"/>
    <n v="0.9990818025644046"/>
    <x v="2"/>
    <n v="399.08333333333331"/>
    <n v="27.506886190166778"/>
    <n v="6.8925168987680377E-2"/>
    <x v="0"/>
    <s v="CX"/>
  </r>
  <r>
    <s v="ITM_972"/>
    <s v="Oil Wear"/>
    <s v="Electronics"/>
    <n v="416"/>
    <n v="406"/>
    <n v="401"/>
    <n v="366"/>
    <n v="424"/>
    <n v="403"/>
    <n v="413"/>
    <n v="391"/>
    <n v="395"/>
    <n v="386"/>
    <n v="389"/>
    <n v="399"/>
    <n v="4789"/>
    <n v="2"/>
    <n v="9578"/>
    <n v="0.99909073486700728"/>
    <x v="2"/>
    <n v="399.08333333333331"/>
    <n v="15.424056377993278"/>
    <n v="3.8648710907479504E-2"/>
    <x v="0"/>
    <s v="CX"/>
  </r>
  <r>
    <s v="ITM_355"/>
    <s v="Respond Without"/>
    <s v="Electronics"/>
    <n v="398"/>
    <n v="417"/>
    <n v="392"/>
    <n v="386"/>
    <n v="424"/>
    <n v="391"/>
    <n v="397"/>
    <n v="368"/>
    <n v="394"/>
    <n v="406"/>
    <n v="379"/>
    <n v="426"/>
    <n v="4778"/>
    <n v="2"/>
    <n v="9556"/>
    <n v="0.99909964665273199"/>
    <x v="2"/>
    <n v="398.16666666666669"/>
    <n v="17.559422921421231"/>
    <n v="4.4100685445176799E-2"/>
    <x v="0"/>
    <s v="CX"/>
  </r>
  <r>
    <s v="ITM_495"/>
    <s v="Animal Sell"/>
    <s v="Home &amp; Kitchen"/>
    <n v="380"/>
    <n v="396"/>
    <n v="386"/>
    <n v="380"/>
    <n v="410"/>
    <n v="411"/>
    <n v="412"/>
    <n v="385"/>
    <n v="393"/>
    <n v="423"/>
    <n v="377"/>
    <n v="405"/>
    <n v="4758"/>
    <n v="2"/>
    <n v="9516"/>
    <n v="0.99910852113504223"/>
    <x v="2"/>
    <n v="396.5"/>
    <n v="15.335638825357689"/>
    <n v="3.8677525410738184E-2"/>
    <x v="0"/>
    <s v="CX"/>
  </r>
  <r>
    <s v="ITM_887"/>
    <s v="Consumer Big"/>
    <s v="Electronics"/>
    <n v="61"/>
    <n v="74"/>
    <n v="66"/>
    <n v="73"/>
    <n v="88"/>
    <n v="74"/>
    <n v="82"/>
    <n v="77"/>
    <n v="85"/>
    <n v="98"/>
    <n v="78"/>
    <n v="87"/>
    <n v="943"/>
    <n v="10"/>
    <n v="9430"/>
    <n v="0.99911731541501125"/>
    <x v="2"/>
    <n v="78.583333333333329"/>
    <n v="10.148518327441927"/>
    <n v="0.12914339335026842"/>
    <x v="0"/>
    <s v="CX"/>
  </r>
  <r>
    <s v="ITM_508"/>
    <s v="Carry Year"/>
    <s v="Apparel"/>
    <n v="372"/>
    <n v="481"/>
    <n v="442"/>
    <n v="472"/>
    <n v="339"/>
    <n v="199"/>
    <n v="314"/>
    <n v="742"/>
    <n v="274"/>
    <n v="210"/>
    <n v="396"/>
    <n v="453"/>
    <n v="4694"/>
    <n v="2"/>
    <n v="9388"/>
    <n v="0.99912607052639502"/>
    <x v="2"/>
    <n v="391.16666666666669"/>
    <n v="146.672072903116"/>
    <n v="0.3749605613202795"/>
    <x v="1"/>
    <s v="CY"/>
  </r>
  <r>
    <s v="ITM_185"/>
    <s v="Land Positive"/>
    <s v="Apparel"/>
    <n v="136"/>
    <n v="248"/>
    <n v="616"/>
    <n v="705"/>
    <n v="337"/>
    <n v="367"/>
    <n v="615"/>
    <n v="288"/>
    <n v="124"/>
    <n v="194"/>
    <n v="679"/>
    <n v="369"/>
    <n v="4678"/>
    <n v="2"/>
    <n v="9356"/>
    <n v="0.99913479579504716"/>
    <x v="2"/>
    <n v="389.83333333333331"/>
    <n v="211.59173094915741"/>
    <n v="0.54277485493584632"/>
    <x v="2"/>
    <s v="CZ"/>
  </r>
  <r>
    <s v="ITM_354"/>
    <s v="War Can"/>
    <s v="Electronics"/>
    <n v="68"/>
    <n v="87"/>
    <n v="81"/>
    <n v="91"/>
    <n v="60"/>
    <n v="81"/>
    <n v="93"/>
    <n v="67"/>
    <n v="82"/>
    <n v="66"/>
    <n v="80"/>
    <n v="78"/>
    <n v="934"/>
    <n v="10"/>
    <n v="9340"/>
    <n v="0.9991435061423336"/>
    <x v="2"/>
    <n v="77.833333333333329"/>
    <n v="10.451910076269538"/>
    <n v="0.13428578256449086"/>
    <x v="0"/>
    <s v="CX"/>
  </r>
  <r>
    <s v="ITM_431"/>
    <s v="Later Rise"/>
    <s v="Home &amp; Kitchen"/>
    <n v="389"/>
    <n v="379"/>
    <n v="395"/>
    <n v="390"/>
    <n v="398"/>
    <n v="400"/>
    <n v="373"/>
    <n v="384"/>
    <n v="388"/>
    <n v="356"/>
    <n v="407"/>
    <n v="392"/>
    <n v="4651"/>
    <n v="2"/>
    <n v="9302"/>
    <n v="0.99915218105137626"/>
    <x v="2"/>
    <n v="387.58333333333331"/>
    <n v="13.54761524357253"/>
    <n v="3.4954070720892357E-2"/>
    <x v="0"/>
    <s v="CX"/>
  </r>
  <r>
    <s v="ITM_090"/>
    <s v="Rich Its"/>
    <s v="Home &amp; Kitchen"/>
    <n v="355"/>
    <n v="409"/>
    <n v="363"/>
    <n v="361"/>
    <n v="380"/>
    <n v="416"/>
    <n v="401"/>
    <n v="380"/>
    <n v="387"/>
    <n v="414"/>
    <n v="389"/>
    <n v="382"/>
    <n v="4637"/>
    <n v="2"/>
    <n v="9274"/>
    <n v="0.99916082984802868"/>
    <x v="2"/>
    <n v="386.41666666666669"/>
    <n v="20.557937344947518"/>
    <n v="5.3201476846963601E-2"/>
    <x v="0"/>
    <s v="CX"/>
  </r>
  <r>
    <s v="ITM_360"/>
    <s v="Service Focus"/>
    <s v="Apparel"/>
    <n v="530"/>
    <n v="686"/>
    <n v="158"/>
    <n v="630"/>
    <n v="203"/>
    <n v="609"/>
    <n v="149"/>
    <n v="286"/>
    <n v="464"/>
    <n v="337"/>
    <n v="123"/>
    <n v="410"/>
    <n v="4585"/>
    <n v="2"/>
    <n v="9170"/>
    <n v="0.99916938165580349"/>
    <x v="2"/>
    <n v="382.08333333333331"/>
    <n v="202.19003587234613"/>
    <n v="0.52917784743034979"/>
    <x v="2"/>
    <s v="CZ"/>
  </r>
  <r>
    <s v="ITM_851"/>
    <s v="Gun Paper"/>
    <s v="Home &amp; Kitchen"/>
    <n v="385"/>
    <n v="348"/>
    <n v="358"/>
    <n v="394"/>
    <n v="370"/>
    <n v="381"/>
    <n v="423"/>
    <n v="389"/>
    <n v="422"/>
    <n v="369"/>
    <n v="373"/>
    <n v="367"/>
    <n v="4579"/>
    <n v="2"/>
    <n v="9158"/>
    <n v="0.99917792227255386"/>
    <x v="2"/>
    <n v="381.58333333333331"/>
    <n v="23.027486869286268"/>
    <n v="6.0347202976945888E-2"/>
    <x v="0"/>
    <s v="CX"/>
  </r>
  <r>
    <s v="ITM_857"/>
    <s v="Order Beautiful"/>
    <s v="Home &amp; Kitchen"/>
    <n v="366"/>
    <n v="410"/>
    <n v="389"/>
    <n v="389"/>
    <n v="396"/>
    <n v="373"/>
    <n v="355"/>
    <n v="399"/>
    <n v="386"/>
    <n v="354"/>
    <n v="371"/>
    <n v="362"/>
    <n v="4550"/>
    <n v="2"/>
    <n v="9100"/>
    <n v="0.99918640879935328"/>
    <x v="2"/>
    <n v="379.16666666666669"/>
    <n v="18.234997985060254"/>
    <n v="4.8092302378180886E-2"/>
    <x v="0"/>
    <s v="CX"/>
  </r>
  <r>
    <s v="ITM_542"/>
    <s v="Understand National"/>
    <s v="Toys"/>
    <n v="356"/>
    <n v="349"/>
    <n v="366"/>
    <n v="392"/>
    <n v="392"/>
    <n v="369"/>
    <n v="341"/>
    <n v="410"/>
    <n v="397"/>
    <n v="389"/>
    <n v="382"/>
    <n v="363"/>
    <n v="4506"/>
    <n v="2"/>
    <n v="9012"/>
    <n v="0.99919481325864068"/>
    <x v="2"/>
    <n v="375.5"/>
    <n v="21.283796653792763"/>
    <n v="5.6681216121951435E-2"/>
    <x v="0"/>
    <s v="CX"/>
  </r>
  <r>
    <s v="ITM_706"/>
    <s v="Decide Pm"/>
    <s v="Electronics"/>
    <n v="353"/>
    <n v="374"/>
    <n v="354"/>
    <n v="403"/>
    <n v="375"/>
    <n v="412"/>
    <n v="380"/>
    <n v="401"/>
    <n v="357"/>
    <n v="344"/>
    <n v="384"/>
    <n v="368"/>
    <n v="4505"/>
    <n v="2"/>
    <n v="9010"/>
    <n v="0.99920321585275751"/>
    <x v="2"/>
    <n v="375.41666666666669"/>
    <n v="21.727478761543715"/>
    <n v="5.7875637100671382E-2"/>
    <x v="0"/>
    <s v="CX"/>
  </r>
  <r>
    <s v="ITM_226"/>
    <s v="These Recently"/>
    <s v="Toys"/>
    <n v="338"/>
    <n v="382"/>
    <n v="382"/>
    <n v="364"/>
    <n v="391"/>
    <n v="372"/>
    <n v="380"/>
    <n v="377"/>
    <n v="400"/>
    <n v="378"/>
    <n v="376"/>
    <n v="347"/>
    <n v="4487"/>
    <n v="2"/>
    <n v="8974"/>
    <n v="0.99921158487380113"/>
    <x v="2"/>
    <n v="373.91666666666669"/>
    <n v="17.286139131124855"/>
    <n v="4.6229924130487689E-2"/>
    <x v="0"/>
    <s v="CX"/>
  </r>
  <r>
    <s v="ITM_485"/>
    <s v="Be Loss"/>
    <s v="Electronics"/>
    <n v="404"/>
    <n v="354"/>
    <n v="351"/>
    <n v="410"/>
    <n v="361"/>
    <n v="381"/>
    <n v="363"/>
    <n v="365"/>
    <n v="367"/>
    <n v="380"/>
    <n v="389"/>
    <n v="340"/>
    <n v="4465"/>
    <n v="2"/>
    <n v="8930"/>
    <n v="0.99921991286108891"/>
    <x v="2"/>
    <n v="372.08333333333331"/>
    <n v="21.249420669464822"/>
    <n v="5.7109305270678139E-2"/>
    <x v="0"/>
    <s v="CX"/>
  </r>
  <r>
    <s v="ITM_269"/>
    <s v="Work Value"/>
    <s v="Apparel"/>
    <n v="396"/>
    <n v="140"/>
    <n v="537"/>
    <n v="193"/>
    <n v="550"/>
    <n v="358"/>
    <n v="58"/>
    <n v="569"/>
    <n v="153"/>
    <n v="498"/>
    <n v="319"/>
    <n v="632"/>
    <n v="4403"/>
    <n v="2"/>
    <n v="8806"/>
    <n v="0.9992281252077917"/>
    <x v="2"/>
    <n v="366.91666666666669"/>
    <n v="194.67616856220644"/>
    <n v="0.5305732506805535"/>
    <x v="2"/>
    <s v="CZ"/>
  </r>
  <r>
    <s v="ITM_786"/>
    <s v="Feeling Become"/>
    <s v="Home &amp; Kitchen"/>
    <n v="359"/>
    <n v="379"/>
    <n v="345"/>
    <n v="349"/>
    <n v="361"/>
    <n v="369"/>
    <n v="362"/>
    <n v="402"/>
    <n v="320"/>
    <n v="363"/>
    <n v="406"/>
    <n v="377"/>
    <n v="4392"/>
    <n v="2"/>
    <n v="8784"/>
    <n v="0.99923631703761651"/>
    <x v="2"/>
    <n v="366"/>
    <n v="23.625871797286511"/>
    <n v="6.4551562287668063E-2"/>
    <x v="0"/>
    <s v="CX"/>
  </r>
  <r>
    <s v="ITM_388"/>
    <s v="Your Different"/>
    <s v="Electronics"/>
    <n v="367"/>
    <n v="362"/>
    <n v="377"/>
    <n v="386"/>
    <n v="329"/>
    <n v="345"/>
    <n v="352"/>
    <n v="323"/>
    <n v="387"/>
    <n v="404"/>
    <n v="381"/>
    <n v="370"/>
    <n v="4383"/>
    <n v="2"/>
    <n v="8766"/>
    <n v="0.99924449208090471"/>
    <x v="2"/>
    <n v="365.25"/>
    <n v="24.331517159288019"/>
    <n v="6.6616063406674933E-2"/>
    <x v="0"/>
    <s v="CX"/>
  </r>
  <r>
    <s v="ITM_275"/>
    <s v="Bank Parent"/>
    <s v="Home &amp; Kitchen"/>
    <n v="59"/>
    <n v="66"/>
    <n v="74"/>
    <n v="78"/>
    <n v="66"/>
    <n v="76"/>
    <n v="75"/>
    <n v="86"/>
    <n v="64"/>
    <n v="84"/>
    <n v="70"/>
    <n v="72"/>
    <n v="870"/>
    <n v="10"/>
    <n v="8700"/>
    <n v="0.99925260557355911"/>
    <x v="2"/>
    <n v="72.5"/>
    <n v="8.0396743489001867"/>
    <n v="0.11089205998483016"/>
    <x v="0"/>
    <s v="CX"/>
  </r>
  <r>
    <s v="ITM_277"/>
    <s v="Such Fight"/>
    <s v="Home &amp; Kitchen"/>
    <n v="362"/>
    <n v="367"/>
    <n v="314"/>
    <n v="363"/>
    <n v="389"/>
    <n v="343"/>
    <n v="340"/>
    <n v="381"/>
    <n v="360"/>
    <n v="362"/>
    <n v="404"/>
    <n v="339"/>
    <n v="4324"/>
    <n v="2"/>
    <n v="8648"/>
    <n v="0.99926067057177459"/>
    <x v="2"/>
    <n v="360.33333333333331"/>
    <n v="24.362166396179788"/>
    <n v="6.7610082505586838E-2"/>
    <x v="0"/>
    <s v="CX"/>
  </r>
  <r>
    <s v="ITM_722"/>
    <s v="Today Control"/>
    <s v="Toys"/>
    <n v="369"/>
    <n v="369"/>
    <n v="370"/>
    <n v="358"/>
    <n v="391"/>
    <n v="365"/>
    <n v="334"/>
    <n v="355"/>
    <n v="361"/>
    <n v="341"/>
    <n v="350"/>
    <n v="325"/>
    <n v="4288"/>
    <n v="2"/>
    <n v="8576"/>
    <n v="0.99926866842384399"/>
    <x v="2"/>
    <n v="357.33333333333331"/>
    <n v="17.976415525669047"/>
    <n v="5.0307133000939502E-2"/>
    <x v="0"/>
    <s v="CX"/>
  </r>
  <r>
    <s v="ITM_432"/>
    <s v="According Offer"/>
    <s v="Apparel"/>
    <n v="384"/>
    <n v="199"/>
    <n v="597"/>
    <n v="489"/>
    <n v="259"/>
    <n v="461"/>
    <n v="177"/>
    <n v="501"/>
    <n v="184"/>
    <n v="358"/>
    <n v="263"/>
    <n v="412"/>
    <n v="4284"/>
    <n v="2"/>
    <n v="8568"/>
    <n v="0.99927665881523053"/>
    <x v="2"/>
    <n v="357"/>
    <n v="140.15056838337054"/>
    <n v="0.39257862292260653"/>
    <x v="1"/>
    <s v="CY"/>
  </r>
  <r>
    <s v="ITM_570"/>
    <s v="Likely Recognize"/>
    <s v="Home &amp; Kitchen"/>
    <n v="356"/>
    <n v="307"/>
    <n v="352"/>
    <n v="373"/>
    <n v="374"/>
    <n v="359"/>
    <n v="372"/>
    <n v="355"/>
    <n v="350"/>
    <n v="370"/>
    <n v="343"/>
    <n v="358"/>
    <n v="4269"/>
    <n v="2"/>
    <n v="8538"/>
    <n v="0.99928462122905615"/>
    <x v="2"/>
    <n v="355.75"/>
    <n v="18.340838684105034"/>
    <n v="5.1555414431778031E-2"/>
    <x v="0"/>
    <s v="CX"/>
  </r>
  <r>
    <s v="ITM_296"/>
    <s v="Everything Drug"/>
    <s v="Apparel"/>
    <n v="336"/>
    <n v="348"/>
    <n v="293"/>
    <n v="233"/>
    <n v="498"/>
    <n v="436"/>
    <n v="511"/>
    <n v="371"/>
    <n v="467"/>
    <n v="268"/>
    <n v="20"/>
    <n v="487"/>
    <n v="4268"/>
    <n v="2"/>
    <n v="8536"/>
    <n v="0.99929258177771096"/>
    <x v="2"/>
    <n v="355.66666666666669"/>
    <n v="141.58090095472454"/>
    <n v="0.39807188647064068"/>
    <x v="1"/>
    <s v="CY"/>
  </r>
  <r>
    <s v="ITM_268"/>
    <s v="The Case"/>
    <s v="Home &amp; Kitchen"/>
    <n v="371"/>
    <n v="319"/>
    <n v="385"/>
    <n v="345"/>
    <n v="367"/>
    <n v="336"/>
    <n v="329"/>
    <n v="353"/>
    <n v="375"/>
    <n v="390"/>
    <n v="328"/>
    <n v="324"/>
    <n v="4222"/>
    <n v="2"/>
    <n v="8444"/>
    <n v="0.99930045652851252"/>
    <x v="2"/>
    <n v="351.83333333333331"/>
    <n v="25.102818868635357"/>
    <n v="7.1348608816585571E-2"/>
    <x v="0"/>
    <s v="CX"/>
  </r>
  <r>
    <s v="ITM_828"/>
    <s v="Door Animal"/>
    <s v="Toys"/>
    <n v="337"/>
    <n v="333"/>
    <n v="337"/>
    <n v="369"/>
    <n v="350"/>
    <n v="345"/>
    <n v="335"/>
    <n v="356"/>
    <n v="351"/>
    <n v="360"/>
    <n v="369"/>
    <n v="365"/>
    <n v="4207"/>
    <n v="2"/>
    <n v="8414"/>
    <n v="0.99930830330175324"/>
    <x v="2"/>
    <n v="350.58333333333331"/>
    <n v="13.337972677716623"/>
    <n v="3.8045084890087823E-2"/>
    <x v="0"/>
    <s v="CX"/>
  </r>
  <r>
    <s v="ITM_889"/>
    <s v="Hundred Sort"/>
    <s v="Apparel"/>
    <n v="341"/>
    <n v="346"/>
    <n v="325"/>
    <n v="424"/>
    <n v="288"/>
    <n v="355"/>
    <n v="288"/>
    <n v="343"/>
    <n v="113"/>
    <n v="472"/>
    <n v="417"/>
    <n v="478"/>
    <n v="4190"/>
    <n v="2"/>
    <n v="8380"/>
    <n v="0.99931611836709155"/>
    <x v="2"/>
    <n v="349.16666666666669"/>
    <n v="98.108319852306266"/>
    <n v="0.28097848167724943"/>
    <x v="1"/>
    <s v="CY"/>
  </r>
  <r>
    <s v="ITM_690"/>
    <s v="Final Close"/>
    <s v="Electronics"/>
    <n v="344"/>
    <n v="332"/>
    <n v="338"/>
    <n v="342"/>
    <n v="348"/>
    <n v="356"/>
    <n v="368"/>
    <n v="333"/>
    <n v="331"/>
    <n v="356"/>
    <n v="352"/>
    <n v="359"/>
    <n v="4159"/>
    <n v="2"/>
    <n v="8318"/>
    <n v="0.99932387561213742"/>
    <x v="2"/>
    <n v="346.58333333333331"/>
    <n v="11.91987136395915"/>
    <n v="3.4392511749822025E-2"/>
    <x v="0"/>
    <s v="CX"/>
  </r>
  <r>
    <s v="ITM_827"/>
    <s v="Subject Matter"/>
    <s v="Toys"/>
    <n v="348"/>
    <n v="311"/>
    <n v="345"/>
    <n v="375"/>
    <n v="354"/>
    <n v="287"/>
    <n v="352"/>
    <n v="328"/>
    <n v="347"/>
    <n v="387"/>
    <n v="349"/>
    <n v="339"/>
    <n v="4122"/>
    <n v="2"/>
    <n v="8244"/>
    <n v="0.99933156384586641"/>
    <x v="2"/>
    <n v="343.5"/>
    <n v="26.355954993821864"/>
    <n v="7.6727671015493049E-2"/>
    <x v="0"/>
    <s v="CX"/>
  </r>
  <r>
    <s v="ITM_886"/>
    <s v="Forget Term"/>
    <s v="Home &amp; Kitchen"/>
    <n v="82"/>
    <n v="61"/>
    <n v="62"/>
    <n v="68"/>
    <n v="66"/>
    <n v="65"/>
    <n v="68"/>
    <n v="82"/>
    <n v="69"/>
    <n v="71"/>
    <n v="73"/>
    <n v="52"/>
    <n v="819"/>
    <n v="10"/>
    <n v="8190"/>
    <n v="0.9993392017199858"/>
    <x v="2"/>
    <n v="68.25"/>
    <n v="8.4221029548336794"/>
    <n v="0.12340077589499897"/>
    <x v="0"/>
    <s v="CX"/>
  </r>
  <r>
    <s v="ITM_1000"/>
    <s v="Table Actually"/>
    <s v="Toys"/>
    <n v="357"/>
    <n v="378"/>
    <n v="351"/>
    <n v="362"/>
    <n v="330"/>
    <n v="352"/>
    <n v="312"/>
    <n v="337"/>
    <n v="327"/>
    <n v="299"/>
    <n v="336"/>
    <n v="331"/>
    <n v="4072"/>
    <n v="2"/>
    <n v="8144"/>
    <n v="0.99934679669517856"/>
    <x v="2"/>
    <n v="339.33333333333331"/>
    <n v="21.9848432637882"/>
    <n v="6.4788339677175441E-2"/>
    <x v="0"/>
    <s v="CX"/>
  </r>
  <r>
    <s v="ITM_429"/>
    <s v="Edge Former"/>
    <s v="Electronics"/>
    <n v="342"/>
    <n v="344"/>
    <n v="298"/>
    <n v="328"/>
    <n v="370"/>
    <n v="343"/>
    <n v="342"/>
    <n v="321"/>
    <n v="323"/>
    <n v="337"/>
    <n v="344"/>
    <n v="329"/>
    <n v="4021"/>
    <n v="2"/>
    <n v="8042"/>
    <n v="0.99935429654666441"/>
    <x v="2"/>
    <n v="335.08333333333331"/>
    <n v="17.443197858052045"/>
    <n v="5.2056298009605706E-2"/>
    <x v="0"/>
    <s v="CX"/>
  </r>
  <r>
    <s v="ITM_740"/>
    <s v="Single Scene"/>
    <s v="Toys"/>
    <n v="393"/>
    <n v="288"/>
    <n v="311"/>
    <n v="347"/>
    <n v="323"/>
    <n v="324"/>
    <n v="330"/>
    <n v="322"/>
    <n v="371"/>
    <n v="347"/>
    <n v="315"/>
    <n v="337"/>
    <n v="4008"/>
    <n v="2"/>
    <n v="8016"/>
    <n v="0.99936177215093069"/>
    <x v="2"/>
    <n v="334"/>
    <n v="27.934989464176219"/>
    <n v="8.363769300651562E-2"/>
    <x v="0"/>
    <s v="CX"/>
  </r>
  <r>
    <s v="ITM_391"/>
    <s v="Laugh Heavy"/>
    <s v="Apparel"/>
    <n v="173"/>
    <n v="402"/>
    <n v="261"/>
    <n v="167"/>
    <n v="178"/>
    <n v="573"/>
    <n v="205"/>
    <n v="270"/>
    <n v="379"/>
    <n v="414"/>
    <n v="605"/>
    <n v="369"/>
    <n v="3996"/>
    <n v="2"/>
    <n v="7992"/>
    <n v="0.99936922537314843"/>
    <x v="2"/>
    <n v="333"/>
    <n v="150.4647346179043"/>
    <n v="0.45184604990361649"/>
    <x v="1"/>
    <s v="CY"/>
  </r>
  <r>
    <s v="ITM_301"/>
    <s v="Move Single"/>
    <s v="Electronics"/>
    <n v="311"/>
    <n v="331"/>
    <n v="365"/>
    <n v="356"/>
    <n v="336"/>
    <n v="337"/>
    <n v="329"/>
    <n v="300"/>
    <n v="304"/>
    <n v="338"/>
    <n v="321"/>
    <n v="356"/>
    <n v="3984"/>
    <n v="2"/>
    <n v="7968"/>
    <n v="0.99937665621331728"/>
    <x v="2"/>
    <n v="332"/>
    <n v="20.666177902333782"/>
    <n v="6.2247523802210186E-2"/>
    <x v="0"/>
    <s v="CX"/>
  </r>
  <r>
    <s v="ITM_473"/>
    <s v="That Themselves"/>
    <s v="Home &amp; Kitchen"/>
    <n v="318"/>
    <n v="332"/>
    <n v="324"/>
    <n v="328"/>
    <n v="320"/>
    <n v="328"/>
    <n v="323"/>
    <n v="343"/>
    <n v="371"/>
    <n v="342"/>
    <n v="307"/>
    <n v="334"/>
    <n v="3970"/>
    <n v="2"/>
    <n v="7940"/>
    <n v="0.99938406094109611"/>
    <x v="2"/>
    <n v="330.83333333333331"/>
    <n v="16.157370023014455"/>
    <n v="4.8838398054451754E-2"/>
    <x v="0"/>
    <s v="CX"/>
  </r>
  <r>
    <s v="ITM_133"/>
    <s v="Develop Rather"/>
    <s v="Toys"/>
    <n v="356"/>
    <n v="332"/>
    <n v="355"/>
    <n v="301"/>
    <n v="317"/>
    <n v="335"/>
    <n v="333"/>
    <n v="318"/>
    <n v="314"/>
    <n v="307"/>
    <n v="345"/>
    <n v="346"/>
    <n v="3959"/>
    <n v="2"/>
    <n v="7918"/>
    <n v="0.99939144515199696"/>
    <x v="2"/>
    <n v="329.91666666666669"/>
    <n v="18.485661929444046"/>
    <n v="5.6031306681820797E-2"/>
    <x v="0"/>
    <s v="CX"/>
  </r>
  <r>
    <s v="ITM_397"/>
    <s v="Analysis Oil"/>
    <s v="Electronics"/>
    <n v="71"/>
    <n v="64"/>
    <n v="74"/>
    <n v="53"/>
    <n v="66"/>
    <n v="69"/>
    <n v="58"/>
    <n v="69"/>
    <n v="67"/>
    <n v="69"/>
    <n v="62"/>
    <n v="61"/>
    <n v="783"/>
    <n v="10"/>
    <n v="7830"/>
    <n v="0.99939874729538591"/>
    <x v="2"/>
    <n v="65.25"/>
    <n v="5.9409977735608139"/>
    <n v="9.104977430744543E-2"/>
    <x v="0"/>
    <s v="CX"/>
  </r>
  <r>
    <s v="ITM_376"/>
    <s v="Increase Box"/>
    <s v="Electronics"/>
    <n v="321"/>
    <n v="314"/>
    <n v="324"/>
    <n v="335"/>
    <n v="316"/>
    <n v="330"/>
    <n v="332"/>
    <n v="301"/>
    <n v="315"/>
    <n v="347"/>
    <n v="351"/>
    <n v="327"/>
    <n v="3913"/>
    <n v="2"/>
    <n v="7826"/>
    <n v="0.99940604570843339"/>
    <x v="2"/>
    <n v="326.08333333333331"/>
    <n v="14.202805954095725"/>
    <n v="4.3555755545399616E-2"/>
    <x v="0"/>
    <s v="CX"/>
  </r>
  <r>
    <s v="ITM_292"/>
    <s v="Politics Late"/>
    <s v="Home &amp; Kitchen"/>
    <n v="304"/>
    <n v="328"/>
    <n v="321"/>
    <n v="328"/>
    <n v="329"/>
    <n v="336"/>
    <n v="337"/>
    <n v="329"/>
    <n v="313"/>
    <n v="299"/>
    <n v="337"/>
    <n v="336"/>
    <n v="3897"/>
    <n v="2"/>
    <n v="7794"/>
    <n v="0.99941331427874924"/>
    <x v="2"/>
    <n v="324.75"/>
    <n v="12.99038105676658"/>
    <n v="4.0001173384962528E-2"/>
    <x v="0"/>
    <s v="CX"/>
  </r>
  <r>
    <s v="ITM_846"/>
    <s v="Any Best"/>
    <s v="Electronics"/>
    <n v="49"/>
    <n v="57"/>
    <n v="76"/>
    <n v="56"/>
    <n v="75"/>
    <n v="74"/>
    <n v="58"/>
    <n v="59"/>
    <n v="60"/>
    <n v="66"/>
    <n v="74"/>
    <n v="75"/>
    <n v="779"/>
    <n v="10"/>
    <n v="7790"/>
    <n v="0.99942057911872362"/>
    <x v="2"/>
    <n v="64.916666666666671"/>
    <n v="9.510361175947498"/>
    <n v="0.14650107074630292"/>
    <x v="0"/>
    <s v="CX"/>
  </r>
  <r>
    <s v="ITM_311"/>
    <s v="Out Serve"/>
    <s v="Electronics"/>
    <n v="342"/>
    <n v="344"/>
    <n v="328"/>
    <n v="302"/>
    <n v="322"/>
    <n v="333"/>
    <n v="316"/>
    <n v="298"/>
    <n v="323"/>
    <n v="309"/>
    <n v="346"/>
    <n v="329"/>
    <n v="3892"/>
    <n v="2"/>
    <n v="7784"/>
    <n v="0.99942783836318583"/>
    <x v="2"/>
    <n v="324.33333333333331"/>
    <n v="15.9050211244656"/>
    <n v="4.9039119602668865E-2"/>
    <x v="0"/>
    <s v="CX"/>
  </r>
  <r>
    <s v="ITM_783"/>
    <s v="Key Parent"/>
    <s v="Home &amp; Kitchen"/>
    <n v="361"/>
    <n v="313"/>
    <n v="316"/>
    <n v="335"/>
    <n v="297"/>
    <n v="322"/>
    <n v="311"/>
    <n v="342"/>
    <n v="316"/>
    <n v="283"/>
    <n v="309"/>
    <n v="352"/>
    <n v="3857"/>
    <n v="2"/>
    <n v="7714"/>
    <n v="0.99943503232667275"/>
    <x v="2"/>
    <n v="321.41666666666669"/>
    <n v="22.512454465486567"/>
    <n v="7.0041341349711891E-2"/>
    <x v="0"/>
    <s v="CX"/>
  </r>
  <r>
    <s v="ITM_839"/>
    <s v="Measure Region"/>
    <s v="Apparel"/>
    <n v="283"/>
    <n v="196"/>
    <n v="421"/>
    <n v="65"/>
    <n v="200"/>
    <n v="214"/>
    <n v="309"/>
    <n v="520"/>
    <n v="154"/>
    <n v="603"/>
    <n v="611"/>
    <n v="266"/>
    <n v="3842"/>
    <n v="2"/>
    <n v="7684"/>
    <n v="0.99944219831259873"/>
    <x v="2"/>
    <n v="320.16666666666669"/>
    <n v="179.1316597230973"/>
    <n v="0.55949503297167291"/>
    <x v="2"/>
    <s v="CZ"/>
  </r>
  <r>
    <s v="ITM_399"/>
    <s v="Court Product"/>
    <s v="Toys"/>
    <n v="322"/>
    <n v="350"/>
    <n v="299"/>
    <n v="322"/>
    <n v="330"/>
    <n v="288"/>
    <n v="309"/>
    <n v="342"/>
    <n v="337"/>
    <n v="292"/>
    <n v="328"/>
    <n v="315"/>
    <n v="3834"/>
    <n v="2"/>
    <n v="7668"/>
    <n v="0.9994493493771589"/>
    <x v="2"/>
    <n v="319.5"/>
    <n v="19.626049479755679"/>
    <n v="6.1427384913163317E-2"/>
    <x v="0"/>
    <s v="CX"/>
  </r>
  <r>
    <s v="ITM_448"/>
    <s v="Perform Low"/>
    <s v="Toys"/>
    <n v="346"/>
    <n v="322"/>
    <n v="328"/>
    <n v="336"/>
    <n v="319"/>
    <n v="329"/>
    <n v="299"/>
    <n v="289"/>
    <n v="299"/>
    <n v="324"/>
    <n v="325"/>
    <n v="316"/>
    <n v="3832"/>
    <n v="2"/>
    <n v="7664"/>
    <n v="0.9994564967113776"/>
    <x v="2"/>
    <n v="319.33333333333331"/>
    <n v="16.450108224752217"/>
    <n v="5.1513908845779388E-2"/>
    <x v="0"/>
    <s v="CX"/>
  </r>
  <r>
    <s v="ITM_609"/>
    <s v="Hit Appear"/>
    <s v="Home &amp; Kitchen"/>
    <n v="337"/>
    <n v="327"/>
    <n v="351"/>
    <n v="300"/>
    <n v="312"/>
    <n v="314"/>
    <n v="304"/>
    <n v="306"/>
    <n v="284"/>
    <n v="307"/>
    <n v="333"/>
    <n v="341"/>
    <n v="3816"/>
    <n v="2"/>
    <n v="7632"/>
    <n v="0.99946361420286478"/>
    <x v="2"/>
    <n v="318"/>
    <n v="19.720778151713258"/>
    <n v="6.2015025634318419E-2"/>
    <x v="0"/>
    <s v="CX"/>
  </r>
  <r>
    <s v="ITM_061"/>
    <s v="There Others"/>
    <s v="Apparel"/>
    <n v="254"/>
    <n v="20"/>
    <n v="308"/>
    <n v="399"/>
    <n v="156"/>
    <n v="193"/>
    <n v="213"/>
    <n v="404"/>
    <n v="521"/>
    <n v="311"/>
    <n v="540"/>
    <n v="489"/>
    <n v="3808"/>
    <n v="2"/>
    <n v="7616"/>
    <n v="0.99947071677298605"/>
    <x v="2"/>
    <n v="317.33333333333331"/>
    <n v="159.43897854285157"/>
    <n v="0.5024337559123474"/>
    <x v="2"/>
    <s v="CZ"/>
  </r>
  <r>
    <s v="ITM_377"/>
    <s v="Against Certainly"/>
    <s v="Toys"/>
    <n v="342"/>
    <n v="306"/>
    <n v="298"/>
    <n v="309"/>
    <n v="347"/>
    <n v="283"/>
    <n v="308"/>
    <n v="340"/>
    <n v="329"/>
    <n v="331"/>
    <n v="292"/>
    <n v="313"/>
    <n v="3798"/>
    <n v="2"/>
    <n v="7596"/>
    <n v="0.99947780069140013"/>
    <x v="2"/>
    <n v="316.5"/>
    <n v="20.921932815284364"/>
    <n v="6.6104053128860557E-2"/>
    <x v="0"/>
    <s v="CX"/>
  </r>
  <r>
    <s v="ITM_166"/>
    <s v="Trouble Today"/>
    <s v="Apparel"/>
    <n v="179"/>
    <n v="328"/>
    <n v="466"/>
    <n v="300"/>
    <n v="618"/>
    <n v="233"/>
    <n v="120"/>
    <n v="475"/>
    <n v="410"/>
    <n v="110"/>
    <n v="247"/>
    <n v="299"/>
    <n v="3785"/>
    <n v="2"/>
    <n v="7570"/>
    <n v="0.99948486036259476"/>
    <x v="2"/>
    <n v="315.41666666666669"/>
    <n v="153.67525283315248"/>
    <n v="0.48721348322267627"/>
    <x v="1"/>
    <s v="CY"/>
  </r>
  <r>
    <s v="ITM_150"/>
    <s v="All Beat"/>
    <s v="Electronics"/>
    <n v="336"/>
    <n v="287"/>
    <n v="310"/>
    <n v="326"/>
    <n v="314"/>
    <n v="297"/>
    <n v="325"/>
    <n v="350"/>
    <n v="277"/>
    <n v="323"/>
    <n v="319"/>
    <n v="307"/>
    <n v="3771"/>
    <n v="2"/>
    <n v="7542"/>
    <n v="0.99949189392139925"/>
    <x v="2"/>
    <n v="314.25"/>
    <n v="20.454494949432597"/>
    <n v="6.5089880507343184E-2"/>
    <x v="0"/>
    <s v="CX"/>
  </r>
  <r>
    <s v="ITM_159"/>
    <s v="Land Least"/>
    <s v="Home &amp; Kitchen"/>
    <n v="332"/>
    <n v="293"/>
    <n v="323"/>
    <n v="317"/>
    <n v="304"/>
    <n v="334"/>
    <n v="345"/>
    <n v="307"/>
    <n v="316"/>
    <n v="295"/>
    <n v="302"/>
    <n v="299"/>
    <n v="3767"/>
    <n v="2"/>
    <n v="7534"/>
    <n v="0.9994989200195209"/>
    <x v="2"/>
    <n v="313.91666666666669"/>
    <n v="16.784507647521178"/>
    <n v="5.3468036042010648E-2"/>
    <x v="0"/>
    <s v="CX"/>
  </r>
  <r>
    <s v="ITM_167"/>
    <s v="History Within"/>
    <s v="Home &amp; Kitchen"/>
    <n v="48"/>
    <n v="69"/>
    <n v="62"/>
    <n v="56"/>
    <n v="56"/>
    <n v="73"/>
    <n v="55"/>
    <n v="61"/>
    <n v="61"/>
    <n v="68"/>
    <n v="75"/>
    <n v="67"/>
    <n v="751"/>
    <n v="10"/>
    <n v="7510"/>
    <n v="0.99950592373559377"/>
    <x v="2"/>
    <n v="62.583333333333336"/>
    <n v="8.061787906067984"/>
    <n v="0.12881685069615953"/>
    <x v="0"/>
    <s v="CX"/>
  </r>
  <r>
    <s v="ITM_210"/>
    <s v="Position Describe"/>
    <s v="Electronics"/>
    <n v="309"/>
    <n v="306"/>
    <n v="308"/>
    <n v="332"/>
    <n v="324"/>
    <n v="311"/>
    <n v="286"/>
    <n v="300"/>
    <n v="318"/>
    <n v="323"/>
    <n v="301"/>
    <n v="326"/>
    <n v="3744"/>
    <n v="2"/>
    <n v="7488"/>
    <n v="0.99951290693478867"/>
    <x v="2"/>
    <n v="312"/>
    <n v="13.142574813455418"/>
    <n v="4.2123637222613523E-2"/>
    <x v="0"/>
    <s v="CX"/>
  </r>
  <r>
    <s v="ITM_711"/>
    <s v="Leg Often"/>
    <s v="Electronics"/>
    <n v="308"/>
    <n v="326"/>
    <n v="301"/>
    <n v="308"/>
    <n v="308"/>
    <n v="300"/>
    <n v="299"/>
    <n v="329"/>
    <n v="308"/>
    <n v="329"/>
    <n v="298"/>
    <n v="328"/>
    <n v="3742"/>
    <n v="2"/>
    <n v="7484"/>
    <n v="0.9995198864036422"/>
    <x v="2"/>
    <n v="311.83333333333331"/>
    <n v="12.51786602009183"/>
    <n v="4.0142809257376261E-2"/>
    <x v="0"/>
    <s v="CX"/>
  </r>
  <r>
    <s v="ITM_362"/>
    <s v="Bill Know"/>
    <s v="Toys"/>
    <n v="334"/>
    <n v="291"/>
    <n v="317"/>
    <n v="316"/>
    <n v="317"/>
    <n v="324"/>
    <n v="314"/>
    <n v="293"/>
    <n v="314"/>
    <n v="316"/>
    <n v="304"/>
    <n v="291"/>
    <n v="3731"/>
    <n v="2"/>
    <n v="7462"/>
    <n v="0.99952684535561764"/>
    <x v="2"/>
    <n v="310.91666666666669"/>
    <n v="13.520747244904996"/>
    <n v="4.348672391821494E-2"/>
    <x v="0"/>
    <s v="CX"/>
  </r>
  <r>
    <s v="ITM_683"/>
    <s v="Machine Approach"/>
    <s v="Electronics"/>
    <n v="316"/>
    <n v="288"/>
    <n v="273"/>
    <n v="312"/>
    <n v="318"/>
    <n v="323"/>
    <n v="306"/>
    <n v="317"/>
    <n v="306"/>
    <n v="312"/>
    <n v="311"/>
    <n v="312"/>
    <n v="3694"/>
    <n v="2"/>
    <n v="7388"/>
    <n v="0.99953373529627632"/>
    <x v="2"/>
    <n v="307.83333333333331"/>
    <n v="14.0118997046558"/>
    <n v="4.5517811709764378E-2"/>
    <x v="0"/>
    <s v="CX"/>
  </r>
  <r>
    <s v="ITM_953"/>
    <s v="Modern Animal"/>
    <s v="Apparel"/>
    <n v="484"/>
    <n v="486"/>
    <n v="162"/>
    <n v="183"/>
    <n v="410"/>
    <n v="90"/>
    <n v="271"/>
    <n v="22"/>
    <n v="546"/>
    <n v="421"/>
    <n v="397"/>
    <n v="169"/>
    <n v="3641"/>
    <n v="2"/>
    <n v="7282"/>
    <n v="0.99954052638288649"/>
    <x v="2"/>
    <n v="303.41666666666669"/>
    <n v="175.05763120305338"/>
    <n v="0.57695456589855543"/>
    <x v="2"/>
    <s v="CZ"/>
  </r>
  <r>
    <s v="ITM_914"/>
    <s v="Rest Work"/>
    <s v="Toys"/>
    <n v="311"/>
    <n v="274"/>
    <n v="289"/>
    <n v="314"/>
    <n v="294"/>
    <n v="329"/>
    <n v="305"/>
    <n v="276"/>
    <n v="301"/>
    <n v="304"/>
    <n v="325"/>
    <n v="293"/>
    <n v="3615"/>
    <n v="2"/>
    <n v="7230"/>
    <n v="0.99954726897505786"/>
    <x v="2"/>
    <n v="301.25"/>
    <n v="17.226433176952217"/>
    <n v="5.71831806703808E-2"/>
    <x v="0"/>
    <s v="CX"/>
  </r>
  <r>
    <s v="ITM_666"/>
    <s v="Require Operation"/>
    <s v="Home &amp; Kitchen"/>
    <n v="269"/>
    <n v="290"/>
    <n v="280"/>
    <n v="313"/>
    <n v="309"/>
    <n v="337"/>
    <n v="306"/>
    <n v="321"/>
    <n v="303"/>
    <n v="294"/>
    <n v="303"/>
    <n v="289"/>
    <n v="3614"/>
    <n v="2"/>
    <n v="7228"/>
    <n v="0.99955400970205854"/>
    <x v="2"/>
    <n v="301.16666666666669"/>
    <n v="18.379006469009113"/>
    <n v="6.1026031441092789E-2"/>
    <x v="0"/>
    <s v="CX"/>
  </r>
  <r>
    <s v="ITM_942"/>
    <s v="Technology Condition"/>
    <s v="Apparel"/>
    <n v="378"/>
    <n v="413"/>
    <n v="532"/>
    <n v="48"/>
    <n v="146"/>
    <n v="154"/>
    <n v="325"/>
    <n v="344"/>
    <n v="495"/>
    <n v="240"/>
    <n v="412"/>
    <n v="114"/>
    <n v="3601"/>
    <n v="2"/>
    <n v="7202"/>
    <n v="0.99956072618183978"/>
    <x v="2"/>
    <n v="300.08333333333331"/>
    <n v="157.40478122190305"/>
    <n v="0.52453689937873837"/>
    <x v="2"/>
    <s v="CZ"/>
  </r>
  <r>
    <s v="ITM_974"/>
    <s v="Difference Leg"/>
    <s v="Electronics"/>
    <n v="43"/>
    <n v="64"/>
    <n v="52"/>
    <n v="79"/>
    <n v="60"/>
    <n v="59"/>
    <n v="53"/>
    <n v="61"/>
    <n v="65"/>
    <n v="54"/>
    <n v="63"/>
    <n v="66"/>
    <n v="719"/>
    <n v="10"/>
    <n v="7190"/>
    <n v="0.99956743147059668"/>
    <x v="2"/>
    <n v="59.916666666666664"/>
    <n v="8.9793534220893463"/>
    <n v="0.14986403486101829"/>
    <x v="0"/>
    <s v="CX"/>
  </r>
  <r>
    <s v="ITM_464"/>
    <s v="None Break"/>
    <s v="Toys"/>
    <n v="316"/>
    <n v="286"/>
    <n v="300"/>
    <n v="284"/>
    <n v="292"/>
    <n v="319"/>
    <n v="316"/>
    <n v="283"/>
    <n v="316"/>
    <n v="294"/>
    <n v="279"/>
    <n v="298"/>
    <n v="3583"/>
    <n v="2"/>
    <n v="7166"/>
    <n v="0.99957411437730481"/>
    <x v="2"/>
    <n v="298.58333333333331"/>
    <n v="14.743000393612578"/>
    <n v="4.9376501457814942E-2"/>
    <x v="0"/>
    <s v="CX"/>
  </r>
  <r>
    <s v="ITM_647"/>
    <s v="Vote Source"/>
    <s v="Home &amp; Kitchen"/>
    <n v="63"/>
    <n v="57"/>
    <n v="54"/>
    <n v="61"/>
    <n v="52"/>
    <n v="55"/>
    <n v="59"/>
    <n v="55"/>
    <n v="68"/>
    <n v="57"/>
    <n v="65"/>
    <n v="63"/>
    <n v="709"/>
    <n v="10"/>
    <n v="7090"/>
    <n v="0.99958072640752549"/>
    <x v="2"/>
    <n v="59.083333333333336"/>
    <n v="4.9259670639531805"/>
    <n v="8.3373208416696987E-2"/>
    <x v="0"/>
    <s v="CX"/>
  </r>
  <r>
    <s v="ITM_008"/>
    <s v="About No"/>
    <s v="Toys"/>
    <n v="328"/>
    <n v="294"/>
    <n v="298"/>
    <n v="297"/>
    <n v="306"/>
    <n v="294"/>
    <n v="272"/>
    <n v="274"/>
    <n v="306"/>
    <n v="286"/>
    <n v="291"/>
    <n v="297"/>
    <n v="3543"/>
    <n v="2"/>
    <n v="7086"/>
    <n v="0.99958733470740457"/>
    <x v="2"/>
    <n v="295.25"/>
    <n v="14.820900475648937"/>
    <n v="5.0197800086871927E-2"/>
    <x v="0"/>
    <s v="CX"/>
  </r>
  <r>
    <s v="ITM_073"/>
    <s v="Would Speak"/>
    <s v="Home &amp; Kitchen"/>
    <n v="283"/>
    <n v="279"/>
    <n v="257"/>
    <n v="294"/>
    <n v="299"/>
    <n v="295"/>
    <n v="267"/>
    <n v="288"/>
    <n v="283"/>
    <n v="302"/>
    <n v="279"/>
    <n v="306"/>
    <n v="3432"/>
    <n v="2"/>
    <n v="6864"/>
    <n v="0.99959373597333323"/>
    <x v="2"/>
    <n v="286"/>
    <n v="14.434806419333665"/>
    <n v="5.0471351116551273E-2"/>
    <x v="0"/>
    <s v="CX"/>
  </r>
  <r>
    <s v="ITM_787"/>
    <s v="Day Hot"/>
    <s v="Apparel"/>
    <n v="454"/>
    <n v="33"/>
    <n v="462"/>
    <n v="532"/>
    <n v="56"/>
    <n v="588"/>
    <n v="185"/>
    <n v="188"/>
    <n v="265"/>
    <n v="176"/>
    <n v="231"/>
    <n v="242"/>
    <n v="3412"/>
    <n v="2"/>
    <n v="6824"/>
    <n v="0.99960009993584742"/>
    <x v="2"/>
    <n v="284.33333333333331"/>
    <n v="182.18438878002559"/>
    <n v="0.64074228175858949"/>
    <x v="2"/>
    <s v="CZ"/>
  </r>
  <r>
    <s v="ITM_153"/>
    <s v="Their In"/>
    <s v="Apparel"/>
    <n v="329"/>
    <n v="476"/>
    <n v="259"/>
    <n v="263"/>
    <n v="470"/>
    <n v="138"/>
    <n v="74"/>
    <n v="291"/>
    <n v="112"/>
    <n v="336"/>
    <n v="321"/>
    <n v="341"/>
    <n v="3410"/>
    <n v="2"/>
    <n v="6820"/>
    <n v="0.99960646016802013"/>
    <x v="2"/>
    <n v="284.16666666666669"/>
    <n v="126.82187460681961"/>
    <n v="0.44629398688616867"/>
    <x v="1"/>
    <s v="CY"/>
  </r>
  <r>
    <s v="ITM_140"/>
    <s v="Top Inside"/>
    <s v="Electronics"/>
    <n v="255"/>
    <n v="265"/>
    <n v="304"/>
    <n v="284"/>
    <n v="281"/>
    <n v="315"/>
    <n v="264"/>
    <n v="244"/>
    <n v="316"/>
    <n v="227"/>
    <n v="277"/>
    <n v="298"/>
    <n v="3330"/>
    <n v="2"/>
    <n v="6660"/>
    <n v="0.99961267118653485"/>
    <x v="2"/>
    <n v="277.5"/>
    <n v="27.933362262225565"/>
    <n v="0.10066076490892095"/>
    <x v="0"/>
    <s v="CX"/>
  </r>
  <r>
    <s v="ITM_640"/>
    <s v="President Interest"/>
    <s v="Toys"/>
    <n v="293"/>
    <n v="275"/>
    <n v="299"/>
    <n v="282"/>
    <n v="277"/>
    <n v="252"/>
    <n v="293"/>
    <n v="268"/>
    <n v="250"/>
    <n v="290"/>
    <n v="250"/>
    <n v="297"/>
    <n v="3326"/>
    <n v="2"/>
    <n v="6652"/>
    <n v="0.99961887474436673"/>
    <x v="2"/>
    <n v="277.16666666666669"/>
    <n v="18.482588038639516"/>
    <n v="6.6684021787033726E-2"/>
    <x v="0"/>
    <s v="CX"/>
  </r>
  <r>
    <s v="ITM_141"/>
    <s v="Heavy Who"/>
    <s v="Electronics"/>
    <n v="286"/>
    <n v="268"/>
    <n v="275"/>
    <n v="268"/>
    <n v="275"/>
    <n v="277"/>
    <n v="293"/>
    <n v="245"/>
    <n v="287"/>
    <n v="271"/>
    <n v="258"/>
    <n v="294"/>
    <n v="3297"/>
    <n v="2"/>
    <n v="6594"/>
    <n v="0.99962502421224753"/>
    <x v="2"/>
    <n v="274.75"/>
    <n v="14.321788867443772"/>
    <n v="5.2126620081687974E-2"/>
    <x v="0"/>
    <s v="CX"/>
  </r>
  <r>
    <s v="ITM_438"/>
    <s v="Well While"/>
    <s v="Electronics"/>
    <n v="312"/>
    <n v="261"/>
    <n v="256"/>
    <n v="278"/>
    <n v="278"/>
    <n v="291"/>
    <n v="271"/>
    <n v="255"/>
    <n v="271"/>
    <n v="265"/>
    <n v="273"/>
    <n v="283"/>
    <n v="3294"/>
    <n v="2"/>
    <n v="6588"/>
    <n v="0.99963116808461605"/>
    <x v="2"/>
    <n v="274.5"/>
    <n v="15.945931370500981"/>
    <n v="5.8090824664848745E-2"/>
    <x v="0"/>
    <s v="CX"/>
  </r>
  <r>
    <s v="ITM_729"/>
    <s v="World Drop"/>
    <s v="Apparel"/>
    <n v="73"/>
    <n v="489"/>
    <n v="191"/>
    <n v="418"/>
    <n v="449"/>
    <n v="192"/>
    <n v="22"/>
    <n v="17"/>
    <n v="414"/>
    <n v="428"/>
    <n v="305"/>
    <n v="217"/>
    <n v="3215"/>
    <n v="2"/>
    <n v="6430"/>
    <n v="0.99963716460849739"/>
    <x v="2"/>
    <n v="267.91666666666669"/>
    <n v="172.74124544759968"/>
    <n v="0.64475737025542645"/>
    <x v="2"/>
    <s v="CZ"/>
  </r>
  <r>
    <s v="ITM_530"/>
    <s v="Often Big"/>
    <s v="Electronics"/>
    <n v="240"/>
    <n v="283"/>
    <n v="242"/>
    <n v="252"/>
    <n v="263"/>
    <n v="278"/>
    <n v="262"/>
    <n v="284"/>
    <n v="276"/>
    <n v="293"/>
    <n v="266"/>
    <n v="256"/>
    <n v="3195"/>
    <n v="2"/>
    <n v="6390"/>
    <n v="0.99964312382896425"/>
    <x v="2"/>
    <n v="266.25"/>
    <n v="16.9444278854034"/>
    <n v="6.3641043701045633E-2"/>
    <x v="0"/>
    <s v="CX"/>
  </r>
  <r>
    <s v="ITM_507"/>
    <s v="Mission Food"/>
    <s v="Home &amp; Kitchen"/>
    <n v="261"/>
    <n v="280"/>
    <n v="253"/>
    <n v="283"/>
    <n v="285"/>
    <n v="251"/>
    <n v="253"/>
    <n v="263"/>
    <n v="259"/>
    <n v="287"/>
    <n v="259"/>
    <n v="254"/>
    <n v="3188"/>
    <n v="2"/>
    <n v="6376"/>
    <n v="0.99964906999323599"/>
    <x v="2"/>
    <n v="265.66666666666669"/>
    <n v="13.897896069244265"/>
    <n v="5.2313285078711157E-2"/>
    <x v="0"/>
    <s v="CX"/>
  </r>
  <r>
    <s v="ITM_826"/>
    <s v="Final Just"/>
    <s v="Electronics"/>
    <n v="245"/>
    <n v="261"/>
    <n v="258"/>
    <n v="274"/>
    <n v="234"/>
    <n v="252"/>
    <n v="251"/>
    <n v="268"/>
    <n v="246"/>
    <n v="268"/>
    <n v="273"/>
    <n v="300"/>
    <n v="3130"/>
    <n v="2"/>
    <n v="6260"/>
    <n v="0.99965490797760559"/>
    <x v="2"/>
    <n v="260.83333333333331"/>
    <n v="17.403413110042177"/>
    <n v="6.6722350581631354E-2"/>
    <x v="0"/>
    <s v="CX"/>
  </r>
  <r>
    <s v="ITM_257"/>
    <s v="Movement Civil"/>
    <s v="Electronics"/>
    <n v="238"/>
    <n v="241"/>
    <n v="267"/>
    <n v="268"/>
    <n v="292"/>
    <n v="252"/>
    <n v="288"/>
    <n v="250"/>
    <n v="260"/>
    <n v="254"/>
    <n v="249"/>
    <n v="248"/>
    <n v="3107"/>
    <n v="2"/>
    <n v="6214"/>
    <n v="0.99966070306304866"/>
    <x v="2"/>
    <n v="258.91666666666669"/>
    <n v="17.10108095112615"/>
    <n v="6.6048590734957766E-2"/>
    <x v="0"/>
    <s v="CX"/>
  </r>
  <r>
    <s v="ITM_201"/>
    <s v="While Energy"/>
    <s v="Apparel"/>
    <n v="302"/>
    <n v="71"/>
    <n v="310"/>
    <n v="440"/>
    <n v="333"/>
    <n v="307"/>
    <n v="213"/>
    <n v="3"/>
    <n v="373"/>
    <n v="250"/>
    <n v="234"/>
    <n v="259"/>
    <n v="3095"/>
    <n v="2"/>
    <n v="6190"/>
    <n v="0.99966647576644296"/>
    <x v="2"/>
    <n v="257.91666666666669"/>
    <n v="121.23415235390436"/>
    <n v="0.47005164079058231"/>
    <x v="1"/>
    <s v="CY"/>
  </r>
  <r>
    <s v="ITM_162"/>
    <s v="Us Box"/>
    <s v="Apparel"/>
    <n v="36"/>
    <n v="365"/>
    <n v="419"/>
    <n v="378"/>
    <n v="282"/>
    <n v="206"/>
    <n v="214"/>
    <n v="283"/>
    <n v="144"/>
    <n v="63"/>
    <n v="214"/>
    <n v="462"/>
    <n v="3066"/>
    <n v="2"/>
    <n v="6132"/>
    <n v="0.99967219437988619"/>
    <x v="2"/>
    <n v="255.5"/>
    <n v="135.30873787547699"/>
    <n v="0.52958410127388256"/>
    <x v="2"/>
    <s v="CZ"/>
  </r>
  <r>
    <s v="ITM_849"/>
    <s v="Each People"/>
    <s v="Home &amp; Kitchen"/>
    <n v="264"/>
    <n v="252"/>
    <n v="249"/>
    <n v="258"/>
    <n v="245"/>
    <n v="280"/>
    <n v="220"/>
    <n v="267"/>
    <n v="253"/>
    <n v="230"/>
    <n v="263"/>
    <n v="268"/>
    <n v="3049"/>
    <n v="2"/>
    <n v="6098"/>
    <n v="0.99967788128542712"/>
    <x v="2"/>
    <n v="254.08333333333334"/>
    <n v="16.735690405039566"/>
    <n v="6.5866935014914654E-2"/>
    <x v="0"/>
    <s v="CX"/>
  </r>
  <r>
    <s v="ITM_861"/>
    <s v="To Yes"/>
    <s v="Electronics"/>
    <n v="239"/>
    <n v="240"/>
    <n v="254"/>
    <n v="264"/>
    <n v="239"/>
    <n v="257"/>
    <n v="224"/>
    <n v="273"/>
    <n v="262"/>
    <n v="255"/>
    <n v="275"/>
    <n v="262"/>
    <n v="3044"/>
    <n v="2"/>
    <n v="6088"/>
    <n v="0.99968355886511451"/>
    <x v="2"/>
    <n v="253.66666666666666"/>
    <n v="15.32872130902304"/>
    <n v="6.0428599115728149E-2"/>
    <x v="0"/>
    <s v="CX"/>
  </r>
  <r>
    <s v="ITM_043"/>
    <s v="Loss Nation"/>
    <s v="Toys"/>
    <n v="233"/>
    <n v="251"/>
    <n v="244"/>
    <n v="262"/>
    <n v="255"/>
    <n v="254"/>
    <n v="233"/>
    <n v="263"/>
    <n v="258"/>
    <n v="285"/>
    <n v="241"/>
    <n v="258"/>
    <n v="3037"/>
    <n v="2"/>
    <n v="6074"/>
    <n v="0.99968922338860677"/>
    <x v="2"/>
    <n v="253.08333333333334"/>
    <n v="14.425093876066573"/>
    <n v="5.6997407478695708E-2"/>
    <x v="0"/>
    <s v="CX"/>
  </r>
  <r>
    <s v="ITM_351"/>
    <s v="Song Yard"/>
    <s v="Toys"/>
    <n v="41"/>
    <n v="49"/>
    <n v="49"/>
    <n v="63"/>
    <n v="44"/>
    <n v="54"/>
    <n v="50"/>
    <n v="58"/>
    <n v="56"/>
    <n v="45"/>
    <n v="48"/>
    <n v="50"/>
    <n v="607"/>
    <n v="10"/>
    <n v="6070"/>
    <n v="0.99969488418175756"/>
    <x v="2"/>
    <n v="50.583333333333336"/>
    <n v="6.244391422902984"/>
    <n v="0.12344760638358453"/>
    <x v="0"/>
    <s v="CX"/>
  </r>
  <r>
    <s v="ITM_598"/>
    <s v="Player Care"/>
    <s v="Toys"/>
    <n v="268"/>
    <n v="231"/>
    <n v="233"/>
    <n v="230"/>
    <n v="281"/>
    <n v="258"/>
    <n v="270"/>
    <n v="244"/>
    <n v="279"/>
    <n v="252"/>
    <n v="225"/>
    <n v="255"/>
    <n v="3026"/>
    <n v="2"/>
    <n v="6052"/>
    <n v="0.99970052818837185"/>
    <x v="2"/>
    <n v="252.16666666666666"/>
    <n v="19.71078769392922"/>
    <n v="7.8165714582667106E-2"/>
    <x v="0"/>
    <s v="CX"/>
  </r>
  <r>
    <s v="ITM_800"/>
    <s v="Level Provide"/>
    <s v="Electronics"/>
    <n v="226"/>
    <n v="252"/>
    <n v="250"/>
    <n v="236"/>
    <n v="252"/>
    <n v="239"/>
    <n v="254"/>
    <n v="240"/>
    <n v="296"/>
    <n v="273"/>
    <n v="251"/>
    <n v="225"/>
    <n v="2994"/>
    <n v="2"/>
    <n v="5988"/>
    <n v="0.9997061125095229"/>
    <x v="2"/>
    <n v="249.5"/>
    <n v="19.736905901013323"/>
    <n v="7.9105835274602493E-2"/>
    <x v="0"/>
    <s v="CX"/>
  </r>
  <r>
    <s v="ITM_579"/>
    <s v="Dream Character"/>
    <s v="Home &amp; Kitchen"/>
    <n v="222"/>
    <n v="267"/>
    <n v="258"/>
    <n v="228"/>
    <n v="242"/>
    <n v="262"/>
    <n v="224"/>
    <n v="236"/>
    <n v="269"/>
    <n v="258"/>
    <n v="221"/>
    <n v="272"/>
    <n v="2959"/>
    <n v="2"/>
    <n v="5918"/>
    <n v="0.99971163154969855"/>
    <x v="2"/>
    <n v="246.58333333333334"/>
    <n v="19.796502598982357"/>
    <n v="8.028321432503828E-2"/>
    <x v="0"/>
    <s v="CX"/>
  </r>
  <r>
    <s v="ITM_435"/>
    <s v="Look Young"/>
    <s v="Electronics"/>
    <n v="208"/>
    <n v="255"/>
    <n v="255"/>
    <n v="266"/>
    <n v="254"/>
    <n v="262"/>
    <n v="243"/>
    <n v="248"/>
    <n v="245"/>
    <n v="241"/>
    <n v="242"/>
    <n v="239"/>
    <n v="2958"/>
    <n v="2"/>
    <n v="5916"/>
    <n v="0.99971714872470352"/>
    <x v="2"/>
    <n v="246.5"/>
    <n v="14.853833297716911"/>
    <n v="6.0258958611427632E-2"/>
    <x v="0"/>
    <s v="CX"/>
  </r>
  <r>
    <s v="ITM_120"/>
    <s v="Us Benefit"/>
    <s v="Toys"/>
    <n v="234"/>
    <n v="297"/>
    <n v="242"/>
    <n v="226"/>
    <n v="270"/>
    <n v="246"/>
    <n v="232"/>
    <n v="231"/>
    <n v="246"/>
    <n v="233"/>
    <n v="259"/>
    <n v="234"/>
    <n v="2950"/>
    <n v="2"/>
    <n v="5900"/>
    <n v="0.99972265097834268"/>
    <x v="2"/>
    <n v="245.83333333333334"/>
    <n v="20.537474985690881"/>
    <n v="8.3542271128234091E-2"/>
    <x v="0"/>
    <s v="CX"/>
  </r>
  <r>
    <s v="ITM_420"/>
    <s v="Reach Early"/>
    <s v="Electronics"/>
    <n v="236"/>
    <n v="272"/>
    <n v="233"/>
    <n v="252"/>
    <n v="241"/>
    <n v="231"/>
    <n v="249"/>
    <n v="236"/>
    <n v="262"/>
    <n v="260"/>
    <n v="227"/>
    <n v="229"/>
    <n v="2928"/>
    <n v="2"/>
    <n v="5856"/>
    <n v="0.99972811219822588"/>
    <x v="2"/>
    <n v="244"/>
    <n v="14.752503639598386"/>
    <n v="6.0461080490157318E-2"/>
    <x v="0"/>
    <s v="CX"/>
  </r>
  <r>
    <s v="ITM_425"/>
    <s v="Whole Understand"/>
    <s v="Electronics"/>
    <n v="236"/>
    <n v="260"/>
    <n v="244"/>
    <n v="237"/>
    <n v="267"/>
    <n v="233"/>
    <n v="258"/>
    <n v="224"/>
    <n v="252"/>
    <n v="232"/>
    <n v="248"/>
    <n v="230"/>
    <n v="2921"/>
    <n v="2"/>
    <n v="5842"/>
    <n v="0.99973356036191396"/>
    <x v="2"/>
    <n v="243.41666666666666"/>
    <n v="13.587817627521643"/>
    <n v="5.5821229555035851E-2"/>
    <x v="0"/>
    <s v="CX"/>
  </r>
  <r>
    <s v="ITM_081"/>
    <s v="Across Artist"/>
    <s v="Home &amp; Kitchen"/>
    <n v="44"/>
    <n v="42"/>
    <n v="45"/>
    <n v="50"/>
    <n v="56"/>
    <n v="51"/>
    <n v="50"/>
    <n v="47"/>
    <n v="50"/>
    <n v="47"/>
    <n v="50"/>
    <n v="49"/>
    <n v="581"/>
    <n v="10"/>
    <n v="5810"/>
    <n v="0.99973897868287054"/>
    <x v="2"/>
    <n v="48.416666666666664"/>
    <n v="3.7040109300185615"/>
    <n v="7.6502807504686299E-2"/>
    <x v="0"/>
    <s v="CX"/>
  </r>
  <r>
    <s v="ITM_844"/>
    <s v="People Instead"/>
    <s v="Toys"/>
    <n v="233"/>
    <n v="232"/>
    <n v="228"/>
    <n v="222"/>
    <n v="248"/>
    <n v="240"/>
    <n v="239"/>
    <n v="228"/>
    <n v="270"/>
    <n v="225"/>
    <n v="252"/>
    <n v="235"/>
    <n v="2852"/>
    <n v="2"/>
    <n v="5704"/>
    <n v="0.99974429814977861"/>
    <x v="2"/>
    <n v="237.66666666666666"/>
    <n v="13.546776425229417"/>
    <n v="5.6999059292690397E-2"/>
    <x v="0"/>
    <s v="CX"/>
  </r>
  <r>
    <s v="ITM_227"/>
    <s v="Involve Car"/>
    <s v="Electronics"/>
    <n v="225"/>
    <n v="249"/>
    <n v="246"/>
    <n v="242"/>
    <n v="214"/>
    <n v="242"/>
    <n v="209"/>
    <n v="242"/>
    <n v="245"/>
    <n v="222"/>
    <n v="245"/>
    <n v="235"/>
    <n v="2816"/>
    <n v="2"/>
    <n v="5632"/>
    <n v="0.99974955047054059"/>
    <x v="2"/>
    <n v="234.66666666666666"/>
    <n v="13.647066506851361"/>
    <n v="5.8155112955332509E-2"/>
    <x v="0"/>
    <s v="CX"/>
  </r>
  <r>
    <s v="ITM_055"/>
    <s v="Phone Section"/>
    <s v="Apparel"/>
    <n v="52"/>
    <n v="383"/>
    <n v="4"/>
    <n v="39"/>
    <n v="431"/>
    <n v="374"/>
    <n v="372"/>
    <n v="60"/>
    <n v="126"/>
    <n v="108"/>
    <n v="393"/>
    <n v="462"/>
    <n v="2804"/>
    <n v="2"/>
    <n v="5608"/>
    <n v="0.99975478040925392"/>
    <x v="2"/>
    <n v="233.66666666666666"/>
    <n v="180.60068122962898"/>
    <n v="0.77289877844349064"/>
    <x v="2"/>
    <s v="CZ"/>
  </r>
  <r>
    <s v="ITM_108"/>
    <s v="Occur Food"/>
    <s v="Home &amp; Kitchen"/>
    <n v="225"/>
    <n v="227"/>
    <n v="217"/>
    <n v="236"/>
    <n v="220"/>
    <n v="221"/>
    <n v="240"/>
    <n v="245"/>
    <n v="228"/>
    <n v="260"/>
    <n v="239"/>
    <n v="217"/>
    <n v="2775"/>
    <n v="2"/>
    <n v="5550"/>
    <n v="0.99975995625801617"/>
    <x v="2"/>
    <n v="231.25"/>
    <n v="13.074089573726278"/>
    <n v="5.6536603562059577E-2"/>
    <x v="0"/>
    <s v="CX"/>
  </r>
  <r>
    <s v="ITM_546"/>
    <s v="Enough Them"/>
    <s v="Home &amp; Kitchen"/>
    <n v="222"/>
    <n v="255"/>
    <n v="214"/>
    <n v="225"/>
    <n v="219"/>
    <n v="231"/>
    <n v="223"/>
    <n v="245"/>
    <n v="239"/>
    <n v="212"/>
    <n v="218"/>
    <n v="216"/>
    <n v="2719"/>
    <n v="2"/>
    <n v="5438"/>
    <n v="0.99976502765721775"/>
    <x v="2"/>
    <n v="226.58333333333334"/>
    <n v="13.38559832148875"/>
    <n v="5.9075829296750641E-2"/>
    <x v="0"/>
    <s v="CX"/>
  </r>
  <r>
    <s v="ITM_312"/>
    <s v="Wrong Week"/>
    <s v="Apparel"/>
    <n v="349"/>
    <n v="119"/>
    <n v="177"/>
    <n v="65"/>
    <n v="128"/>
    <n v="427"/>
    <n v="157"/>
    <n v="95"/>
    <n v="179"/>
    <n v="316"/>
    <n v="387"/>
    <n v="309"/>
    <n v="2708"/>
    <n v="2"/>
    <n v="5416"/>
    <n v="0.99977007853954147"/>
    <x v="2"/>
    <n v="225.66666666666666"/>
    <n v="124.2960785846245"/>
    <n v="0.55079503065564772"/>
    <x v="2"/>
    <s v="CZ"/>
  </r>
  <r>
    <s v="ITM_255"/>
    <s v="Example Far"/>
    <s v="Apparel"/>
    <n v="259"/>
    <n v="111"/>
    <n v="346"/>
    <n v="306"/>
    <n v="82"/>
    <n v="401"/>
    <n v="29"/>
    <n v="417"/>
    <n v="248"/>
    <n v="111"/>
    <n v="61"/>
    <n v="333"/>
    <n v="2704"/>
    <n v="2"/>
    <n v="5408"/>
    <n v="0.99977512196118223"/>
    <x v="2"/>
    <n v="225.33333333333334"/>
    <n v="139.52603753964758"/>
    <n v="0.61919839144814015"/>
    <x v="2"/>
    <s v="CZ"/>
  </r>
  <r>
    <s v="ITM_369"/>
    <s v="Head Agreement"/>
    <s v="Home &amp; Kitchen"/>
    <n v="221"/>
    <n v="213"/>
    <n v="197"/>
    <n v="245"/>
    <n v="240"/>
    <n v="213"/>
    <n v="223"/>
    <n v="235"/>
    <n v="214"/>
    <n v="213"/>
    <n v="220"/>
    <n v="222"/>
    <n v="2656"/>
    <n v="2"/>
    <n v="5312"/>
    <n v="0.99978007585462825"/>
    <x v="2"/>
    <n v="221.33333333333334"/>
    <n v="13.330302685872129"/>
    <n v="6.0227271171109015E-2"/>
    <x v="0"/>
    <s v="CX"/>
  </r>
  <r>
    <s v="ITM_811"/>
    <s v="Argue Though"/>
    <s v="Electronics"/>
    <n v="236"/>
    <n v="209"/>
    <n v="211"/>
    <n v="204"/>
    <n v="232"/>
    <n v="224"/>
    <n v="194"/>
    <n v="235"/>
    <n v="236"/>
    <n v="208"/>
    <n v="223"/>
    <n v="240"/>
    <n v="2652"/>
    <n v="2"/>
    <n v="5304"/>
    <n v="0.9997850222873913"/>
    <x v="2"/>
    <n v="221"/>
    <n v="15.2911144727316"/>
    <n v="6.9190563225029866E-2"/>
    <x v="0"/>
    <s v="CX"/>
  </r>
  <r>
    <s v="ITM_589"/>
    <s v="Term Around"/>
    <s v="Electronics"/>
    <n v="204"/>
    <n v="202"/>
    <n v="213"/>
    <n v="214"/>
    <n v="227"/>
    <n v="197"/>
    <n v="224"/>
    <n v="270"/>
    <n v="238"/>
    <n v="222"/>
    <n v="205"/>
    <n v="219"/>
    <n v="2635"/>
    <n v="2"/>
    <n v="5270"/>
    <n v="0.99978993701225205"/>
    <x v="2"/>
    <n v="219.58333333333334"/>
    <n v="19.796502598982354"/>
    <n v="9.0154850545650186E-2"/>
    <x v="0"/>
    <s v="CX"/>
  </r>
  <r>
    <s v="ITM_734"/>
    <s v="Every Why"/>
    <s v="Apparel"/>
    <n v="272"/>
    <n v="255"/>
    <n v="104"/>
    <n v="219"/>
    <n v="140"/>
    <n v="83"/>
    <n v="109"/>
    <n v="271"/>
    <n v="39"/>
    <n v="415"/>
    <n v="353"/>
    <n v="336"/>
    <n v="2596"/>
    <n v="2"/>
    <n v="5192"/>
    <n v="0.99979477899545444"/>
    <x v="2"/>
    <n v="216.33333333333334"/>
    <n v="120.32027965795996"/>
    <n v="0.5561800292355622"/>
    <x v="2"/>
    <s v="CZ"/>
  </r>
  <r>
    <s v="ITM_946"/>
    <s v="Tonight Attack"/>
    <s v="Electronics"/>
    <n v="223"/>
    <n v="194"/>
    <n v="225"/>
    <n v="213"/>
    <n v="206"/>
    <n v="207"/>
    <n v="220"/>
    <n v="212"/>
    <n v="212"/>
    <n v="212"/>
    <n v="217"/>
    <n v="233"/>
    <n v="2574"/>
    <n v="2"/>
    <n v="5148"/>
    <n v="0.99979957994490098"/>
    <x v="2"/>
    <n v="214.5"/>
    <n v="10.139930069688933"/>
    <n v="4.7272401257291062E-2"/>
    <x v="0"/>
    <s v="CX"/>
  </r>
  <r>
    <s v="ITM_975"/>
    <s v="Court Significant"/>
    <s v="Apparel"/>
    <n v="106"/>
    <n v="8"/>
    <n v="46"/>
    <n v="107"/>
    <n v="476"/>
    <n v="258"/>
    <n v="133"/>
    <n v="145"/>
    <n v="415"/>
    <n v="110"/>
    <n v="358"/>
    <n v="343"/>
    <n v="2505"/>
    <n v="2"/>
    <n v="5010"/>
    <n v="0.99980425219756741"/>
    <x v="2"/>
    <n v="208.75"/>
    <n v="154.90121485526305"/>
    <n v="0.74204174780964338"/>
    <x v="2"/>
    <s v="CZ"/>
  </r>
  <r>
    <s v="ITM_672"/>
    <s v="Clear Stand"/>
    <s v="Electronics"/>
    <n v="251"/>
    <n v="187"/>
    <n v="206"/>
    <n v="209"/>
    <n v="204"/>
    <n v="210"/>
    <n v="214"/>
    <n v="206"/>
    <n v="209"/>
    <n v="201"/>
    <n v="184"/>
    <n v="208"/>
    <n v="2489"/>
    <n v="2"/>
    <n v="4978"/>
    <n v="0.99980889460750233"/>
    <x v="2"/>
    <n v="207.41666666666666"/>
    <n v="16.450799004266869"/>
    <n v="7.9312811591483498E-2"/>
    <x v="0"/>
    <s v="CX"/>
  </r>
  <r>
    <s v="ITM_382"/>
    <s v="Phone Pretty"/>
    <s v="Apparel"/>
    <n v="393"/>
    <n v="7"/>
    <n v="8"/>
    <n v="8"/>
    <n v="503"/>
    <n v="527"/>
    <n v="59"/>
    <n v="207"/>
    <n v="148"/>
    <n v="302"/>
    <n v="311"/>
    <n v="12"/>
    <n v="2485"/>
    <n v="2"/>
    <n v="4970"/>
    <n v="0.99981352955675429"/>
    <x v="2"/>
    <n v="207.08333333333334"/>
    <n v="197.03827885295115"/>
    <n v="0.95149269466213826"/>
    <x v="2"/>
    <s v="CZ"/>
  </r>
  <r>
    <s v="ITM_785"/>
    <s v="History Cup"/>
    <s v="Home &amp; Kitchen"/>
    <n v="198"/>
    <n v="228"/>
    <n v="200"/>
    <n v="198"/>
    <n v="201"/>
    <n v="204"/>
    <n v="205"/>
    <n v="202"/>
    <n v="205"/>
    <n v="198"/>
    <n v="205"/>
    <n v="208"/>
    <n v="2452"/>
    <n v="2"/>
    <n v="4904"/>
    <n v="0.99981810295537232"/>
    <x v="2"/>
    <n v="204.33333333333334"/>
    <n v="8.1501068964917511"/>
    <n v="3.9886330651672519E-2"/>
    <x v="0"/>
    <s v="CX"/>
  </r>
  <r>
    <s v="ITM_853"/>
    <s v="Call Condition"/>
    <s v="Electronics"/>
    <n v="226"/>
    <n v="203"/>
    <n v="188"/>
    <n v="194"/>
    <n v="190"/>
    <n v="212"/>
    <n v="209"/>
    <n v="190"/>
    <n v="193"/>
    <n v="199"/>
    <n v="196"/>
    <n v="203"/>
    <n v="2403"/>
    <n v="2"/>
    <n v="4806"/>
    <n v="0.99982258496062482"/>
    <x v="2"/>
    <n v="200.25"/>
    <n v="11.136549163575189"/>
    <n v="5.5613229281274351E-2"/>
    <x v="0"/>
    <s v="CX"/>
  </r>
  <r>
    <s v="ITM_379"/>
    <s v="Bed Describe"/>
    <s v="Apparel"/>
    <n v="257"/>
    <n v="502"/>
    <n v="360"/>
    <n v="121"/>
    <n v="22"/>
    <n v="106"/>
    <n v="50"/>
    <n v="32"/>
    <n v="543"/>
    <n v="85"/>
    <n v="59"/>
    <n v="214"/>
    <n v="2351"/>
    <n v="2"/>
    <n v="4702"/>
    <n v="0.9998269699769996"/>
    <x v="2"/>
    <n v="195.91666666666666"/>
    <n v="182.97762323863705"/>
    <n v="0.93395639254089524"/>
    <x v="2"/>
    <s v="CZ"/>
  </r>
  <r>
    <s v="ITM_871"/>
    <s v="Final Born"/>
    <s v="Toys"/>
    <n v="191"/>
    <n v="168"/>
    <n v="188"/>
    <n v="232"/>
    <n v="195"/>
    <n v="194"/>
    <n v="197"/>
    <n v="187"/>
    <n v="184"/>
    <n v="209"/>
    <n v="193"/>
    <n v="198"/>
    <n v="2336"/>
    <n v="2"/>
    <n v="4672"/>
    <n v="0.99983132701581356"/>
    <x v="2"/>
    <n v="194.66666666666666"/>
    <n v="15.257387679018935"/>
    <n v="7.8376991501809601E-2"/>
    <x v="0"/>
    <s v="CX"/>
  </r>
  <r>
    <s v="ITM_265"/>
    <s v="Look Drop"/>
    <s v="Home &amp; Kitchen"/>
    <n v="189"/>
    <n v="197"/>
    <n v="177"/>
    <n v="206"/>
    <n v="191"/>
    <n v="184"/>
    <n v="204"/>
    <n v="198"/>
    <n v="212"/>
    <n v="189"/>
    <n v="209"/>
    <n v="167"/>
    <n v="2323"/>
    <n v="2"/>
    <n v="4646"/>
    <n v="0.99983565980740807"/>
    <x v="2"/>
    <n v="193.58333333333334"/>
    <n v="13.460098158046337"/>
    <n v="6.9531286223226879E-2"/>
    <x v="0"/>
    <s v="CX"/>
  </r>
  <r>
    <s v="ITM_847"/>
    <s v="Store Itself"/>
    <s v="Electronics"/>
    <n v="202"/>
    <n v="179"/>
    <n v="187"/>
    <n v="177"/>
    <n v="202"/>
    <n v="187"/>
    <n v="187"/>
    <n v="201"/>
    <n v="212"/>
    <n v="213"/>
    <n v="169"/>
    <n v="157"/>
    <n v="2273"/>
    <n v="2"/>
    <n v="4546"/>
    <n v="0.99983989934046635"/>
    <x v="2"/>
    <n v="189.41666666666666"/>
    <n v="17.228192187824177"/>
    <n v="9.0953940278878195E-2"/>
    <x v="0"/>
    <s v="CX"/>
  </r>
  <r>
    <s v="ITM_243"/>
    <s v="Character Food"/>
    <s v="Home &amp; Kitchen"/>
    <n v="188"/>
    <n v="199"/>
    <n v="194"/>
    <n v="199"/>
    <n v="170"/>
    <n v="180"/>
    <n v="196"/>
    <n v="201"/>
    <n v="188"/>
    <n v="178"/>
    <n v="179"/>
    <n v="188"/>
    <n v="2260"/>
    <n v="2"/>
    <n v="4520"/>
    <n v="0.99984411462630507"/>
    <x v="2"/>
    <n v="188.33333333333334"/>
    <n v="9.9025555318112737"/>
    <n v="5.2579940876874016E-2"/>
    <x v="0"/>
    <s v="CX"/>
  </r>
  <r>
    <s v="ITM_083"/>
    <s v="Community Marriage"/>
    <s v="Apparel"/>
    <n v="281"/>
    <n v="203"/>
    <n v="28"/>
    <n v="408"/>
    <n v="266"/>
    <n v="33"/>
    <n v="12"/>
    <n v="116"/>
    <n v="128"/>
    <n v="430"/>
    <n v="253"/>
    <n v="84"/>
    <n v="2242"/>
    <n v="2"/>
    <n v="4484"/>
    <n v="0.99984829633907091"/>
    <x v="2"/>
    <n v="186.83333333333334"/>
    <n v="143.44199545672134"/>
    <n v="0.76775376694052455"/>
    <x v="2"/>
    <s v="CZ"/>
  </r>
  <r>
    <s v="ITM_565"/>
    <s v="Popular World"/>
    <s v="Electronics"/>
    <n v="180"/>
    <n v="206"/>
    <n v="186"/>
    <n v="189"/>
    <n v="199"/>
    <n v="184"/>
    <n v="183"/>
    <n v="181"/>
    <n v="176"/>
    <n v="182"/>
    <n v="180"/>
    <n v="179"/>
    <n v="2225"/>
    <n v="2"/>
    <n v="4450"/>
    <n v="0.99985244634393433"/>
    <x v="2"/>
    <n v="185.41666666666666"/>
    <n v="8.7848871605867789"/>
    <n v="4.737916670878263E-2"/>
    <x v="0"/>
    <s v="CX"/>
  </r>
  <r>
    <s v="ITM_240"/>
    <s v="Morning Budget"/>
    <s v="Electronics"/>
    <n v="208"/>
    <n v="162"/>
    <n v="182"/>
    <n v="182"/>
    <n v="161"/>
    <n v="177"/>
    <n v="198"/>
    <n v="194"/>
    <n v="197"/>
    <n v="197"/>
    <n v="163"/>
    <n v="177"/>
    <n v="2198"/>
    <n v="2"/>
    <n v="4396"/>
    <n v="0.99985654598918816"/>
    <x v="2"/>
    <n v="183.16666666666666"/>
    <n v="15.844892112621217"/>
    <n v="8.6505325455620841E-2"/>
    <x v="0"/>
    <s v="CX"/>
  </r>
  <r>
    <s v="ITM_496"/>
    <s v="School Environment"/>
    <s v="Apparel"/>
    <n v="166"/>
    <n v="29"/>
    <n v="134"/>
    <n v="353"/>
    <n v="17"/>
    <n v="125"/>
    <n v="375"/>
    <n v="109"/>
    <n v="160"/>
    <n v="76"/>
    <n v="254"/>
    <n v="388"/>
    <n v="2186"/>
    <n v="2"/>
    <n v="4372"/>
    <n v="0.99986062325239333"/>
    <x v="2"/>
    <n v="182.16666666666666"/>
    <n v="130.59363296002209"/>
    <n v="0.71689094031119172"/>
    <x v="2"/>
    <s v="CZ"/>
  </r>
  <r>
    <s v="ITM_876"/>
    <s v="Inside Paper"/>
    <s v="Electronics"/>
    <n v="171"/>
    <n v="195"/>
    <n v="180"/>
    <n v="157"/>
    <n v="167"/>
    <n v="187"/>
    <n v="185"/>
    <n v="178"/>
    <n v="198"/>
    <n v="180"/>
    <n v="167"/>
    <n v="171"/>
    <n v="2136"/>
    <n v="2"/>
    <n v="4272"/>
    <n v="0.99986460725706217"/>
    <x v="2"/>
    <n v="178"/>
    <n v="12.090567322579126"/>
    <n v="6.7924535520107451E-2"/>
    <x v="0"/>
    <s v="CX"/>
  </r>
  <r>
    <s v="ITM_478"/>
    <s v="Peace Central"/>
    <s v="Home &amp; Kitchen"/>
    <n v="158"/>
    <n v="175"/>
    <n v="181"/>
    <n v="190"/>
    <n v="181"/>
    <n v="183"/>
    <n v="191"/>
    <n v="168"/>
    <n v="171"/>
    <n v="161"/>
    <n v="202"/>
    <n v="173"/>
    <n v="2134"/>
    <n v="2"/>
    <n v="4268"/>
    <n v="0.99986858753138963"/>
    <x v="2"/>
    <n v="177.83333333333334"/>
    <n v="12.80506528564759"/>
    <n v="7.2005990359780253E-2"/>
    <x v="0"/>
    <s v="CX"/>
  </r>
  <r>
    <s v="ITM_663"/>
    <s v="Others Boy"/>
    <s v="Toys"/>
    <n v="193"/>
    <n v="170"/>
    <n v="184"/>
    <n v="167"/>
    <n v="169"/>
    <n v="173"/>
    <n v="192"/>
    <n v="191"/>
    <n v="166"/>
    <n v="166"/>
    <n v="143"/>
    <n v="190"/>
    <n v="2104"/>
    <n v="2"/>
    <n v="4208"/>
    <n v="0.99987251185059534"/>
    <x v="2"/>
    <n v="175.33333333333334"/>
    <n v="15.041357127680476"/>
    <n v="8.5787207952550237E-2"/>
    <x v="0"/>
    <s v="CX"/>
  </r>
  <r>
    <s v="ITM_898"/>
    <s v="Pass Financial"/>
    <s v="Electronics"/>
    <n v="164"/>
    <n v="173"/>
    <n v="186"/>
    <n v="181"/>
    <n v="164"/>
    <n v="157"/>
    <n v="167"/>
    <n v="148"/>
    <n v="177"/>
    <n v="161"/>
    <n v="178"/>
    <n v="200"/>
    <n v="2056"/>
    <n v="2"/>
    <n v="4112"/>
    <n v="0.99987634664160618"/>
    <x v="2"/>
    <n v="171.33333333333334"/>
    <n v="14.118545723031582"/>
    <n v="8.2403963363997551E-2"/>
    <x v="0"/>
    <s v="CX"/>
  </r>
  <r>
    <s v="ITM_805"/>
    <s v="Evening Table"/>
    <s v="Apparel"/>
    <n v="38"/>
    <n v="95"/>
    <n v="254"/>
    <n v="33"/>
    <n v="108"/>
    <n v="366"/>
    <n v="393"/>
    <n v="2"/>
    <n v="427"/>
    <n v="186"/>
    <n v="99"/>
    <n v="12"/>
    <n v="2013"/>
    <n v="2"/>
    <n v="4026"/>
    <n v="0.99988010123027593"/>
    <x v="2"/>
    <n v="167.75"/>
    <n v="155.31090519576296"/>
    <n v="0.92584742292556155"/>
    <x v="2"/>
    <s v="CZ"/>
  </r>
  <r>
    <s v="ITM_989"/>
    <s v="Common Television"/>
    <s v="Electronics"/>
    <n v="144"/>
    <n v="172"/>
    <n v="151"/>
    <n v="181"/>
    <n v="171"/>
    <n v="197"/>
    <n v="165"/>
    <n v="143"/>
    <n v="183"/>
    <n v="183"/>
    <n v="165"/>
    <n v="143"/>
    <n v="1998"/>
    <n v="2"/>
    <n v="3996"/>
    <n v="0.99988382784138474"/>
    <x v="2"/>
    <n v="166.5"/>
    <n v="18.068053172783873"/>
    <n v="0.10851683587257581"/>
    <x v="0"/>
    <s v="CX"/>
  </r>
  <r>
    <s v="ITM_650"/>
    <s v="His Walk"/>
    <s v="Apparel"/>
    <n v="60"/>
    <n v="28"/>
    <n v="279"/>
    <n v="83"/>
    <n v="9"/>
    <n v="200"/>
    <n v="253"/>
    <n v="208"/>
    <n v="152"/>
    <n v="36"/>
    <n v="257"/>
    <n v="427"/>
    <n v="1992"/>
    <n v="2"/>
    <n v="3984"/>
    <n v="0.99988754326146922"/>
    <x v="2"/>
    <n v="166"/>
    <n v="127.41271522104849"/>
    <n v="0.76754647723523184"/>
    <x v="2"/>
    <s v="CZ"/>
  </r>
  <r>
    <s v="ITM_511"/>
    <s v="Wall Trial"/>
    <s v="Electronics"/>
    <n v="168"/>
    <n v="160"/>
    <n v="159"/>
    <n v="169"/>
    <n v="185"/>
    <n v="158"/>
    <n v="156"/>
    <n v="146"/>
    <n v="204"/>
    <n v="146"/>
    <n v="156"/>
    <n v="178"/>
    <n v="1985"/>
    <n v="2"/>
    <n v="3970"/>
    <n v="0.99989124562535858"/>
    <x v="2"/>
    <n v="165.41666666666666"/>
    <n v="16.806158683559122"/>
    <n v="0.10159894418272518"/>
    <x v="0"/>
    <s v="CX"/>
  </r>
  <r>
    <s v="ITM_998"/>
    <s v="Agent Nature"/>
    <s v="Apparel"/>
    <n v="69"/>
    <n v="136"/>
    <n v="107"/>
    <n v="306"/>
    <n v="66"/>
    <n v="202"/>
    <n v="269"/>
    <n v="349"/>
    <n v="3"/>
    <n v="307"/>
    <n v="89"/>
    <n v="46"/>
    <n v="1949"/>
    <n v="2"/>
    <n v="3898"/>
    <n v="0.99989488084310196"/>
    <x v="2"/>
    <n v="162.41666666666666"/>
    <n v="118.86161421305592"/>
    <n v="0.73183138561142691"/>
    <x v="2"/>
    <s v="CZ"/>
  </r>
  <r>
    <s v="ITM_904"/>
    <s v="Week Gas"/>
    <s v="Home &amp; Kitchen"/>
    <n v="176"/>
    <n v="157"/>
    <n v="152"/>
    <n v="153"/>
    <n v="150"/>
    <n v="156"/>
    <n v="179"/>
    <n v="155"/>
    <n v="162"/>
    <n v="171"/>
    <n v="155"/>
    <n v="161"/>
    <n v="1927"/>
    <n v="2"/>
    <n v="3854"/>
    <n v="0.99989847502708928"/>
    <x v="2"/>
    <n v="160.58333333333334"/>
    <n v="9.6620940073081787"/>
    <n v="6.0168722411882793E-2"/>
    <x v="0"/>
    <s v="CX"/>
  </r>
  <r>
    <s v="ITM_284"/>
    <s v="Lot By"/>
    <s v="Toys"/>
    <n v="163"/>
    <n v="144"/>
    <n v="163"/>
    <n v="154"/>
    <n v="160"/>
    <n v="154"/>
    <n v="165"/>
    <n v="165"/>
    <n v="159"/>
    <n v="163"/>
    <n v="156"/>
    <n v="164"/>
    <n v="1910"/>
    <n v="2"/>
    <n v="3820"/>
    <n v="0.9999020375031743"/>
    <x v="2"/>
    <n v="159.16666666666666"/>
    <n v="6.2498484830118928"/>
    <n v="3.926606376761399E-2"/>
    <x v="0"/>
    <s v="CX"/>
  </r>
  <r>
    <s v="ITM_563"/>
    <s v="Forget Would"/>
    <s v="Toys"/>
    <n v="161"/>
    <n v="124"/>
    <n v="156"/>
    <n v="173"/>
    <n v="165"/>
    <n v="174"/>
    <n v="166"/>
    <n v="159"/>
    <n v="143"/>
    <n v="143"/>
    <n v="162"/>
    <n v="160"/>
    <n v="1886"/>
    <n v="2"/>
    <n v="3772"/>
    <n v="0.99990555521516189"/>
    <x v="2"/>
    <n v="157.16666666666666"/>
    <n v="14.224392195567914"/>
    <n v="9.0505146525352589E-2"/>
    <x v="0"/>
    <s v="CX"/>
  </r>
  <r>
    <s v="ITM_168"/>
    <s v="Customer Method"/>
    <s v="Electronics"/>
    <n v="146"/>
    <n v="161"/>
    <n v="152"/>
    <n v="127"/>
    <n v="140"/>
    <n v="166"/>
    <n v="150"/>
    <n v="161"/>
    <n v="193"/>
    <n v="151"/>
    <n v="154"/>
    <n v="153"/>
    <n v="1854"/>
    <n v="2"/>
    <n v="3708"/>
    <n v="0.99990901324168635"/>
    <x v="2"/>
    <n v="154.5"/>
    <n v="15.894538799108442"/>
    <n v="0.10287727378063717"/>
    <x v="0"/>
    <s v="CX"/>
  </r>
  <r>
    <s v="ITM_212"/>
    <s v="Range Certainly"/>
    <s v="Apparel"/>
    <n v="321"/>
    <n v="150"/>
    <n v="190"/>
    <n v="33"/>
    <n v="129"/>
    <n v="181"/>
    <n v="248"/>
    <n v="96"/>
    <n v="146"/>
    <n v="157"/>
    <n v="27"/>
    <n v="145"/>
    <n v="1823"/>
    <n v="2"/>
    <n v="3646"/>
    <n v="0.99991241344791826"/>
    <x v="2"/>
    <n v="151.91666666666666"/>
    <n v="81.812933333343224"/>
    <n v="0.53853823368081122"/>
    <x v="2"/>
    <s v="CZ"/>
  </r>
  <r>
    <s v="ITM_684"/>
    <s v="Think For"/>
    <s v="Apparel"/>
    <n v="97"/>
    <n v="212"/>
    <n v="103"/>
    <n v="140"/>
    <n v="131"/>
    <n v="57"/>
    <n v="206"/>
    <n v="258"/>
    <n v="44"/>
    <n v="58"/>
    <n v="428"/>
    <n v="76"/>
    <n v="1810"/>
    <n v="2"/>
    <n v="3620"/>
    <n v="0.99991578940693071"/>
    <x v="2"/>
    <n v="150.83333333333334"/>
    <n v="110.87407544624942"/>
    <n v="0.73507674329005135"/>
    <x v="2"/>
    <s v="CZ"/>
  </r>
  <r>
    <s v="ITM_919"/>
    <s v="Feel Technology"/>
    <s v="Electronics"/>
    <n v="155"/>
    <n v="151"/>
    <n v="151"/>
    <n v="152"/>
    <n v="172"/>
    <n v="130"/>
    <n v="170"/>
    <n v="134"/>
    <n v="145"/>
    <n v="158"/>
    <n v="150"/>
    <n v="135"/>
    <n v="1803"/>
    <n v="2"/>
    <n v="3606"/>
    <n v="0.99991915230974815"/>
    <x v="2"/>
    <n v="150.25"/>
    <n v="13.087988941982436"/>
    <n v="8.7108079480748321E-2"/>
    <x v="0"/>
    <s v="CX"/>
  </r>
  <r>
    <s v="ITM_965"/>
    <s v="Physical Child"/>
    <s v="Home &amp; Kitchen"/>
    <n v="154"/>
    <n v="129"/>
    <n v="153"/>
    <n v="143"/>
    <n v="161"/>
    <n v="156"/>
    <n v="149"/>
    <n v="147"/>
    <n v="132"/>
    <n v="137"/>
    <n v="167"/>
    <n v="145"/>
    <n v="1773"/>
    <n v="2"/>
    <n v="3546"/>
    <n v="0.99992245925744383"/>
    <x v="2"/>
    <n v="147.75"/>
    <n v="11.394775517354832"/>
    <n v="7.7122000117460787E-2"/>
    <x v="0"/>
    <s v="CX"/>
  </r>
  <r>
    <s v="ITM_498"/>
    <s v="Away Ago"/>
    <s v="Apparel"/>
    <n v="344"/>
    <n v="374"/>
    <n v="376"/>
    <n v="120"/>
    <n v="18"/>
    <n v="160"/>
    <n v="82"/>
    <n v="22"/>
    <n v="35"/>
    <n v="210"/>
    <n v="12"/>
    <n v="16"/>
    <n v="1769"/>
    <n v="2"/>
    <n v="3538"/>
    <n v="0.99992575874445655"/>
    <x v="2"/>
    <n v="147.41666666666666"/>
    <n v="145.24741170176011"/>
    <n v="0.98528487304755308"/>
    <x v="2"/>
    <s v="CZ"/>
  </r>
  <r>
    <s v="ITM_126"/>
    <s v="Summer Feel"/>
    <s v="Electronics"/>
    <n v="161"/>
    <n v="148"/>
    <n v="137"/>
    <n v="115"/>
    <n v="133"/>
    <n v="117"/>
    <n v="161"/>
    <n v="133"/>
    <n v="146"/>
    <n v="137"/>
    <n v="138"/>
    <n v="152"/>
    <n v="1678"/>
    <n v="2"/>
    <n v="3356"/>
    <n v="0.99992888850093342"/>
    <x v="2"/>
    <n v="139.83333333333334"/>
    <n v="14.769953119475845"/>
    <n v="0.10562540967443988"/>
    <x v="0"/>
    <s v="CX"/>
  </r>
  <r>
    <s v="ITM_476"/>
    <s v="Stage Street"/>
    <s v="Electronics"/>
    <n v="129"/>
    <n v="130"/>
    <n v="149"/>
    <n v="156"/>
    <n v="140"/>
    <n v="129"/>
    <n v="124"/>
    <n v="129"/>
    <n v="131"/>
    <n v="132"/>
    <n v="162"/>
    <n v="134"/>
    <n v="1645"/>
    <n v="2"/>
    <n v="3290"/>
    <n v="0.99993195670677626"/>
    <x v="2"/>
    <n v="137.08333333333334"/>
    <n v="12.131539161386012"/>
    <n v="8.8497550113454185E-2"/>
    <x v="0"/>
    <s v="CX"/>
  </r>
  <r>
    <s v="ITM_755"/>
    <s v="You Claim"/>
    <s v="Electronics"/>
    <n v="124"/>
    <n v="122"/>
    <n v="127"/>
    <n v="133"/>
    <n v="142"/>
    <n v="155"/>
    <n v="158"/>
    <n v="134"/>
    <n v="145"/>
    <n v="121"/>
    <n v="132"/>
    <n v="130"/>
    <n v="1623"/>
    <n v="2"/>
    <n v="3246"/>
    <n v="0.99993498387886315"/>
    <x v="2"/>
    <n v="135.25"/>
    <n v="12.307610358118781"/>
    <n v="9.0998967527680455E-2"/>
    <x v="0"/>
    <s v="CX"/>
  </r>
  <r>
    <s v="ITM_380"/>
    <s v="Director Them"/>
    <s v="Home &amp; Kitchen"/>
    <n v="138"/>
    <n v="133"/>
    <n v="140"/>
    <n v="126"/>
    <n v="137"/>
    <n v="144"/>
    <n v="139"/>
    <n v="132"/>
    <n v="134"/>
    <n v="137"/>
    <n v="112"/>
    <n v="123"/>
    <n v="1595"/>
    <n v="2"/>
    <n v="3190"/>
    <n v="0.99993795882616976"/>
    <x v="2"/>
    <n v="132.91666666666666"/>
    <n v="8.81587754960883"/>
    <n v="6.6326351470411271E-2"/>
    <x v="0"/>
    <s v="CX"/>
  </r>
  <r>
    <s v="ITM_003"/>
    <s v="Win Everyone"/>
    <s v="Apparel"/>
    <n v="61"/>
    <n v="175"/>
    <n v="38"/>
    <n v="43"/>
    <n v="15"/>
    <n v="161"/>
    <n v="224"/>
    <n v="41"/>
    <n v="387"/>
    <n v="340"/>
    <n v="70"/>
    <n v="21"/>
    <n v="1576"/>
    <n v="2"/>
    <n v="3152"/>
    <n v="0.99994089833523259"/>
    <x v="2"/>
    <n v="131.33333333333334"/>
    <n v="127.69661014460894"/>
    <n v="0.97230921429905282"/>
    <x v="2"/>
    <s v="CZ"/>
  </r>
  <r>
    <s v="ITM_866"/>
    <s v="Improve Us"/>
    <s v="Home &amp; Kitchen"/>
    <n v="124"/>
    <n v="128"/>
    <n v="131"/>
    <n v="144"/>
    <n v="119"/>
    <n v="137"/>
    <n v="116"/>
    <n v="133"/>
    <n v="136"/>
    <n v="122"/>
    <n v="132"/>
    <n v="133"/>
    <n v="1555"/>
    <n v="2"/>
    <n v="3110"/>
    <n v="0.99994379867571015"/>
    <x v="2"/>
    <n v="129.58333333333334"/>
    <n v="8.10676858986964"/>
    <n v="6.2560272076164422E-2"/>
    <x v="0"/>
    <s v="CX"/>
  </r>
  <r>
    <s v="ITM_422"/>
    <s v="Great Again"/>
    <s v="Electronics"/>
    <n v="118"/>
    <n v="135"/>
    <n v="114"/>
    <n v="120"/>
    <n v="110"/>
    <n v="118"/>
    <n v="127"/>
    <n v="130"/>
    <n v="133"/>
    <n v="128"/>
    <n v="135"/>
    <n v="119"/>
    <n v="1487"/>
    <n v="2"/>
    <n v="2974"/>
    <n v="0.99994657218457839"/>
    <x v="2"/>
    <n v="123.91666666666667"/>
    <n v="8.4901904179666872"/>
    <n v="6.85153228080701E-2"/>
    <x v="0"/>
    <s v="CX"/>
  </r>
  <r>
    <s v="ITM_625"/>
    <s v="Baby Result"/>
    <s v="Home &amp; Kitchen"/>
    <n v="112"/>
    <n v="113"/>
    <n v="114"/>
    <n v="109"/>
    <n v="115"/>
    <n v="117"/>
    <n v="112"/>
    <n v="123"/>
    <n v="93"/>
    <n v="128"/>
    <n v="128"/>
    <n v="98"/>
    <n v="1362"/>
    <n v="2"/>
    <n v="2724"/>
    <n v="0.99994911254710606"/>
    <x v="2"/>
    <n v="113.5"/>
    <n v="10.492421507493354"/>
    <n v="9.2444242356769638E-2"/>
    <x v="0"/>
    <s v="CX"/>
  </r>
  <r>
    <s v="ITM_327"/>
    <s v="Run Nature"/>
    <s v="Electronics"/>
    <n v="104"/>
    <n v="105"/>
    <n v="122"/>
    <n v="90"/>
    <n v="109"/>
    <n v="101"/>
    <n v="119"/>
    <n v="93"/>
    <n v="112"/>
    <n v="102"/>
    <n v="100"/>
    <n v="113"/>
    <n v="1270"/>
    <n v="2"/>
    <n v="2540"/>
    <n v="0.99995148131392697"/>
    <x v="2"/>
    <n v="105.83333333333333"/>
    <n v="9.6562116920883749"/>
    <n v="9.1239795515795669E-2"/>
    <x v="0"/>
    <s v="CX"/>
  </r>
  <r>
    <s v="ITM_696"/>
    <s v="Wonder Yard"/>
    <s v="Home &amp; Kitchen"/>
    <n v="108"/>
    <n v="88"/>
    <n v="114"/>
    <n v="123"/>
    <n v="99"/>
    <n v="99"/>
    <n v="98"/>
    <n v="102"/>
    <n v="102"/>
    <n v="109"/>
    <n v="109"/>
    <n v="115"/>
    <n v="1266"/>
    <n v="2"/>
    <n v="2532"/>
    <n v="0.99995384262006504"/>
    <x v="2"/>
    <n v="105.5"/>
    <n v="9.3953566868281939"/>
    <n v="8.9055513619224591E-2"/>
    <x v="0"/>
    <s v="CX"/>
  </r>
  <r>
    <s v="ITM_815"/>
    <s v="Thing Three"/>
    <s v="Home &amp; Kitchen"/>
    <n v="108"/>
    <n v="118"/>
    <n v="90"/>
    <n v="86"/>
    <n v="105"/>
    <n v="118"/>
    <n v="101"/>
    <n v="101"/>
    <n v="95"/>
    <n v="108"/>
    <n v="114"/>
    <n v="91"/>
    <n v="1235"/>
    <n v="2"/>
    <n v="2470"/>
    <n v="0.99995614610591055"/>
    <x v="2"/>
    <n v="102.91666666666667"/>
    <n v="10.866615541802046"/>
    <n v="0.10558654777459478"/>
    <x v="0"/>
    <s v="CX"/>
  </r>
  <r>
    <s v="ITM_208"/>
    <s v="Area Represent"/>
    <s v="Toys"/>
    <n v="111"/>
    <n v="137"/>
    <n v="107"/>
    <n v="104"/>
    <n v="99"/>
    <n v="107"/>
    <n v="105"/>
    <n v="73"/>
    <n v="101"/>
    <n v="95"/>
    <n v="86"/>
    <n v="108"/>
    <n v="1233"/>
    <n v="2"/>
    <n v="2466"/>
    <n v="0.99995844586141469"/>
    <x v="2"/>
    <n v="102.75"/>
    <n v="15.238259265892069"/>
    <n v="0.14830422643203961"/>
    <x v="0"/>
    <s v="CX"/>
  </r>
  <r>
    <s v="ITM_142"/>
    <s v="Fact Car"/>
    <s v="Toys"/>
    <n v="110"/>
    <n v="105"/>
    <n v="112"/>
    <n v="101"/>
    <n v="94"/>
    <n v="93"/>
    <n v="107"/>
    <n v="101"/>
    <n v="92"/>
    <n v="97"/>
    <n v="94"/>
    <n v="103"/>
    <n v="1209"/>
    <n v="2"/>
    <n v="2418"/>
    <n v="0.99996070085282129"/>
    <x v="2"/>
    <n v="100.75"/>
    <n v="6.8506801254925183"/>
    <n v="6.7996825066923255E-2"/>
    <x v="0"/>
    <s v="CX"/>
  </r>
  <r>
    <s v="ITM_980"/>
    <s v="Stuff When"/>
    <s v="Home &amp; Kitchen"/>
    <n v="96"/>
    <n v="97"/>
    <n v="104"/>
    <n v="87"/>
    <n v="111"/>
    <n v="110"/>
    <n v="103"/>
    <n v="86"/>
    <n v="98"/>
    <n v="116"/>
    <n v="85"/>
    <n v="96"/>
    <n v="1189"/>
    <n v="2"/>
    <n v="2378"/>
    <n v="0.99996291854081354"/>
    <x v="2"/>
    <n v="99.083333333333329"/>
    <n v="10.12160904683488"/>
    <n v="0.10215248827755977"/>
    <x v="0"/>
    <s v="CX"/>
  </r>
  <r>
    <s v="ITM_112"/>
    <s v="Artist It"/>
    <s v="Home &amp; Kitchen"/>
    <n v="111"/>
    <n v="119"/>
    <n v="85"/>
    <n v="102"/>
    <n v="95"/>
    <n v="97"/>
    <n v="101"/>
    <n v="113"/>
    <n v="101"/>
    <n v="87"/>
    <n v="95"/>
    <n v="80"/>
    <n v="1186"/>
    <n v="2"/>
    <n v="2372"/>
    <n v="0.99996513063329351"/>
    <x v="2"/>
    <n v="98.833333333333329"/>
    <n v="11.652805618728875"/>
    <n v="0.11790359816589081"/>
    <x v="0"/>
    <s v="CX"/>
  </r>
  <r>
    <s v="ITM_572"/>
    <s v="Month Wide"/>
    <s v="Toys"/>
    <n v="82"/>
    <n v="106"/>
    <n v="109"/>
    <n v="100"/>
    <n v="107"/>
    <n v="81"/>
    <n v="96"/>
    <n v="97"/>
    <n v="101"/>
    <n v="90"/>
    <n v="89"/>
    <n v="93"/>
    <n v="1151"/>
    <n v="2"/>
    <n v="2302"/>
    <n v="0.99996727744479819"/>
    <x v="2"/>
    <n v="95.916666666666671"/>
    <n v="9.2781104398111864"/>
    <n v="9.6730951587953279E-2"/>
    <x v="0"/>
    <s v="CX"/>
  </r>
  <r>
    <s v="ITM_325"/>
    <s v="Plan Field"/>
    <s v="Electronics"/>
    <n v="94"/>
    <n v="90"/>
    <n v="115"/>
    <n v="95"/>
    <n v="112"/>
    <n v="90"/>
    <n v="90"/>
    <n v="90"/>
    <n v="88"/>
    <n v="98"/>
    <n v="86"/>
    <n v="102"/>
    <n v="1150"/>
    <n v="2"/>
    <n v="2300"/>
    <n v="0.99996942239113207"/>
    <x v="2"/>
    <n v="95.833333333333329"/>
    <n v="9.3889038311996327"/>
    <n v="9.7971170412517905E-2"/>
    <x v="0"/>
    <s v="CX"/>
  </r>
  <r>
    <s v="ITM_242"/>
    <s v="Image None"/>
    <s v="Electronics"/>
    <n v="89"/>
    <n v="88"/>
    <n v="121"/>
    <n v="87"/>
    <n v="86"/>
    <n v="111"/>
    <n v="79"/>
    <n v="107"/>
    <n v="84"/>
    <n v="98"/>
    <n v="95"/>
    <n v="100"/>
    <n v="1145"/>
    <n v="2"/>
    <n v="2290"/>
    <n v="0.99997155801161242"/>
    <x v="2"/>
    <n v="95.416666666666671"/>
    <n v="12.486052825113131"/>
    <n v="0.13085819554703718"/>
    <x v="0"/>
    <s v="CX"/>
  </r>
  <r>
    <s v="ITM_687"/>
    <s v="Indicate Common"/>
    <s v="Home &amp; Kitchen"/>
    <n v="76"/>
    <n v="107"/>
    <n v="107"/>
    <n v="84"/>
    <n v="93"/>
    <n v="96"/>
    <n v="95"/>
    <n v="86"/>
    <n v="102"/>
    <n v="99"/>
    <n v="87"/>
    <n v="100"/>
    <n v="1132"/>
    <n v="2"/>
    <n v="2264"/>
    <n v="0.9999736693848732"/>
    <x v="2"/>
    <n v="94.333333333333329"/>
    <n v="9.556847457887633"/>
    <n v="0.10130933700940954"/>
    <x v="0"/>
    <s v="CX"/>
  </r>
  <r>
    <s v="ITM_445"/>
    <s v="Number Congress"/>
    <s v="Electronics"/>
    <n v="98"/>
    <n v="84"/>
    <n v="79"/>
    <n v="83"/>
    <n v="88"/>
    <n v="91"/>
    <n v="82"/>
    <n v="106"/>
    <n v="85"/>
    <n v="99"/>
    <n v="91"/>
    <n v="87"/>
    <n v="1073"/>
    <n v="2"/>
    <n v="2146"/>
    <n v="0.99997567071306126"/>
    <x v="2"/>
    <n v="89.416666666666671"/>
    <n v="8.0165548407749014"/>
    <n v="8.9653921798041769E-2"/>
    <x v="0"/>
    <s v="CX"/>
  </r>
  <r>
    <s v="ITM_366"/>
    <s v="Vote Lawyer"/>
    <s v="Electronics"/>
    <n v="94"/>
    <n v="101"/>
    <n v="83"/>
    <n v="85"/>
    <n v="84"/>
    <n v="92"/>
    <n v="102"/>
    <n v="90"/>
    <n v="88"/>
    <n v="88"/>
    <n v="84"/>
    <n v="76"/>
    <n v="1067"/>
    <n v="2"/>
    <n v="2134"/>
    <n v="0.99997766085022499"/>
    <x v="2"/>
    <n v="88.916666666666671"/>
    <n v="7.5131198377884072"/>
    <n v="8.4496193114771204E-2"/>
    <x v="0"/>
    <s v="CX"/>
  </r>
  <r>
    <s v="ITM_801"/>
    <s v="Law Where"/>
    <s v="Electronics"/>
    <n v="98"/>
    <n v="84"/>
    <n v="67"/>
    <n v="88"/>
    <n v="96"/>
    <n v="85"/>
    <n v="88"/>
    <n v="85"/>
    <n v="88"/>
    <n v="88"/>
    <n v="93"/>
    <n v="64"/>
    <n v="1024"/>
    <n v="2"/>
    <n v="2048"/>
    <n v="0.99997957078504751"/>
    <x v="2"/>
    <n v="85.333333333333329"/>
    <n v="10.245472022786331"/>
    <n v="0.12006412526702731"/>
    <x v="0"/>
    <s v="CX"/>
  </r>
  <r>
    <s v="ITM_010"/>
    <s v="Require Goal"/>
    <s v="Electronics"/>
    <n v="82"/>
    <n v="83"/>
    <n v="74"/>
    <n v="72"/>
    <n v="83"/>
    <n v="108"/>
    <n v="80"/>
    <n v="88"/>
    <n v="76"/>
    <n v="93"/>
    <n v="85"/>
    <n v="91"/>
    <n v="1015"/>
    <n v="2"/>
    <n v="2030"/>
    <n v="0.99998146393333354"/>
    <x v="2"/>
    <n v="84.583333333333329"/>
    <n v="9.7650427856748809"/>
    <n v="0.11544878170256018"/>
    <x v="0"/>
    <s v="CX"/>
  </r>
  <r>
    <s v="ITM_736"/>
    <s v="Process Position"/>
    <s v="Electronics"/>
    <n v="81"/>
    <n v="79"/>
    <n v="88"/>
    <n v="86"/>
    <n v="93"/>
    <n v="89"/>
    <n v="87"/>
    <n v="72"/>
    <n v="67"/>
    <n v="86"/>
    <n v="87"/>
    <n v="80"/>
    <n v="995"/>
    <n v="2"/>
    <n v="1990"/>
    <n v="0.99998331977820509"/>
    <x v="2"/>
    <n v="82.916666666666671"/>
    <n v="7.4888806462203243"/>
    <n v="9.0318158547380789E-2"/>
    <x v="0"/>
    <s v="CX"/>
  </r>
  <r>
    <s v="ITM_789"/>
    <s v="Low Necessary"/>
    <s v="Electronics"/>
    <n v="80"/>
    <n v="88"/>
    <n v="80"/>
    <n v="87"/>
    <n v="81"/>
    <n v="83"/>
    <n v="87"/>
    <n v="96"/>
    <n v="82"/>
    <n v="76"/>
    <n v="81"/>
    <n v="73"/>
    <n v="994"/>
    <n v="2"/>
    <n v="1988"/>
    <n v="0.99998517375790585"/>
    <x v="2"/>
    <n v="82.833333333333329"/>
    <n v="6.0427768050087298"/>
    <n v="7.2951027827067166E-2"/>
    <x v="0"/>
    <s v="CX"/>
  </r>
  <r>
    <s v="ITM_618"/>
    <s v="Week Response"/>
    <s v="Toys"/>
    <n v="88"/>
    <n v="87"/>
    <n v="75"/>
    <n v="84"/>
    <n v="70"/>
    <n v="74"/>
    <n v="70"/>
    <n v="105"/>
    <n v="79"/>
    <n v="88"/>
    <n v="83"/>
    <n v="76"/>
    <n v="979"/>
    <n v="2"/>
    <n v="1958"/>
    <n v="0.99998699976004579"/>
    <x v="2"/>
    <n v="81.583333333333329"/>
    <n v="9.885327357740735"/>
    <n v="0.12116846608058103"/>
    <x v="0"/>
    <s v="CX"/>
  </r>
  <r>
    <s v="ITM_993"/>
    <s v="Catch Contain"/>
    <s v="Home &amp; Kitchen"/>
    <n v="68"/>
    <n v="80"/>
    <n v="83"/>
    <n v="90"/>
    <n v="84"/>
    <n v="92"/>
    <n v="81"/>
    <n v="78"/>
    <n v="70"/>
    <n v="85"/>
    <n v="75"/>
    <n v="83"/>
    <n v="969"/>
    <n v="2"/>
    <n v="1938"/>
    <n v="0.99998880711047844"/>
    <x v="2"/>
    <n v="80.75"/>
    <n v="7.2000631310363588"/>
    <n v="8.9164868495806307E-2"/>
    <x v="0"/>
    <s v="CX"/>
  </r>
  <r>
    <s v="ITM_484"/>
    <s v="Reach Operation"/>
    <s v="Electronics"/>
    <n v="74"/>
    <n v="71"/>
    <n v="79"/>
    <n v="84"/>
    <n v="77"/>
    <n v="66"/>
    <n v="66"/>
    <n v="82"/>
    <n v="77"/>
    <n v="92"/>
    <n v="82"/>
    <n v="90"/>
    <n v="940"/>
    <n v="2"/>
    <n v="1880"/>
    <n v="0.99999056037096012"/>
    <x v="2"/>
    <n v="78.333333333333329"/>
    <n v="8.3266639978645571"/>
    <n v="0.10629783827061137"/>
    <x v="0"/>
    <s v="CX"/>
  </r>
  <r>
    <s v="ITM_278"/>
    <s v="Dog Begin"/>
    <s v="Toys"/>
    <n v="83"/>
    <n v="78"/>
    <n v="70"/>
    <n v="80"/>
    <n v="75"/>
    <n v="81"/>
    <n v="63"/>
    <n v="49"/>
    <n v="74"/>
    <n v="61"/>
    <n v="86"/>
    <n v="59"/>
    <n v="859"/>
    <n v="2"/>
    <n v="1718"/>
    <n v="0.99999216255261292"/>
    <x v="2"/>
    <n v="71.583333333333329"/>
    <n v="11.333444740985394"/>
    <n v="0.15832518846545371"/>
    <x v="0"/>
    <s v="CX"/>
  </r>
  <r>
    <s v="ITM_318"/>
    <s v="Road Poor"/>
    <s v="Home &amp; Kitchen"/>
    <n v="61"/>
    <n v="57"/>
    <n v="55"/>
    <n v="55"/>
    <n v="61"/>
    <n v="67"/>
    <n v="63"/>
    <n v="69"/>
    <n v="74"/>
    <n v="63"/>
    <n v="74"/>
    <n v="62"/>
    <n v="761"/>
    <n v="2"/>
    <n v="1522"/>
    <n v="0.99999358194753485"/>
    <x v="2"/>
    <n v="63.416666666666664"/>
    <n v="6.5011653966924667"/>
    <n v="0.10251509166926361"/>
    <x v="0"/>
    <s v="CX"/>
  </r>
  <r>
    <s v="ITM_178"/>
    <s v="Investment Agreement"/>
    <s v="Electronics"/>
    <n v="63"/>
    <n v="63"/>
    <n v="59"/>
    <n v="72"/>
    <n v="55"/>
    <n v="65"/>
    <n v="60"/>
    <n v="59"/>
    <n v="59"/>
    <n v="61"/>
    <n v="75"/>
    <n v="65"/>
    <n v="756"/>
    <n v="2"/>
    <n v="1512"/>
    <n v="0.99999499201660302"/>
    <x v="2"/>
    <n v="63"/>
    <n v="5.7048623599044479"/>
    <n v="9.0553370792134089E-2"/>
    <x v="0"/>
    <s v="CX"/>
  </r>
  <r>
    <s v="ITM_483"/>
    <s v="Along Have"/>
    <s v="Home &amp; Kitchen"/>
    <n v="45"/>
    <n v="53"/>
    <n v="76"/>
    <n v="60"/>
    <n v="51"/>
    <n v="69"/>
    <n v="60"/>
    <n v="57"/>
    <n v="60"/>
    <n v="76"/>
    <n v="56"/>
    <n v="65"/>
    <n v="728"/>
    <n v="2"/>
    <n v="1456"/>
    <n v="0.99999634986089092"/>
    <x v="2"/>
    <n v="60.666666666666664"/>
    <n v="9.4996012675492878"/>
    <n v="0.15658683408048277"/>
    <x v="0"/>
    <s v="CX"/>
  </r>
  <r>
    <s v="ITM_409"/>
    <s v="Indicate Organization"/>
    <s v="Home &amp; Kitchen"/>
    <n v="53"/>
    <n v="53"/>
    <n v="70"/>
    <n v="62"/>
    <n v="55"/>
    <n v="54"/>
    <n v="58"/>
    <n v="69"/>
    <n v="62"/>
    <n v="48"/>
    <n v="54"/>
    <n v="60"/>
    <n v="698"/>
    <n v="2"/>
    <n v="1396"/>
    <n v="0.99999765175005706"/>
    <x v="2"/>
    <n v="58.166666666666664"/>
    <n v="6.6855792342151981"/>
    <n v="0.11493832494352776"/>
    <x v="0"/>
    <s v="CX"/>
  </r>
  <r>
    <s v="ITM_569"/>
    <s v="Worry Because"/>
    <s v="Toys"/>
    <n v="50"/>
    <n v="65"/>
    <n v="61"/>
    <n v="60"/>
    <n v="51"/>
    <n v="55"/>
    <n v="48"/>
    <n v="51"/>
    <n v="54"/>
    <n v="55"/>
    <n v="50"/>
    <n v="45"/>
    <n v="645"/>
    <n v="2"/>
    <n v="1290"/>
    <n v="0.99999885478517481"/>
    <x v="2"/>
    <n v="53.75"/>
    <n v="5.8329004168361447"/>
    <n v="0.10851907752253293"/>
    <x v="0"/>
    <s v="CX"/>
  </r>
  <r>
    <s v="ITM_907"/>
    <s v="Gun Both"/>
    <s v="Electronics"/>
    <n v="57"/>
    <n v="58"/>
    <n v="49"/>
    <n v="44"/>
    <n v="61"/>
    <n v="48"/>
    <n v="37"/>
    <n v="36"/>
    <n v="47"/>
    <n v="69"/>
    <n v="48"/>
    <n v="60"/>
    <n v="614"/>
    <n v="2"/>
    <n v="1228"/>
    <n v="1"/>
    <x v="2"/>
    <n v="51.166666666666664"/>
    <n v="9.9893883089946449"/>
    <n v="0.19523234480119828"/>
    <x v="0"/>
    <s v="C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96B144-D924-4B03-B15F-4EA0BCAABE3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K9" firstHeaderRow="1" firstDataRow="3"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 showAll="0"/>
    <pivotField showAll="0"/>
    <pivotField showAll="0"/>
    <pivotField axis="axisCol" showAll="0">
      <items count="4">
        <item x="0"/>
        <item x="1"/>
        <item x="2"/>
        <item t="default"/>
      </items>
    </pivotField>
    <pivotField showAll="0"/>
  </pivotFields>
  <rowFields count="1">
    <field x="19"/>
  </rowFields>
  <rowItems count="4">
    <i>
      <x/>
    </i>
    <i>
      <x v="1"/>
    </i>
    <i>
      <x v="2"/>
    </i>
    <i t="grand">
      <x/>
    </i>
  </rowItems>
  <colFields count="2">
    <field x="23"/>
    <field x="-2"/>
  </colFields>
  <colItems count="8">
    <i>
      <x/>
      <x/>
    </i>
    <i r="1" i="1">
      <x v="1"/>
    </i>
    <i>
      <x v="1"/>
      <x/>
    </i>
    <i r="1" i="1">
      <x v="1"/>
    </i>
    <i>
      <x v="2"/>
      <x/>
    </i>
    <i r="1" i="1">
      <x v="1"/>
    </i>
    <i t="grand">
      <x/>
    </i>
    <i t="grand" i="1">
      <x/>
    </i>
  </colItems>
  <dataFields count="2">
    <dataField name="Count of Item_ID" fld="0" subtotal="count" baseField="0" baseItem="0"/>
    <dataField name="Sum of Total_Sales_Value" fld="17" baseField="0" baseItem="0"/>
  </dataFields>
  <formats count="52">
    <format dxfId="91">
      <pivotArea type="all" dataOnly="0" outline="0" fieldPosition="0"/>
    </format>
    <format dxfId="90">
      <pivotArea type="all" dataOnly="0" outline="0" fieldPosition="0"/>
    </format>
    <format dxfId="89">
      <pivotArea dataOnly="0" labelOnly="1" fieldPosition="0">
        <references count="1">
          <reference field="23" count="2">
            <x v="0"/>
            <x v="1"/>
          </reference>
        </references>
      </pivotArea>
    </format>
    <format dxfId="88">
      <pivotArea dataOnly="0" labelOnly="1" fieldPosition="0">
        <references count="1">
          <reference field="23" count="1">
            <x v="2"/>
          </reference>
        </references>
      </pivotArea>
    </format>
    <format dxfId="87">
      <pivotArea dataOnly="0" labelOnly="1" fieldPosition="0">
        <references count="1">
          <reference field="23" count="2">
            <x v="0"/>
            <x v="1"/>
          </reference>
        </references>
      </pivotArea>
    </format>
    <format dxfId="86">
      <pivotArea dataOnly="0" labelOnly="1" offset="A256" fieldPosition="0">
        <references count="1">
          <reference field="23" count="1">
            <x v="2"/>
          </reference>
        </references>
      </pivotArea>
    </format>
    <format dxfId="85">
      <pivotArea dataOnly="0" labelOnly="1" offset="IV256" fieldPosition="0">
        <references count="1">
          <reference field="23" count="1">
            <x v="2"/>
          </reference>
        </references>
      </pivotArea>
    </format>
    <format dxfId="84">
      <pivotArea outline="0" collapsedLevelsAreSubtotals="1" fieldPosition="0">
        <references count="2">
          <reference field="4294967294" count="2" selected="0">
            <x v="0"/>
            <x v="1"/>
          </reference>
          <reference field="23" count="1" selected="0">
            <x v="0"/>
          </reference>
        </references>
      </pivotArea>
    </format>
    <format dxfId="83">
      <pivotArea dataOnly="0" labelOnly="1" fieldPosition="0">
        <references count="1">
          <reference field="23" count="1">
            <x v="0"/>
          </reference>
        </references>
      </pivotArea>
    </format>
    <format dxfId="82">
      <pivotArea dataOnly="0" labelOnly="1" outline="0" fieldPosition="0">
        <references count="2">
          <reference field="4294967294" count="2">
            <x v="0"/>
            <x v="1"/>
          </reference>
          <reference field="23" count="1" selected="0">
            <x v="0"/>
          </reference>
        </references>
      </pivotArea>
    </format>
    <format dxfId="81">
      <pivotArea outline="0" collapsedLevelsAreSubtotals="1" fieldPosition="0">
        <references count="2">
          <reference field="4294967294" count="2" selected="0">
            <x v="0"/>
            <x v="1"/>
          </reference>
          <reference field="23" count="1" selected="0">
            <x v="1"/>
          </reference>
        </references>
      </pivotArea>
    </format>
    <format dxfId="80">
      <pivotArea dataOnly="0" labelOnly="1" fieldPosition="0">
        <references count="1">
          <reference field="23" count="1">
            <x v="1"/>
          </reference>
        </references>
      </pivotArea>
    </format>
    <format dxfId="79">
      <pivotArea dataOnly="0" labelOnly="1" outline="0" fieldPosition="0">
        <references count="2">
          <reference field="4294967294" count="2">
            <x v="0"/>
            <x v="1"/>
          </reference>
          <reference field="23" count="1" selected="0">
            <x v="1"/>
          </reference>
        </references>
      </pivotArea>
    </format>
    <format dxfId="78">
      <pivotArea outline="0" collapsedLevelsAreSubtotals="1" fieldPosition="0">
        <references count="2">
          <reference field="4294967294" count="2" selected="0">
            <x v="0"/>
            <x v="1"/>
          </reference>
          <reference field="23" count="1" selected="0">
            <x v="2"/>
          </reference>
        </references>
      </pivotArea>
    </format>
    <format dxfId="77">
      <pivotArea dataOnly="0" labelOnly="1" fieldPosition="0">
        <references count="1">
          <reference field="23" count="1">
            <x v="2"/>
          </reference>
        </references>
      </pivotArea>
    </format>
    <format dxfId="76">
      <pivotArea dataOnly="0" labelOnly="1" outline="0" fieldPosition="0">
        <references count="2">
          <reference field="4294967294" count="2">
            <x v="0"/>
            <x v="1"/>
          </reference>
          <reference field="23" count="1" selected="0">
            <x v="2"/>
          </reference>
        </references>
      </pivotArea>
    </format>
    <format dxfId="75">
      <pivotArea outline="0" collapsedLevelsAreSubtotals="1" fieldPosition="0">
        <references count="2">
          <reference field="4294967294" count="2" selected="0">
            <x v="0"/>
            <x v="1"/>
          </reference>
          <reference field="23" count="1" selected="0">
            <x v="0"/>
          </reference>
        </references>
      </pivotArea>
    </format>
    <format dxfId="74">
      <pivotArea dataOnly="0" labelOnly="1" fieldPosition="0">
        <references count="1">
          <reference field="23" count="1">
            <x v="0"/>
          </reference>
        </references>
      </pivotArea>
    </format>
    <format dxfId="73">
      <pivotArea dataOnly="0" labelOnly="1" outline="0" fieldPosition="0">
        <references count="2">
          <reference field="4294967294" count="2">
            <x v="0"/>
            <x v="1"/>
          </reference>
          <reference field="23" count="1" selected="0">
            <x v="0"/>
          </reference>
        </references>
      </pivotArea>
    </format>
    <format dxfId="72">
      <pivotArea outline="0" collapsedLevelsAreSubtotals="1" fieldPosition="0">
        <references count="2">
          <reference field="4294967294" count="2" selected="0">
            <x v="0"/>
            <x v="1"/>
          </reference>
          <reference field="23" count="1" selected="0">
            <x v="1"/>
          </reference>
        </references>
      </pivotArea>
    </format>
    <format dxfId="71">
      <pivotArea dataOnly="0" labelOnly="1" fieldPosition="0">
        <references count="1">
          <reference field="23" count="1">
            <x v="1"/>
          </reference>
        </references>
      </pivotArea>
    </format>
    <format dxfId="70">
      <pivotArea dataOnly="0" labelOnly="1" outline="0" fieldPosition="0">
        <references count="2">
          <reference field="4294967294" count="2">
            <x v="0"/>
            <x v="1"/>
          </reference>
          <reference field="23" count="1" selected="0">
            <x v="1"/>
          </reference>
        </references>
      </pivotArea>
    </format>
    <format dxfId="69">
      <pivotArea outline="0" collapsedLevelsAreSubtotals="1" fieldPosition="0">
        <references count="2">
          <reference field="4294967294" count="2" selected="0">
            <x v="0"/>
            <x v="1"/>
          </reference>
          <reference field="23" count="1" selected="0">
            <x v="2"/>
          </reference>
        </references>
      </pivotArea>
    </format>
    <format dxfId="68">
      <pivotArea dataOnly="0" labelOnly="1" fieldPosition="0">
        <references count="1">
          <reference field="23" count="1">
            <x v="2"/>
          </reference>
        </references>
      </pivotArea>
    </format>
    <format dxfId="67">
      <pivotArea dataOnly="0" labelOnly="1" outline="0" fieldPosition="0">
        <references count="2">
          <reference field="4294967294" count="2">
            <x v="0"/>
            <x v="1"/>
          </reference>
          <reference field="23" count="1" selected="0">
            <x v="2"/>
          </reference>
        </references>
      </pivotArea>
    </format>
    <format dxfId="66">
      <pivotArea dataOnly="0" labelOnly="1" fieldPosition="0">
        <references count="1">
          <reference field="19" count="0"/>
        </references>
      </pivotArea>
    </format>
    <format dxfId="46">
      <pivotArea type="all" dataOnly="0" outline="0" fieldPosition="0"/>
    </format>
    <format dxfId="30">
      <pivotArea outline="0" collapsedLevelsAreSubtotals="1" fieldPosition="0"/>
    </format>
    <format dxfId="29">
      <pivotArea type="origin" dataOnly="0" labelOnly="1" outline="0" fieldPosition="0"/>
    </format>
    <format dxfId="28">
      <pivotArea field="23" type="button" dataOnly="0" labelOnly="1" outline="0" axis="axisCol" fieldPosition="0"/>
    </format>
    <format dxfId="27">
      <pivotArea field="-2" type="button" dataOnly="0" labelOnly="1" outline="0" axis="axisCol" fieldPosition="1"/>
    </format>
    <format dxfId="26">
      <pivotArea type="topRight" dataOnly="0" labelOnly="1" outline="0" fieldPosition="0"/>
    </format>
    <format dxfId="25">
      <pivotArea field="19" type="button" dataOnly="0" labelOnly="1" outline="0" axis="axisRow" fieldPosition="0"/>
    </format>
    <format dxfId="24">
      <pivotArea dataOnly="0" labelOnly="1" fieldPosition="0">
        <references count="1">
          <reference field="19" count="0"/>
        </references>
      </pivotArea>
    </format>
    <format dxfId="23">
      <pivotArea dataOnly="0" labelOnly="1" grandRow="1" outline="0" fieldPosition="0"/>
    </format>
    <format dxfId="22">
      <pivotArea dataOnly="0" labelOnly="1" fieldPosition="0">
        <references count="1">
          <reference field="23" count="0"/>
        </references>
      </pivotArea>
    </format>
    <format dxfId="21">
      <pivotArea field="23" dataOnly="0" labelOnly="1" grandCol="1" outline="0" axis="axisCol" fieldPosition="0">
        <references count="1">
          <reference field="4294967294" count="1" selected="0">
            <x v="0"/>
          </reference>
        </references>
      </pivotArea>
    </format>
    <format dxfId="19">
      <pivotArea field="23" dataOnly="0" labelOnly="1" grandCol="1" outline="0" axis="axisCol" fieldPosition="0">
        <references count="1">
          <reference field="4294967294" count="1" selected="0">
            <x v="1"/>
          </reference>
        </references>
      </pivotArea>
    </format>
    <format dxfId="17">
      <pivotArea dataOnly="0" labelOnly="1" outline="0" fieldPosition="0">
        <references count="2">
          <reference field="4294967294" count="2">
            <x v="0"/>
            <x v="1"/>
          </reference>
          <reference field="23" count="1" selected="0">
            <x v="0"/>
          </reference>
        </references>
      </pivotArea>
    </format>
    <format dxfId="16">
      <pivotArea dataOnly="0" labelOnly="1" outline="0" fieldPosition="0">
        <references count="2">
          <reference field="4294967294" count="2">
            <x v="0"/>
            <x v="1"/>
          </reference>
          <reference field="23" count="1" selected="0">
            <x v="1"/>
          </reference>
        </references>
      </pivotArea>
    </format>
    <format dxfId="15">
      <pivotArea dataOnly="0" labelOnly="1" outline="0" fieldPosition="0">
        <references count="2">
          <reference field="4294967294" count="2">
            <x v="0"/>
            <x v="1"/>
          </reference>
          <reference field="23" count="1" selected="0">
            <x v="2"/>
          </reference>
        </references>
      </pivotArea>
    </format>
    <format dxfId="14">
      <pivotArea dataOnly="0" labelOnly="1" fieldPosition="0">
        <references count="1">
          <reference field="23" count="0"/>
        </references>
      </pivotArea>
    </format>
    <format dxfId="13">
      <pivotArea dataOnly="0" labelOnly="1" outline="0" fieldPosition="0">
        <references count="2">
          <reference field="4294967294" count="2">
            <x v="0"/>
            <x v="1"/>
          </reference>
          <reference field="23" count="1" selected="0">
            <x v="0"/>
          </reference>
        </references>
      </pivotArea>
    </format>
    <format dxfId="12">
      <pivotArea dataOnly="0" labelOnly="1" outline="0" fieldPosition="0">
        <references count="2">
          <reference field="4294967294" count="2">
            <x v="0"/>
            <x v="1"/>
          </reference>
          <reference field="23" count="1" selected="0">
            <x v="1"/>
          </reference>
        </references>
      </pivotArea>
    </format>
    <format dxfId="11">
      <pivotArea dataOnly="0" labelOnly="1" outline="0" fieldPosition="0">
        <references count="2">
          <reference field="4294967294" count="2">
            <x v="0"/>
            <x v="1"/>
          </reference>
          <reference field="23" count="1" selected="0">
            <x v="2"/>
          </reference>
        </references>
      </pivotArea>
    </format>
    <format dxfId="10">
      <pivotArea field="23" grandRow="1" outline="0" collapsedLevelsAreSubtotals="1" axis="axisCol" fieldPosition="0">
        <references count="2">
          <reference field="4294967294" count="2" selected="0">
            <x v="0"/>
            <x v="1"/>
          </reference>
          <reference field="23" count="0" selected="0"/>
        </references>
      </pivotArea>
    </format>
    <format dxfId="6">
      <pivotArea grandRow="1" grandCol="1" outline="0" collapsedLevelsAreSubtotals="1" fieldPosition="0">
        <references count="1">
          <reference field="4294967294" count="1" selected="0">
            <x v="0"/>
          </reference>
        </references>
      </pivotArea>
    </format>
    <format dxfId="5">
      <pivotArea collapsedLevelsAreSubtotals="1" fieldPosition="0">
        <references count="3">
          <reference field="4294967294" count="2" selected="0">
            <x v="0"/>
            <x v="1"/>
          </reference>
          <reference field="19" count="0"/>
          <reference field="23" count="0" selected="0"/>
        </references>
      </pivotArea>
    </format>
    <format dxfId="4">
      <pivotArea field="19" grandCol="1" collapsedLevelsAreSubtotals="1" axis="axisRow" fieldPosition="0">
        <references count="2">
          <reference field="4294967294" count="1" selected="0">
            <x v="0"/>
          </reference>
          <reference field="19" count="0"/>
        </references>
      </pivotArea>
    </format>
    <format dxfId="3">
      <pivotArea collapsedLevelsAreSubtotals="1" fieldPosition="0">
        <references count="3">
          <reference field="4294967294" count="2" selected="0">
            <x v="0"/>
            <x v="1"/>
          </reference>
          <reference field="19" count="1">
            <x v="0"/>
          </reference>
          <reference field="23" count="1" selected="0">
            <x v="2"/>
          </reference>
        </references>
      </pivotArea>
    </format>
    <format dxfId="2">
      <pivotArea collapsedLevelsAreSubtotals="1" fieldPosition="0">
        <references count="3">
          <reference field="4294967294" count="2" selected="0">
            <x v="0"/>
            <x v="1"/>
          </reference>
          <reference field="19" count="1">
            <x v="0"/>
          </reference>
          <reference field="23" count="1" selected="0">
            <x v="0"/>
          </reference>
        </references>
      </pivotArea>
    </format>
    <format dxfId="1">
      <pivotArea collapsedLevelsAreSubtotals="1" fieldPosition="0">
        <references count="3">
          <reference field="4294967294" count="2" selected="0">
            <x v="0"/>
            <x v="1"/>
          </reference>
          <reference field="19" count="1">
            <x v="2"/>
          </reference>
          <reference field="2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9855-4B99-474D-A286-673DF9615E42}">
  <dimension ref="C2:O11"/>
  <sheetViews>
    <sheetView tabSelected="1" topLeftCell="B1" zoomScale="81" workbookViewId="0">
      <selection activeCell="M17" sqref="M17"/>
    </sheetView>
  </sheetViews>
  <sheetFormatPr defaultRowHeight="14.4" x14ac:dyDescent="0.3"/>
  <cols>
    <col min="1" max="2" width="8.88671875" style="8"/>
    <col min="3" max="3" width="12.5546875" style="8" bestFit="1" customWidth="1"/>
    <col min="4" max="4" width="15.5546875" style="8" bestFit="1" customWidth="1"/>
    <col min="5" max="5" width="15.77734375" style="8" customWidth="1"/>
    <col min="6" max="6" width="15.5546875" style="8" bestFit="1" customWidth="1"/>
    <col min="7" max="7" width="16.5546875" style="8" customWidth="1"/>
    <col min="8" max="8" width="15.5546875" style="8" bestFit="1" customWidth="1"/>
    <col min="9" max="9" width="17.6640625" style="8" customWidth="1"/>
    <col min="10" max="10" width="14.44140625" style="8" customWidth="1"/>
    <col min="11" max="11" width="17" style="8" customWidth="1"/>
    <col min="12" max="12" width="20.33203125" style="8" bestFit="1" customWidth="1"/>
    <col min="13" max="13" width="16.6640625" style="8" customWidth="1"/>
    <col min="14" max="14" width="25.109375" style="8" customWidth="1"/>
    <col min="15" max="15" width="13.6640625" style="8" customWidth="1"/>
    <col min="16" max="16384" width="8.88671875" style="8"/>
  </cols>
  <sheetData>
    <row r="2" spans="3:15" ht="15" thickBot="1" x14ac:dyDescent="0.35"/>
    <row r="3" spans="3:15" ht="15" thickBot="1" x14ac:dyDescent="0.35">
      <c r="C3" s="9"/>
      <c r="D3" s="13" t="s">
        <v>2035</v>
      </c>
      <c r="E3" s="14"/>
      <c r="F3" s="14"/>
      <c r="G3" s="14"/>
      <c r="H3" s="14"/>
      <c r="I3" s="14"/>
      <c r="J3" s="9"/>
      <c r="K3" s="9"/>
      <c r="M3" s="38" t="s">
        <v>2043</v>
      </c>
      <c r="N3" s="39"/>
      <c r="O3" s="40"/>
    </row>
    <row r="4" spans="3:15" ht="28.8" x14ac:dyDescent="0.3">
      <c r="C4" s="15"/>
      <c r="D4" s="21" t="s">
        <v>2036</v>
      </c>
      <c r="E4" s="22"/>
      <c r="F4" s="21" t="s">
        <v>2037</v>
      </c>
      <c r="G4" s="22"/>
      <c r="H4" s="21" t="s">
        <v>2038</v>
      </c>
      <c r="I4" s="23"/>
      <c r="J4" s="16" t="s">
        <v>2040</v>
      </c>
      <c r="K4" s="9" t="s">
        <v>2041</v>
      </c>
      <c r="M4" s="41" t="s">
        <v>2044</v>
      </c>
      <c r="N4" s="42" t="s">
        <v>2045</v>
      </c>
      <c r="O4" s="43" t="s">
        <v>2046</v>
      </c>
    </row>
    <row r="5" spans="3:15" ht="43.2" x14ac:dyDescent="0.3">
      <c r="C5" s="17" t="s">
        <v>2030</v>
      </c>
      <c r="D5" s="24" t="s">
        <v>2039</v>
      </c>
      <c r="E5" s="25" t="s">
        <v>2042</v>
      </c>
      <c r="F5" s="24" t="s">
        <v>2039</v>
      </c>
      <c r="G5" s="25" t="s">
        <v>2042</v>
      </c>
      <c r="H5" s="24" t="s">
        <v>2039</v>
      </c>
      <c r="I5" s="25" t="s">
        <v>2042</v>
      </c>
      <c r="J5" s="16"/>
      <c r="K5" s="9"/>
      <c r="M5" s="41" t="s">
        <v>2051</v>
      </c>
      <c r="N5" s="42" t="s">
        <v>2047</v>
      </c>
      <c r="O5" s="43" t="s">
        <v>2049</v>
      </c>
    </row>
    <row r="6" spans="3:15" ht="29.4" thickBot="1" x14ac:dyDescent="0.35">
      <c r="C6" s="18" t="s">
        <v>2031</v>
      </c>
      <c r="D6" s="34">
        <v>50</v>
      </c>
      <c r="E6" s="35">
        <v>704391400</v>
      </c>
      <c r="F6" s="29">
        <v>6</v>
      </c>
      <c r="G6" s="30">
        <v>45714000</v>
      </c>
      <c r="H6" s="32"/>
      <c r="I6" s="33"/>
      <c r="J6" s="31">
        <v>56</v>
      </c>
      <c r="K6" s="19">
        <v>750105400</v>
      </c>
      <c r="M6" s="44" t="s">
        <v>2052</v>
      </c>
      <c r="N6" s="45" t="s">
        <v>2048</v>
      </c>
      <c r="O6" s="46" t="s">
        <v>2050</v>
      </c>
    </row>
    <row r="7" spans="3:15" ht="15" thickBot="1" x14ac:dyDescent="0.35">
      <c r="C7" s="18" t="s">
        <v>2032</v>
      </c>
      <c r="D7" s="29">
        <v>88</v>
      </c>
      <c r="E7" s="30">
        <v>199029650</v>
      </c>
      <c r="F7" s="29">
        <v>5</v>
      </c>
      <c r="G7" s="30">
        <v>12636300</v>
      </c>
      <c r="H7" s="29">
        <v>2</v>
      </c>
      <c r="I7" s="30">
        <v>3028500</v>
      </c>
      <c r="J7" s="31">
        <v>95</v>
      </c>
      <c r="K7" s="19">
        <v>214694450</v>
      </c>
      <c r="M7" s="47"/>
      <c r="N7" s="47"/>
      <c r="O7" s="47"/>
    </row>
    <row r="8" spans="3:15" x14ac:dyDescent="0.3">
      <c r="C8" s="18" t="s">
        <v>2033</v>
      </c>
      <c r="D8" s="29">
        <v>674</v>
      </c>
      <c r="E8" s="30">
        <v>88145108</v>
      </c>
      <c r="F8" s="29">
        <v>116</v>
      </c>
      <c r="G8" s="30">
        <v>14934334</v>
      </c>
      <c r="H8" s="36">
        <v>59</v>
      </c>
      <c r="I8" s="37">
        <v>4408608</v>
      </c>
      <c r="J8" s="31">
        <v>849</v>
      </c>
      <c r="K8" s="19">
        <v>107488050</v>
      </c>
      <c r="M8" s="10" t="s">
        <v>2053</v>
      </c>
      <c r="N8" s="11"/>
      <c r="O8" s="12"/>
    </row>
    <row r="9" spans="3:15" ht="43.8" thickBot="1" x14ac:dyDescent="0.35">
      <c r="C9" s="20" t="s">
        <v>2034</v>
      </c>
      <c r="D9" s="26">
        <v>812</v>
      </c>
      <c r="E9" s="27">
        <v>991566158</v>
      </c>
      <c r="F9" s="26">
        <v>127</v>
      </c>
      <c r="G9" s="27">
        <v>73284634</v>
      </c>
      <c r="H9" s="26">
        <v>61</v>
      </c>
      <c r="I9" s="27">
        <v>7437108</v>
      </c>
      <c r="J9" s="28">
        <v>1000</v>
      </c>
      <c r="K9" s="19">
        <v>1072287900</v>
      </c>
      <c r="M9" s="41" t="s">
        <v>2054</v>
      </c>
      <c r="N9" s="48" t="s">
        <v>2060</v>
      </c>
      <c r="O9" s="43" t="s">
        <v>2057</v>
      </c>
    </row>
    <row r="10" spans="3:15" ht="43.2" x14ac:dyDescent="0.3">
      <c r="M10" s="41" t="s">
        <v>2055</v>
      </c>
      <c r="N10" s="48" t="s">
        <v>2061</v>
      </c>
      <c r="O10" s="43" t="s">
        <v>2058</v>
      </c>
    </row>
    <row r="11" spans="3:15" ht="43.8" thickBot="1" x14ac:dyDescent="0.35">
      <c r="M11" s="44" t="s">
        <v>2056</v>
      </c>
      <c r="N11" s="49" t="s">
        <v>2062</v>
      </c>
      <c r="O11" s="46" t="s">
        <v>2059</v>
      </c>
    </row>
  </sheetData>
  <mergeCells count="2">
    <mergeCell ref="M3:O3"/>
    <mergeCell ref="M8:O8"/>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C1868-9D7A-448C-8254-C187F707A16A}">
  <dimension ref="A1:Z1001"/>
  <sheetViews>
    <sheetView topLeftCell="M1" workbookViewId="0">
      <selection activeCell="O27" sqref="O27"/>
    </sheetView>
  </sheetViews>
  <sheetFormatPr defaultRowHeight="14.4" x14ac:dyDescent="0.3"/>
  <cols>
    <col min="1" max="1" width="9.21875" style="2" bestFit="1" customWidth="1"/>
    <col min="2" max="2" width="21.33203125" style="2" bestFit="1" customWidth="1"/>
    <col min="3" max="3" width="14.21875" style="2" bestFit="1" customWidth="1"/>
    <col min="4" max="4" width="11.44140625" style="2" bestFit="1" customWidth="1"/>
    <col min="5" max="5" width="11.6640625" style="2" bestFit="1" customWidth="1"/>
    <col min="6" max="6" width="12.109375" style="2" bestFit="1" customWidth="1"/>
    <col min="7" max="7" width="11.5546875" style="2" bestFit="1" customWidth="1"/>
    <col min="8" max="8" width="12.33203125" style="2" bestFit="1" customWidth="1"/>
    <col min="9" max="9" width="11.44140625" style="2" bestFit="1" customWidth="1"/>
    <col min="10" max="10" width="10.88671875" style="2" bestFit="1" customWidth="1"/>
    <col min="11" max="11" width="11.77734375" style="2" bestFit="1" customWidth="1"/>
    <col min="12" max="13" width="11.6640625" style="2" bestFit="1" customWidth="1"/>
    <col min="14" max="14" width="12.109375" style="2" bestFit="1" customWidth="1"/>
    <col min="15" max="15" width="11.88671875" style="2" bestFit="1" customWidth="1"/>
    <col min="16" max="16" width="17.21875" style="2" bestFit="1" customWidth="1"/>
    <col min="17" max="17" width="13.21875" style="2" bestFit="1" customWidth="1"/>
    <col min="18" max="18" width="16" style="2" bestFit="1" customWidth="1"/>
    <col min="19" max="19" width="12" style="4" bestFit="1" customWidth="1"/>
    <col min="20" max="20" width="17.109375" style="3" customWidth="1"/>
    <col min="21" max="21" width="12" style="2" bestFit="1" customWidth="1"/>
    <col min="22" max="22" width="12.77734375" style="2" bestFit="1" customWidth="1"/>
    <col min="23" max="23" width="20.33203125" style="2" bestFit="1" customWidth="1"/>
    <col min="24" max="16384" width="8.88671875" style="2"/>
  </cols>
  <sheetData>
    <row r="1" spans="1:26"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5" t="s">
        <v>2023</v>
      </c>
      <c r="T1" s="6" t="s">
        <v>2028</v>
      </c>
      <c r="U1" s="7" t="s">
        <v>2024</v>
      </c>
      <c r="V1" s="7" t="s">
        <v>2025</v>
      </c>
      <c r="W1" s="7" t="s">
        <v>2026</v>
      </c>
      <c r="X1" s="7" t="s">
        <v>2027</v>
      </c>
      <c r="Y1" s="7" t="s">
        <v>2029</v>
      </c>
      <c r="Z1" s="7"/>
    </row>
    <row r="2" spans="1:26" x14ac:dyDescent="0.3">
      <c r="A2" s="2" t="s">
        <v>1871</v>
      </c>
      <c r="B2" s="2" t="s">
        <v>1872</v>
      </c>
      <c r="C2" s="2" t="s">
        <v>20</v>
      </c>
      <c r="D2" s="2">
        <v>4991</v>
      </c>
      <c r="E2" s="2">
        <v>4663</v>
      </c>
      <c r="F2" s="2">
        <v>5068</v>
      </c>
      <c r="G2" s="2">
        <v>4885</v>
      </c>
      <c r="H2" s="2">
        <v>5127</v>
      </c>
      <c r="I2" s="2">
        <v>4705</v>
      </c>
      <c r="J2" s="2">
        <v>5130</v>
      </c>
      <c r="K2" s="2">
        <v>5129</v>
      </c>
      <c r="L2" s="2">
        <v>5127</v>
      </c>
      <c r="M2" s="2">
        <v>4840</v>
      </c>
      <c r="N2" s="2">
        <v>4774</v>
      </c>
      <c r="O2" s="2">
        <v>5023</v>
      </c>
      <c r="P2" s="2">
        <v>59462</v>
      </c>
      <c r="Q2" s="2">
        <v>1000</v>
      </c>
      <c r="R2" s="2">
        <v>59462000</v>
      </c>
      <c r="S2" s="4">
        <f>SUM($R$2:R2) / SUM($R:$R)</f>
        <v>5.5453390829086104E-2</v>
      </c>
      <c r="T2" s="3" t="str">
        <f>IF(S2&lt;=0.7, "A", IF(S2&lt;=0.9, "B", "C"))</f>
        <v>A</v>
      </c>
      <c r="U2" s="2">
        <f>AVERAGE(D2:O2)</f>
        <v>4955.166666666667</v>
      </c>
      <c r="V2" s="2">
        <f>_xlfn.STDEV.S(D2:O2)</f>
        <v>175.13830032983716</v>
      </c>
      <c r="W2" s="2">
        <f>IF(U2=0,0,V2/U2)</f>
        <v>3.5344583161650227E-2</v>
      </c>
      <c r="X2" s="2" t="str">
        <f>(IF(W2&lt;=0.2, "X", IF(W2&lt;=0.5, "Y", "Z")))</f>
        <v>X</v>
      </c>
      <c r="Y2" s="2" t="str">
        <f>T2&amp;X2</f>
        <v>AX</v>
      </c>
    </row>
    <row r="3" spans="1:26" x14ac:dyDescent="0.3">
      <c r="A3" s="2" t="s">
        <v>1045</v>
      </c>
      <c r="B3" s="2" t="s">
        <v>1046</v>
      </c>
      <c r="C3" s="2" t="s">
        <v>20</v>
      </c>
      <c r="D3" s="2">
        <v>4185</v>
      </c>
      <c r="E3" s="2">
        <v>4087</v>
      </c>
      <c r="F3" s="2">
        <v>3660</v>
      </c>
      <c r="G3" s="2">
        <v>3774</v>
      </c>
      <c r="H3" s="2">
        <v>4391</v>
      </c>
      <c r="I3" s="2">
        <v>3906</v>
      </c>
      <c r="J3" s="2">
        <v>3699</v>
      </c>
      <c r="K3" s="2">
        <v>4155</v>
      </c>
      <c r="L3" s="2">
        <v>3936</v>
      </c>
      <c r="M3" s="2">
        <v>3646</v>
      </c>
      <c r="N3" s="2">
        <v>3959</v>
      </c>
      <c r="O3" s="2">
        <v>4208</v>
      </c>
      <c r="P3" s="2">
        <v>47606</v>
      </c>
      <c r="Q3" s="2">
        <v>1000</v>
      </c>
      <c r="R3" s="2">
        <v>47606000</v>
      </c>
      <c r="S3" s="4">
        <f>SUM($R$2:R3) / SUM($R:$R)</f>
        <v>9.9850049599552515E-2</v>
      </c>
      <c r="T3" s="3" t="str">
        <f t="shared" ref="T3:T66" si="0">IF(S3&lt;=0.7, "A", IF(S3&lt;=0.9, "B", "C"))</f>
        <v>A</v>
      </c>
      <c r="U3" s="2">
        <f t="shared" ref="U3:U66" si="1">AVERAGE(D3:O3)</f>
        <v>3967.1666666666665</v>
      </c>
      <c r="V3" s="2">
        <f t="shared" ref="V3:V66" si="2">_xlfn.STDEV.S(D3:O3)</f>
        <v>242.3809298429131</v>
      </c>
      <c r="W3" s="2">
        <f t="shared" ref="W3:W66" si="3">IF(U3=0,0,V3/U3)</f>
        <v>6.1096734825756359E-2</v>
      </c>
      <c r="X3" s="2" t="str">
        <f t="shared" ref="X3:X66" si="4">(IF(W3&lt;=0.2, "X", IF(W3&lt;=0.5, "Y", "Z")))</f>
        <v>X</v>
      </c>
      <c r="Y3" s="2" t="str">
        <f t="shared" ref="Y3:Y66" si="5">T3&amp;X3</f>
        <v>AX</v>
      </c>
    </row>
    <row r="4" spans="1:26" x14ac:dyDescent="0.3">
      <c r="A4" s="2" t="s">
        <v>1065</v>
      </c>
      <c r="B4" s="2" t="s">
        <v>1066</v>
      </c>
      <c r="C4" s="2" t="s">
        <v>20</v>
      </c>
      <c r="D4" s="2">
        <v>3079</v>
      </c>
      <c r="E4" s="2">
        <v>3185</v>
      </c>
      <c r="F4" s="2">
        <v>3081</v>
      </c>
      <c r="G4" s="2">
        <v>2794</v>
      </c>
      <c r="H4" s="2">
        <v>3313</v>
      </c>
      <c r="I4" s="2">
        <v>3329</v>
      </c>
      <c r="J4" s="2">
        <v>3168</v>
      </c>
      <c r="K4" s="2">
        <v>3241</v>
      </c>
      <c r="L4" s="2">
        <v>3309</v>
      </c>
      <c r="M4" s="2">
        <v>2997</v>
      </c>
      <c r="N4" s="2">
        <v>2781</v>
      </c>
      <c r="O4" s="2">
        <v>2859</v>
      </c>
      <c r="P4" s="2">
        <v>37136</v>
      </c>
      <c r="Q4" s="2">
        <v>1000</v>
      </c>
      <c r="R4" s="2">
        <v>37136000</v>
      </c>
      <c r="S4" s="4">
        <f>SUM($R$2:R4) / SUM($R:$R)</f>
        <v>0.13448253962392004</v>
      </c>
      <c r="T4" s="3" t="str">
        <f t="shared" si="0"/>
        <v>A</v>
      </c>
      <c r="U4" s="2">
        <f t="shared" si="1"/>
        <v>3094.6666666666665</v>
      </c>
      <c r="V4" s="2">
        <f t="shared" si="2"/>
        <v>199.49223422266724</v>
      </c>
      <c r="W4" s="2">
        <f t="shared" si="3"/>
        <v>6.4463238115898505E-2</v>
      </c>
      <c r="X4" s="2" t="str">
        <f t="shared" si="4"/>
        <v>X</v>
      </c>
      <c r="Y4" s="2" t="str">
        <f t="shared" si="5"/>
        <v>AX</v>
      </c>
    </row>
    <row r="5" spans="1:26" x14ac:dyDescent="0.3">
      <c r="A5" s="2" t="s">
        <v>811</v>
      </c>
      <c r="B5" s="2" t="s">
        <v>812</v>
      </c>
      <c r="C5" s="2" t="s">
        <v>20</v>
      </c>
      <c r="D5" s="2">
        <v>5180</v>
      </c>
      <c r="E5" s="2">
        <v>4626</v>
      </c>
      <c r="F5" s="2">
        <v>5010</v>
      </c>
      <c r="G5" s="2">
        <v>4802</v>
      </c>
      <c r="H5" s="2">
        <v>4856</v>
      </c>
      <c r="I5" s="2">
        <v>5361</v>
      </c>
      <c r="J5" s="2">
        <v>5504</v>
      </c>
      <c r="K5" s="2">
        <v>4910</v>
      </c>
      <c r="L5" s="2">
        <v>4631</v>
      </c>
      <c r="M5" s="2">
        <v>4959</v>
      </c>
      <c r="N5" s="2">
        <v>4867</v>
      </c>
      <c r="O5" s="2">
        <v>4903</v>
      </c>
      <c r="P5" s="2">
        <v>59609</v>
      </c>
      <c r="Q5" s="2">
        <v>500</v>
      </c>
      <c r="R5" s="2">
        <v>29804500</v>
      </c>
      <c r="S5" s="4">
        <f>SUM($R$2:R5) / SUM($R:$R)</f>
        <v>0.16227778006261193</v>
      </c>
      <c r="T5" s="3" t="str">
        <f t="shared" si="0"/>
        <v>A</v>
      </c>
      <c r="U5" s="2">
        <f t="shared" si="1"/>
        <v>4967.416666666667</v>
      </c>
      <c r="V5" s="2">
        <f t="shared" si="2"/>
        <v>265.76697186319694</v>
      </c>
      <c r="W5" s="2">
        <f t="shared" si="3"/>
        <v>5.3502049394527053E-2</v>
      </c>
      <c r="X5" s="2" t="str">
        <f t="shared" si="4"/>
        <v>X</v>
      </c>
      <c r="Y5" s="2" t="str">
        <f t="shared" si="5"/>
        <v>AX</v>
      </c>
    </row>
    <row r="6" spans="1:26" x14ac:dyDescent="0.3">
      <c r="A6" s="2" t="s">
        <v>359</v>
      </c>
      <c r="B6" s="2" t="s">
        <v>360</v>
      </c>
      <c r="C6" s="2" t="s">
        <v>20</v>
      </c>
      <c r="D6" s="2">
        <v>4871</v>
      </c>
      <c r="E6" s="2">
        <v>4994</v>
      </c>
      <c r="F6" s="2">
        <v>4740</v>
      </c>
      <c r="G6" s="2">
        <v>4958</v>
      </c>
      <c r="H6" s="2">
        <v>4428</v>
      </c>
      <c r="I6" s="2">
        <v>4889</v>
      </c>
      <c r="J6" s="2">
        <v>4754</v>
      </c>
      <c r="K6" s="2">
        <v>4672</v>
      </c>
      <c r="L6" s="2">
        <v>4477</v>
      </c>
      <c r="M6" s="2">
        <v>4544</v>
      </c>
      <c r="N6" s="2">
        <v>4553</v>
      </c>
      <c r="O6" s="2">
        <v>4982</v>
      </c>
      <c r="P6" s="2">
        <v>56862</v>
      </c>
      <c r="Q6" s="2">
        <v>500</v>
      </c>
      <c r="R6" s="2">
        <v>28431000</v>
      </c>
      <c r="S6" s="4">
        <f>SUM($R$2:R6) / SUM($R:$R)</f>
        <v>0.1887921145058151</v>
      </c>
      <c r="T6" s="3" t="str">
        <f t="shared" si="0"/>
        <v>A</v>
      </c>
      <c r="U6" s="2">
        <f t="shared" si="1"/>
        <v>4738.5</v>
      </c>
      <c r="V6" s="2">
        <f t="shared" si="2"/>
        <v>203.30384783730617</v>
      </c>
      <c r="W6" s="2">
        <f t="shared" si="3"/>
        <v>4.2904684570498293E-2</v>
      </c>
      <c r="X6" s="2" t="str">
        <f t="shared" si="4"/>
        <v>X</v>
      </c>
      <c r="Y6" s="2" t="str">
        <f t="shared" si="5"/>
        <v>AX</v>
      </c>
    </row>
    <row r="7" spans="1:26" x14ac:dyDescent="0.3">
      <c r="A7" s="2" t="s">
        <v>1055</v>
      </c>
      <c r="B7" s="2" t="s">
        <v>1056</v>
      </c>
      <c r="C7" s="2" t="s">
        <v>20</v>
      </c>
      <c r="D7" s="2">
        <v>4831</v>
      </c>
      <c r="E7" s="2">
        <v>4585</v>
      </c>
      <c r="F7" s="2">
        <v>4898</v>
      </c>
      <c r="G7" s="2">
        <v>4840</v>
      </c>
      <c r="H7" s="2">
        <v>4423</v>
      </c>
      <c r="I7" s="2">
        <v>4338</v>
      </c>
      <c r="J7" s="2">
        <v>4369</v>
      </c>
      <c r="K7" s="2">
        <v>4611</v>
      </c>
      <c r="L7" s="2">
        <v>4493</v>
      </c>
      <c r="M7" s="2">
        <v>4595</v>
      </c>
      <c r="N7" s="2">
        <v>4822</v>
      </c>
      <c r="O7" s="2">
        <v>4512</v>
      </c>
      <c r="P7" s="2">
        <v>55317</v>
      </c>
      <c r="Q7" s="2">
        <v>500</v>
      </c>
      <c r="R7" s="2">
        <v>27658500</v>
      </c>
      <c r="S7" s="4">
        <f>SUM($R$2:R7) / SUM($R:$R)</f>
        <v>0.2145860267564336</v>
      </c>
      <c r="T7" s="3" t="str">
        <f t="shared" si="0"/>
        <v>A</v>
      </c>
      <c r="U7" s="2">
        <f t="shared" si="1"/>
        <v>4609.75</v>
      </c>
      <c r="V7" s="2">
        <f t="shared" si="2"/>
        <v>195.58914498602329</v>
      </c>
      <c r="W7" s="2">
        <f t="shared" si="3"/>
        <v>4.2429447363961884E-2</v>
      </c>
      <c r="X7" s="2" t="str">
        <f t="shared" si="4"/>
        <v>X</v>
      </c>
      <c r="Y7" s="2" t="str">
        <f t="shared" si="5"/>
        <v>AX</v>
      </c>
    </row>
    <row r="8" spans="1:26" x14ac:dyDescent="0.3">
      <c r="A8" s="2" t="s">
        <v>1197</v>
      </c>
      <c r="B8" s="2" t="s">
        <v>1198</v>
      </c>
      <c r="C8" s="2" t="s">
        <v>20</v>
      </c>
      <c r="D8" s="2">
        <v>4691</v>
      </c>
      <c r="E8" s="2">
        <v>4352</v>
      </c>
      <c r="F8" s="2">
        <v>4242</v>
      </c>
      <c r="G8" s="2">
        <v>4244</v>
      </c>
      <c r="H8" s="2">
        <v>4421</v>
      </c>
      <c r="I8" s="2">
        <v>4365</v>
      </c>
      <c r="J8" s="2">
        <v>4319</v>
      </c>
      <c r="K8" s="2">
        <v>4616</v>
      </c>
      <c r="L8" s="2">
        <v>4495</v>
      </c>
      <c r="M8" s="2">
        <v>4181</v>
      </c>
      <c r="N8" s="2">
        <v>4409</v>
      </c>
      <c r="O8" s="2">
        <v>4393</v>
      </c>
      <c r="P8" s="2">
        <v>52728</v>
      </c>
      <c r="Q8" s="2">
        <v>500</v>
      </c>
      <c r="R8" s="2">
        <v>26364000</v>
      </c>
      <c r="S8" s="4">
        <f>SUM($R$2:R8) / SUM($R:$R)</f>
        <v>0.23917270725520637</v>
      </c>
      <c r="T8" s="3" t="str">
        <f t="shared" si="0"/>
        <v>A</v>
      </c>
      <c r="U8" s="2">
        <f t="shared" si="1"/>
        <v>4394</v>
      </c>
      <c r="V8" s="2">
        <f t="shared" si="2"/>
        <v>150.10662876768635</v>
      </c>
      <c r="W8" s="2">
        <f t="shared" si="3"/>
        <v>3.4161727075031033E-2</v>
      </c>
      <c r="X8" s="2" t="str">
        <f t="shared" si="4"/>
        <v>X</v>
      </c>
      <c r="Y8" s="2" t="str">
        <f t="shared" si="5"/>
        <v>AX</v>
      </c>
    </row>
    <row r="9" spans="1:26" x14ac:dyDescent="0.3">
      <c r="A9" s="2" t="s">
        <v>1725</v>
      </c>
      <c r="B9" s="2" t="s">
        <v>1726</v>
      </c>
      <c r="C9" s="2" t="s">
        <v>20</v>
      </c>
      <c r="D9" s="2">
        <v>4778</v>
      </c>
      <c r="E9" s="2">
        <v>4604</v>
      </c>
      <c r="F9" s="2">
        <v>4416</v>
      </c>
      <c r="G9" s="2">
        <v>3917</v>
      </c>
      <c r="H9" s="2">
        <v>4129</v>
      </c>
      <c r="I9" s="2">
        <v>4293</v>
      </c>
      <c r="J9" s="2">
        <v>4360</v>
      </c>
      <c r="K9" s="2">
        <v>4378</v>
      </c>
      <c r="L9" s="2">
        <v>4313</v>
      </c>
      <c r="M9" s="2">
        <v>4265</v>
      </c>
      <c r="N9" s="2">
        <v>4508</v>
      </c>
      <c r="O9" s="2">
        <v>4683</v>
      </c>
      <c r="P9" s="2">
        <v>52644</v>
      </c>
      <c r="Q9" s="2">
        <v>500</v>
      </c>
      <c r="R9" s="2">
        <v>26322000</v>
      </c>
      <c r="S9" s="4">
        <f>SUM($R$2:R9) / SUM($R:$R)</f>
        <v>0.26372021916875121</v>
      </c>
      <c r="T9" s="3" t="str">
        <f t="shared" si="0"/>
        <v>A</v>
      </c>
      <c r="U9" s="2">
        <f t="shared" si="1"/>
        <v>4387</v>
      </c>
      <c r="V9" s="2">
        <f t="shared" si="2"/>
        <v>237.5132532187319</v>
      </c>
      <c r="W9" s="2">
        <f t="shared" si="3"/>
        <v>5.4140244636136745E-2</v>
      </c>
      <c r="X9" s="2" t="str">
        <f t="shared" si="4"/>
        <v>X</v>
      </c>
      <c r="Y9" s="2" t="str">
        <f t="shared" si="5"/>
        <v>AX</v>
      </c>
    </row>
    <row r="10" spans="1:26" x14ac:dyDescent="0.3">
      <c r="A10" s="2" t="s">
        <v>1721</v>
      </c>
      <c r="B10" s="2" t="s">
        <v>1722</v>
      </c>
      <c r="C10" s="2" t="s">
        <v>20</v>
      </c>
      <c r="D10" s="2">
        <v>4107</v>
      </c>
      <c r="E10" s="2">
        <v>3918</v>
      </c>
      <c r="F10" s="2">
        <v>4206</v>
      </c>
      <c r="G10" s="2">
        <v>3963</v>
      </c>
      <c r="H10" s="2">
        <v>4148</v>
      </c>
      <c r="I10" s="2">
        <v>3872</v>
      </c>
      <c r="J10" s="2">
        <v>4134</v>
      </c>
      <c r="K10" s="2">
        <v>4179</v>
      </c>
      <c r="L10" s="2">
        <v>4049</v>
      </c>
      <c r="M10" s="2">
        <v>4213</v>
      </c>
      <c r="N10" s="2">
        <v>4263</v>
      </c>
      <c r="O10" s="2">
        <v>3933</v>
      </c>
      <c r="P10" s="2">
        <v>48985</v>
      </c>
      <c r="Q10" s="2">
        <v>500</v>
      </c>
      <c r="R10" s="2">
        <v>24492500</v>
      </c>
      <c r="S10" s="4">
        <f>SUM($R$2:R10) / SUM($R:$R)</f>
        <v>0.28656156616147582</v>
      </c>
      <c r="T10" s="3" t="str">
        <f t="shared" si="0"/>
        <v>A</v>
      </c>
      <c r="U10" s="2">
        <f t="shared" si="1"/>
        <v>4082.0833333333335</v>
      </c>
      <c r="V10" s="2">
        <f t="shared" si="2"/>
        <v>131.71557396239226</v>
      </c>
      <c r="W10" s="2">
        <f t="shared" si="3"/>
        <v>3.2266752833494068E-2</v>
      </c>
      <c r="X10" s="2" t="str">
        <f t="shared" si="4"/>
        <v>X</v>
      </c>
      <c r="Y10" s="2" t="str">
        <f t="shared" si="5"/>
        <v>AX</v>
      </c>
    </row>
    <row r="11" spans="1:26" x14ac:dyDescent="0.3">
      <c r="A11" s="2" t="s">
        <v>727</v>
      </c>
      <c r="B11" s="2" t="s">
        <v>728</v>
      </c>
      <c r="C11" s="2" t="s">
        <v>20</v>
      </c>
      <c r="D11" s="2">
        <v>2161</v>
      </c>
      <c r="E11" s="2">
        <v>1545</v>
      </c>
      <c r="F11" s="2">
        <v>1937</v>
      </c>
      <c r="G11" s="2">
        <v>1644</v>
      </c>
      <c r="H11" s="2">
        <v>1799</v>
      </c>
      <c r="I11" s="2">
        <v>1819</v>
      </c>
      <c r="J11" s="2">
        <v>1954</v>
      </c>
      <c r="K11" s="2">
        <v>1916</v>
      </c>
      <c r="L11" s="2">
        <v>1913</v>
      </c>
      <c r="M11" s="2">
        <v>1923</v>
      </c>
      <c r="N11" s="2">
        <v>1934</v>
      </c>
      <c r="O11" s="2">
        <v>1816</v>
      </c>
      <c r="P11" s="2">
        <v>22361</v>
      </c>
      <c r="Q11" s="2">
        <v>1000</v>
      </c>
      <c r="R11" s="2">
        <v>22361000</v>
      </c>
      <c r="S11" s="4">
        <f>SUM($R$2:R11) / SUM($R:$R)</f>
        <v>0.30741510745388434</v>
      </c>
      <c r="T11" s="3" t="str">
        <f t="shared" si="0"/>
        <v>A</v>
      </c>
      <c r="U11" s="2">
        <f t="shared" si="1"/>
        <v>1863.4166666666667</v>
      </c>
      <c r="V11" s="2">
        <f t="shared" si="2"/>
        <v>157.77858959102574</v>
      </c>
      <c r="W11" s="2">
        <f t="shared" si="3"/>
        <v>8.4671663838482569E-2</v>
      </c>
      <c r="X11" s="2" t="str">
        <f t="shared" si="4"/>
        <v>X</v>
      </c>
      <c r="Y11" s="2" t="str">
        <f t="shared" si="5"/>
        <v>AX</v>
      </c>
    </row>
    <row r="12" spans="1:26" x14ac:dyDescent="0.3">
      <c r="A12" s="2" t="s">
        <v>221</v>
      </c>
      <c r="B12" s="2" t="s">
        <v>222</v>
      </c>
      <c r="C12" s="2" t="s">
        <v>20</v>
      </c>
      <c r="D12" s="2">
        <v>3898</v>
      </c>
      <c r="E12" s="2">
        <v>3208</v>
      </c>
      <c r="F12" s="2">
        <v>3882</v>
      </c>
      <c r="G12" s="2">
        <v>3726</v>
      </c>
      <c r="H12" s="2">
        <v>3453</v>
      </c>
      <c r="I12" s="2">
        <v>3710</v>
      </c>
      <c r="J12" s="2">
        <v>3201</v>
      </c>
      <c r="K12" s="2">
        <v>3862</v>
      </c>
      <c r="L12" s="2">
        <v>3544</v>
      </c>
      <c r="M12" s="2">
        <v>3562</v>
      </c>
      <c r="N12" s="2">
        <v>3839</v>
      </c>
      <c r="O12" s="2">
        <v>3977</v>
      </c>
      <c r="P12" s="2">
        <v>43862</v>
      </c>
      <c r="Q12" s="2">
        <v>500</v>
      </c>
      <c r="R12" s="2">
        <v>21931000</v>
      </c>
      <c r="S12" s="4">
        <f>SUM($R$2:R12) / SUM($R:$R)</f>
        <v>0.32786763704038813</v>
      </c>
      <c r="T12" s="3" t="str">
        <f t="shared" si="0"/>
        <v>A</v>
      </c>
      <c r="U12" s="2">
        <f t="shared" si="1"/>
        <v>3655.1666666666665</v>
      </c>
      <c r="V12" s="2">
        <f t="shared" si="2"/>
        <v>264.01302768590563</v>
      </c>
      <c r="W12" s="2">
        <f t="shared" si="3"/>
        <v>7.2230092841887458E-2</v>
      </c>
      <c r="X12" s="2" t="str">
        <f t="shared" si="4"/>
        <v>X</v>
      </c>
      <c r="Y12" s="2" t="str">
        <f t="shared" si="5"/>
        <v>AX</v>
      </c>
    </row>
    <row r="13" spans="1:26" x14ac:dyDescent="0.3">
      <c r="A13" s="2" t="s">
        <v>1183</v>
      </c>
      <c r="B13" s="2" t="s">
        <v>1184</v>
      </c>
      <c r="C13" s="2" t="s">
        <v>20</v>
      </c>
      <c r="D13" s="2">
        <v>3310</v>
      </c>
      <c r="E13" s="2">
        <v>3475</v>
      </c>
      <c r="F13" s="2">
        <v>3735</v>
      </c>
      <c r="G13" s="2">
        <v>3704</v>
      </c>
      <c r="H13" s="2">
        <v>3392</v>
      </c>
      <c r="I13" s="2">
        <v>3425</v>
      </c>
      <c r="J13" s="2">
        <v>3432</v>
      </c>
      <c r="K13" s="2">
        <v>3161</v>
      </c>
      <c r="L13" s="2">
        <v>3536</v>
      </c>
      <c r="M13" s="2">
        <v>3292</v>
      </c>
      <c r="N13" s="2">
        <v>3270</v>
      </c>
      <c r="O13" s="2">
        <v>3013</v>
      </c>
      <c r="P13" s="2">
        <v>40745</v>
      </c>
      <c r="Q13" s="2">
        <v>500</v>
      </c>
      <c r="R13" s="2">
        <v>20372500</v>
      </c>
      <c r="S13" s="4">
        <f>SUM($R$2:R13) / SUM($R:$R)</f>
        <v>0.34686673233932791</v>
      </c>
      <c r="T13" s="3" t="str">
        <f t="shared" si="0"/>
        <v>A</v>
      </c>
      <c r="U13" s="2">
        <f t="shared" si="1"/>
        <v>3395.4166666666665</v>
      </c>
      <c r="V13" s="2">
        <f t="shared" si="2"/>
        <v>207.53464478943943</v>
      </c>
      <c r="W13" s="2">
        <f t="shared" si="3"/>
        <v>6.1121996256553519E-2</v>
      </c>
      <c r="X13" s="2" t="str">
        <f t="shared" si="4"/>
        <v>X</v>
      </c>
      <c r="Y13" s="2" t="str">
        <f t="shared" si="5"/>
        <v>AX</v>
      </c>
    </row>
    <row r="14" spans="1:26" x14ac:dyDescent="0.3">
      <c r="A14" s="2" t="s">
        <v>42</v>
      </c>
      <c r="B14" s="2" t="s">
        <v>43</v>
      </c>
      <c r="C14" s="2" t="s">
        <v>20</v>
      </c>
      <c r="D14" s="2">
        <v>3481</v>
      </c>
      <c r="E14" s="2">
        <v>3407</v>
      </c>
      <c r="F14" s="2">
        <v>3105</v>
      </c>
      <c r="G14" s="2">
        <v>3339</v>
      </c>
      <c r="H14" s="2">
        <v>3384</v>
      </c>
      <c r="I14" s="2">
        <v>3175</v>
      </c>
      <c r="J14" s="2">
        <v>3524</v>
      </c>
      <c r="K14" s="2">
        <v>3643</v>
      </c>
      <c r="L14" s="2">
        <v>3570</v>
      </c>
      <c r="M14" s="2">
        <v>3514</v>
      </c>
      <c r="N14" s="2">
        <v>3066</v>
      </c>
      <c r="O14" s="2">
        <v>3087</v>
      </c>
      <c r="P14" s="2">
        <v>40295</v>
      </c>
      <c r="Q14" s="2">
        <v>500</v>
      </c>
      <c r="R14" s="2">
        <v>20147500</v>
      </c>
      <c r="S14" s="4">
        <f>SUM($R$2:R14) / SUM($R:$R)</f>
        <v>0.36565599593168963</v>
      </c>
      <c r="T14" s="3" t="str">
        <f t="shared" si="0"/>
        <v>A</v>
      </c>
      <c r="U14" s="2">
        <f t="shared" si="1"/>
        <v>3357.9166666666665</v>
      </c>
      <c r="V14" s="2">
        <f t="shared" si="2"/>
        <v>202.8951625093535</v>
      </c>
      <c r="W14" s="2">
        <f t="shared" si="3"/>
        <v>6.0422929646661919E-2</v>
      </c>
      <c r="X14" s="2" t="str">
        <f t="shared" si="4"/>
        <v>X</v>
      </c>
      <c r="Y14" s="2" t="str">
        <f t="shared" si="5"/>
        <v>AX</v>
      </c>
    </row>
    <row r="15" spans="1:26" x14ac:dyDescent="0.3">
      <c r="A15" s="2" t="s">
        <v>387</v>
      </c>
      <c r="B15" s="2" t="s">
        <v>388</v>
      </c>
      <c r="C15" s="2" t="s">
        <v>20</v>
      </c>
      <c r="D15" s="2">
        <v>1373</v>
      </c>
      <c r="E15" s="2">
        <v>1797</v>
      </c>
      <c r="F15" s="2">
        <v>1447</v>
      </c>
      <c r="G15" s="2">
        <v>1631</v>
      </c>
      <c r="H15" s="2">
        <v>1717</v>
      </c>
      <c r="I15" s="2">
        <v>1642</v>
      </c>
      <c r="J15" s="2">
        <v>1752</v>
      </c>
      <c r="K15" s="2">
        <v>1339</v>
      </c>
      <c r="L15" s="2">
        <v>1861</v>
      </c>
      <c r="M15" s="2">
        <v>1729</v>
      </c>
      <c r="N15" s="2">
        <v>1791</v>
      </c>
      <c r="O15" s="2">
        <v>1643</v>
      </c>
      <c r="P15" s="2">
        <v>19722</v>
      </c>
      <c r="Q15" s="2">
        <v>1000</v>
      </c>
      <c r="R15" s="2">
        <v>19722000</v>
      </c>
      <c r="S15" s="4">
        <f>SUM($R$2:R15) / SUM($R:$R)</f>
        <v>0.38404844445227815</v>
      </c>
      <c r="T15" s="3" t="str">
        <f t="shared" si="0"/>
        <v>A</v>
      </c>
      <c r="U15" s="2">
        <f t="shared" si="1"/>
        <v>1643.5</v>
      </c>
      <c r="V15" s="2">
        <f t="shared" si="2"/>
        <v>171.03189495210853</v>
      </c>
      <c r="W15" s="2">
        <f t="shared" si="3"/>
        <v>0.10406564949930547</v>
      </c>
      <c r="X15" s="2" t="str">
        <f t="shared" si="4"/>
        <v>X</v>
      </c>
      <c r="Y15" s="2" t="str">
        <f t="shared" si="5"/>
        <v>AX</v>
      </c>
    </row>
    <row r="16" spans="1:26" x14ac:dyDescent="0.3">
      <c r="A16" s="2" t="s">
        <v>1463</v>
      </c>
      <c r="B16" s="2" t="s">
        <v>1464</v>
      </c>
      <c r="C16" s="2" t="s">
        <v>20</v>
      </c>
      <c r="D16" s="2">
        <v>2918</v>
      </c>
      <c r="E16" s="2">
        <v>3336</v>
      </c>
      <c r="F16" s="2">
        <v>3051</v>
      </c>
      <c r="G16" s="2">
        <v>2947</v>
      </c>
      <c r="H16" s="2">
        <v>3000</v>
      </c>
      <c r="I16" s="2">
        <v>3101</v>
      </c>
      <c r="J16" s="2">
        <v>3220</v>
      </c>
      <c r="K16" s="2">
        <v>2791</v>
      </c>
      <c r="L16" s="2">
        <v>3091</v>
      </c>
      <c r="M16" s="2">
        <v>2744</v>
      </c>
      <c r="N16" s="2">
        <v>3249</v>
      </c>
      <c r="O16" s="2">
        <v>2956</v>
      </c>
      <c r="P16" s="2">
        <v>36404</v>
      </c>
      <c r="Q16" s="2">
        <v>500</v>
      </c>
      <c r="R16" s="2">
        <v>18202000</v>
      </c>
      <c r="S16" s="4">
        <f>SUM($R$2:R16) / SUM($R:$R)</f>
        <v>0.40102336322176163</v>
      </c>
      <c r="T16" s="3" t="str">
        <f t="shared" si="0"/>
        <v>A</v>
      </c>
      <c r="U16" s="2">
        <f t="shared" si="1"/>
        <v>3033.6666666666665</v>
      </c>
      <c r="V16" s="2">
        <f t="shared" si="2"/>
        <v>178.74935897320955</v>
      </c>
      <c r="W16" s="2">
        <f t="shared" si="3"/>
        <v>5.8921885168621985E-2</v>
      </c>
      <c r="X16" s="2" t="str">
        <f t="shared" si="4"/>
        <v>X</v>
      </c>
      <c r="Y16" s="2" t="str">
        <f t="shared" si="5"/>
        <v>AX</v>
      </c>
    </row>
    <row r="17" spans="1:25" x14ac:dyDescent="0.3">
      <c r="A17" s="2" t="s">
        <v>1317</v>
      </c>
      <c r="B17" s="2" t="s">
        <v>1318</v>
      </c>
      <c r="C17" s="2" t="s">
        <v>20</v>
      </c>
      <c r="D17" s="2">
        <v>2933</v>
      </c>
      <c r="E17" s="2">
        <v>2953</v>
      </c>
      <c r="F17" s="2">
        <v>3100</v>
      </c>
      <c r="G17" s="2">
        <v>2795</v>
      </c>
      <c r="H17" s="2">
        <v>2641</v>
      </c>
      <c r="I17" s="2">
        <v>2754</v>
      </c>
      <c r="J17" s="2">
        <v>2797</v>
      </c>
      <c r="K17" s="2">
        <v>2780</v>
      </c>
      <c r="L17" s="2">
        <v>3384</v>
      </c>
      <c r="M17" s="2">
        <v>2676</v>
      </c>
      <c r="N17" s="2">
        <v>2901</v>
      </c>
      <c r="O17" s="2">
        <v>3186</v>
      </c>
      <c r="P17" s="2">
        <v>34900</v>
      </c>
      <c r="Q17" s="2">
        <v>500</v>
      </c>
      <c r="R17" s="2">
        <v>17450000</v>
      </c>
      <c r="S17" s="4">
        <f>SUM($R$2:R17) / SUM($R:$R)</f>
        <v>0.41729697779859309</v>
      </c>
      <c r="T17" s="3" t="str">
        <f t="shared" si="0"/>
        <v>A</v>
      </c>
      <c r="U17" s="2">
        <f t="shared" si="1"/>
        <v>2908.3333333333335</v>
      </c>
      <c r="V17" s="2">
        <f t="shared" si="2"/>
        <v>220.27352142830117</v>
      </c>
      <c r="W17" s="2">
        <f t="shared" si="3"/>
        <v>7.5738746622911565E-2</v>
      </c>
      <c r="X17" s="2" t="str">
        <f t="shared" si="4"/>
        <v>X</v>
      </c>
      <c r="Y17" s="2" t="str">
        <f t="shared" si="5"/>
        <v>AX</v>
      </c>
    </row>
    <row r="18" spans="1:25" x14ac:dyDescent="0.3">
      <c r="A18" s="2" t="s">
        <v>625</v>
      </c>
      <c r="B18" s="2" t="s">
        <v>626</v>
      </c>
      <c r="C18" s="2" t="s">
        <v>20</v>
      </c>
      <c r="D18" s="2">
        <v>2632</v>
      </c>
      <c r="E18" s="2">
        <v>2926</v>
      </c>
      <c r="F18" s="2">
        <v>2619</v>
      </c>
      <c r="G18" s="2">
        <v>2677</v>
      </c>
      <c r="H18" s="2">
        <v>2806</v>
      </c>
      <c r="I18" s="2">
        <v>2461</v>
      </c>
      <c r="J18" s="2">
        <v>2559</v>
      </c>
      <c r="K18" s="2">
        <v>2549</v>
      </c>
      <c r="L18" s="2">
        <v>2863</v>
      </c>
      <c r="M18" s="2">
        <v>2369</v>
      </c>
      <c r="N18" s="2">
        <v>2649</v>
      </c>
      <c r="O18" s="2">
        <v>2713</v>
      </c>
      <c r="P18" s="2">
        <v>31823</v>
      </c>
      <c r="Q18" s="2">
        <v>500</v>
      </c>
      <c r="R18" s="2">
        <v>15911500</v>
      </c>
      <c r="S18" s="4">
        <f>SUM($R$2:R18) / SUM($R:$R)</f>
        <v>0.4321358097951119</v>
      </c>
      <c r="T18" s="3" t="str">
        <f t="shared" si="0"/>
        <v>A</v>
      </c>
      <c r="U18" s="2">
        <f t="shared" si="1"/>
        <v>2651.9166666666665</v>
      </c>
      <c r="V18" s="2">
        <f t="shared" si="2"/>
        <v>160.95875153892595</v>
      </c>
      <c r="W18" s="2">
        <f t="shared" si="3"/>
        <v>6.0695252442167974E-2</v>
      </c>
      <c r="X18" s="2" t="str">
        <f t="shared" si="4"/>
        <v>X</v>
      </c>
      <c r="Y18" s="2" t="str">
        <f t="shared" si="5"/>
        <v>AX</v>
      </c>
    </row>
    <row r="19" spans="1:25" x14ac:dyDescent="0.3">
      <c r="A19" s="2" t="s">
        <v>497</v>
      </c>
      <c r="B19" s="2" t="s">
        <v>498</v>
      </c>
      <c r="C19" s="2" t="s">
        <v>20</v>
      </c>
      <c r="D19" s="2">
        <v>2869</v>
      </c>
      <c r="E19" s="2">
        <v>2380</v>
      </c>
      <c r="F19" s="2">
        <v>2673</v>
      </c>
      <c r="G19" s="2">
        <v>2364</v>
      </c>
      <c r="H19" s="2">
        <v>2502</v>
      </c>
      <c r="I19" s="2">
        <v>2665</v>
      </c>
      <c r="J19" s="2">
        <v>2447</v>
      </c>
      <c r="K19" s="2">
        <v>2453</v>
      </c>
      <c r="L19" s="2">
        <v>2794</v>
      </c>
      <c r="M19" s="2">
        <v>2548</v>
      </c>
      <c r="N19" s="2">
        <v>2264</v>
      </c>
      <c r="O19" s="2">
        <v>2734</v>
      </c>
      <c r="P19" s="2">
        <v>30693</v>
      </c>
      <c r="Q19" s="2">
        <v>500</v>
      </c>
      <c r="R19" s="2">
        <v>15346500</v>
      </c>
      <c r="S19" s="4">
        <f>SUM($R$2:R19) / SUM($R:$R)</f>
        <v>0.44644773106177921</v>
      </c>
      <c r="T19" s="3" t="str">
        <f t="shared" si="0"/>
        <v>A</v>
      </c>
      <c r="U19" s="2">
        <f t="shared" si="1"/>
        <v>2557.75</v>
      </c>
      <c r="V19" s="2">
        <f t="shared" si="2"/>
        <v>188.39133593280096</v>
      </c>
      <c r="W19" s="2">
        <f t="shared" si="3"/>
        <v>7.365510152782756E-2</v>
      </c>
      <c r="X19" s="2" t="str">
        <f t="shared" si="4"/>
        <v>X</v>
      </c>
      <c r="Y19" s="2" t="str">
        <f t="shared" si="5"/>
        <v>AX</v>
      </c>
    </row>
    <row r="20" spans="1:25" x14ac:dyDescent="0.3">
      <c r="A20" s="2" t="s">
        <v>457</v>
      </c>
      <c r="B20" s="2" t="s">
        <v>458</v>
      </c>
      <c r="C20" s="2" t="s">
        <v>20</v>
      </c>
      <c r="D20" s="2">
        <v>2269</v>
      </c>
      <c r="E20" s="2">
        <v>2740</v>
      </c>
      <c r="F20" s="2">
        <v>2283</v>
      </c>
      <c r="G20" s="2">
        <v>2554</v>
      </c>
      <c r="H20" s="2">
        <v>2599</v>
      </c>
      <c r="I20" s="2">
        <v>2716</v>
      </c>
      <c r="J20" s="2">
        <v>2811</v>
      </c>
      <c r="K20" s="2">
        <v>2336</v>
      </c>
      <c r="L20" s="2">
        <v>2156</v>
      </c>
      <c r="M20" s="2">
        <v>2470</v>
      </c>
      <c r="N20" s="2">
        <v>2348</v>
      </c>
      <c r="O20" s="2">
        <v>2636</v>
      </c>
      <c r="P20" s="2">
        <v>29918</v>
      </c>
      <c r="Q20" s="2">
        <v>500</v>
      </c>
      <c r="R20" s="2">
        <v>14959000</v>
      </c>
      <c r="S20" s="4">
        <f>SUM($R$2:R20) / SUM($R:$R)</f>
        <v>0.46039827550045093</v>
      </c>
      <c r="T20" s="3" t="str">
        <f t="shared" si="0"/>
        <v>A</v>
      </c>
      <c r="U20" s="2">
        <f t="shared" si="1"/>
        <v>2493.1666666666665</v>
      </c>
      <c r="V20" s="2">
        <f t="shared" si="2"/>
        <v>213.48103315084344</v>
      </c>
      <c r="W20" s="2">
        <f t="shared" si="3"/>
        <v>8.5626458914704245E-2</v>
      </c>
      <c r="X20" s="2" t="str">
        <f t="shared" si="4"/>
        <v>X</v>
      </c>
      <c r="Y20" s="2" t="str">
        <f t="shared" si="5"/>
        <v>AX</v>
      </c>
    </row>
    <row r="21" spans="1:25" x14ac:dyDescent="0.3">
      <c r="A21" s="2" t="s">
        <v>1109</v>
      </c>
      <c r="B21" s="2" t="s">
        <v>1110</v>
      </c>
      <c r="C21" s="2" t="s">
        <v>20</v>
      </c>
      <c r="D21" s="2">
        <v>894</v>
      </c>
      <c r="E21" s="2">
        <v>1169</v>
      </c>
      <c r="F21" s="2">
        <v>1217</v>
      </c>
      <c r="G21" s="2">
        <v>1024</v>
      </c>
      <c r="H21" s="2">
        <v>1089</v>
      </c>
      <c r="I21" s="2">
        <v>1206</v>
      </c>
      <c r="J21" s="2">
        <v>1079</v>
      </c>
      <c r="K21" s="2">
        <v>1016</v>
      </c>
      <c r="L21" s="2">
        <v>1394</v>
      </c>
      <c r="M21" s="2">
        <v>1201</v>
      </c>
      <c r="N21" s="2">
        <v>1223</v>
      </c>
      <c r="O21" s="2">
        <v>1001</v>
      </c>
      <c r="P21" s="2">
        <v>13513</v>
      </c>
      <c r="Q21" s="2">
        <v>1000</v>
      </c>
      <c r="R21" s="2">
        <v>13513000</v>
      </c>
      <c r="S21" s="4">
        <f>SUM($R$2:R21) / SUM($R:$R)</f>
        <v>0.47300030150484773</v>
      </c>
      <c r="T21" s="3" t="str">
        <f t="shared" si="0"/>
        <v>A</v>
      </c>
      <c r="U21" s="2">
        <f t="shared" si="1"/>
        <v>1126.0833333333333</v>
      </c>
      <c r="V21" s="2">
        <f t="shared" si="2"/>
        <v>134.47504556157557</v>
      </c>
      <c r="W21" s="2">
        <f t="shared" si="3"/>
        <v>0.11941837835705668</v>
      </c>
      <c r="X21" s="2" t="str">
        <f t="shared" si="4"/>
        <v>X</v>
      </c>
      <c r="Y21" s="2" t="str">
        <f t="shared" si="5"/>
        <v>AX</v>
      </c>
    </row>
    <row r="22" spans="1:25" x14ac:dyDescent="0.3">
      <c r="A22" s="2" t="s">
        <v>1833</v>
      </c>
      <c r="B22" s="2" t="s">
        <v>1834</v>
      </c>
      <c r="C22" s="2" t="s">
        <v>20</v>
      </c>
      <c r="D22" s="2">
        <v>2541</v>
      </c>
      <c r="E22" s="2">
        <v>2231</v>
      </c>
      <c r="F22" s="2">
        <v>2356</v>
      </c>
      <c r="G22" s="2">
        <v>2137</v>
      </c>
      <c r="H22" s="2">
        <v>2268</v>
      </c>
      <c r="I22" s="2">
        <v>2356</v>
      </c>
      <c r="J22" s="2">
        <v>2050</v>
      </c>
      <c r="K22" s="2">
        <v>1672</v>
      </c>
      <c r="L22" s="2">
        <v>2080</v>
      </c>
      <c r="M22" s="2">
        <v>2096</v>
      </c>
      <c r="N22" s="2">
        <v>2188</v>
      </c>
      <c r="O22" s="2">
        <v>2276</v>
      </c>
      <c r="P22" s="2">
        <v>26251</v>
      </c>
      <c r="Q22" s="2">
        <v>500</v>
      </c>
      <c r="R22" s="2">
        <v>13125500</v>
      </c>
      <c r="S22" s="4">
        <f>SUM($R$2:R22) / SUM($R:$R)</f>
        <v>0.48524095068124895</v>
      </c>
      <c r="T22" s="3" t="str">
        <f t="shared" si="0"/>
        <v>A</v>
      </c>
      <c r="U22" s="2">
        <f t="shared" si="1"/>
        <v>2187.5833333333335</v>
      </c>
      <c r="V22" s="2">
        <f t="shared" si="2"/>
        <v>214.28038485436164</v>
      </c>
      <c r="W22" s="2">
        <f t="shared" si="3"/>
        <v>9.7953015818534134E-2</v>
      </c>
      <c r="X22" s="2" t="str">
        <f t="shared" si="4"/>
        <v>X</v>
      </c>
      <c r="Y22" s="2" t="str">
        <f t="shared" si="5"/>
        <v>AX</v>
      </c>
    </row>
    <row r="23" spans="1:25" x14ac:dyDescent="0.3">
      <c r="A23" s="2" t="s">
        <v>1259</v>
      </c>
      <c r="B23" s="2" t="s">
        <v>1260</v>
      </c>
      <c r="C23" s="2" t="s">
        <v>20</v>
      </c>
      <c r="D23" s="2">
        <v>2188</v>
      </c>
      <c r="E23" s="2">
        <v>2264</v>
      </c>
      <c r="F23" s="2">
        <v>2385</v>
      </c>
      <c r="G23" s="2">
        <v>2095</v>
      </c>
      <c r="H23" s="2">
        <v>2216</v>
      </c>
      <c r="I23" s="2">
        <v>2041</v>
      </c>
      <c r="J23" s="2">
        <v>2117</v>
      </c>
      <c r="K23" s="2">
        <v>2169</v>
      </c>
      <c r="L23" s="2">
        <v>2016</v>
      </c>
      <c r="M23" s="2">
        <v>2174</v>
      </c>
      <c r="N23" s="2">
        <v>2098</v>
      </c>
      <c r="O23" s="2">
        <v>2267</v>
      </c>
      <c r="P23" s="2">
        <v>26030</v>
      </c>
      <c r="Q23" s="2">
        <v>500</v>
      </c>
      <c r="R23" s="2">
        <v>13015000</v>
      </c>
      <c r="S23" s="4">
        <f>SUM($R$2:R23) / SUM($R:$R)</f>
        <v>0.49737854917508628</v>
      </c>
      <c r="T23" s="3" t="str">
        <f t="shared" si="0"/>
        <v>A</v>
      </c>
      <c r="U23" s="2">
        <f t="shared" si="1"/>
        <v>2169.1666666666665</v>
      </c>
      <c r="V23" s="2">
        <f t="shared" si="2"/>
        <v>104.83479066289651</v>
      </c>
      <c r="W23" s="2">
        <f t="shared" si="3"/>
        <v>4.8329523163840114E-2</v>
      </c>
      <c r="X23" s="2" t="str">
        <f t="shared" si="4"/>
        <v>X</v>
      </c>
      <c r="Y23" s="2" t="str">
        <f t="shared" si="5"/>
        <v>AX</v>
      </c>
    </row>
    <row r="24" spans="1:25" x14ac:dyDescent="0.3">
      <c r="A24" s="2" t="s">
        <v>1963</v>
      </c>
      <c r="B24" s="2" t="s">
        <v>1964</v>
      </c>
      <c r="C24" s="2" t="s">
        <v>20</v>
      </c>
      <c r="D24" s="2">
        <v>2217</v>
      </c>
      <c r="E24" s="2">
        <v>2064</v>
      </c>
      <c r="F24" s="2">
        <v>2356</v>
      </c>
      <c r="G24" s="2">
        <v>1778</v>
      </c>
      <c r="H24" s="2">
        <v>2214</v>
      </c>
      <c r="I24" s="2">
        <v>2179</v>
      </c>
      <c r="J24" s="2">
        <v>2123</v>
      </c>
      <c r="K24" s="2">
        <v>2032</v>
      </c>
      <c r="L24" s="2">
        <v>1437</v>
      </c>
      <c r="M24" s="2">
        <v>2009</v>
      </c>
      <c r="N24" s="2">
        <v>2378</v>
      </c>
      <c r="O24" s="2">
        <v>2207</v>
      </c>
      <c r="P24" s="2">
        <v>24994</v>
      </c>
      <c r="Q24" s="2">
        <v>500</v>
      </c>
      <c r="R24" s="2">
        <v>12497000</v>
      </c>
      <c r="S24" s="4">
        <f>SUM($R$2:R24) / SUM($R:$R)</f>
        <v>0.50903306845111285</v>
      </c>
      <c r="T24" s="3" t="str">
        <f t="shared" si="0"/>
        <v>A</v>
      </c>
      <c r="U24" s="2">
        <f t="shared" si="1"/>
        <v>2082.8333333333335</v>
      </c>
      <c r="V24" s="2">
        <f t="shared" si="2"/>
        <v>259.65740832290822</v>
      </c>
      <c r="W24" s="2">
        <f t="shared" si="3"/>
        <v>0.12466547570916614</v>
      </c>
      <c r="X24" s="2" t="str">
        <f t="shared" si="4"/>
        <v>X</v>
      </c>
      <c r="Y24" s="2" t="str">
        <f t="shared" si="5"/>
        <v>AX</v>
      </c>
    </row>
    <row r="25" spans="1:25" x14ac:dyDescent="0.3">
      <c r="A25" s="2" t="s">
        <v>995</v>
      </c>
      <c r="B25" s="2" t="s">
        <v>996</v>
      </c>
      <c r="C25" s="2" t="s">
        <v>20</v>
      </c>
      <c r="D25" s="2">
        <v>878</v>
      </c>
      <c r="E25" s="2">
        <v>1125</v>
      </c>
      <c r="F25" s="2">
        <v>1250</v>
      </c>
      <c r="G25" s="2">
        <v>1185</v>
      </c>
      <c r="H25" s="2">
        <v>527</v>
      </c>
      <c r="I25" s="2">
        <v>939</v>
      </c>
      <c r="J25" s="2">
        <v>1057</v>
      </c>
      <c r="K25" s="2">
        <v>770</v>
      </c>
      <c r="L25" s="2">
        <v>1318</v>
      </c>
      <c r="M25" s="2">
        <v>1204</v>
      </c>
      <c r="N25" s="2">
        <v>879</v>
      </c>
      <c r="O25" s="2">
        <v>973</v>
      </c>
      <c r="P25" s="2">
        <v>12105</v>
      </c>
      <c r="Q25" s="2">
        <v>1000</v>
      </c>
      <c r="R25" s="2">
        <v>12105000</v>
      </c>
      <c r="S25" s="4">
        <f>SUM($R$2:R25) / SUM($R:$R)</f>
        <v>0.52032201426501223</v>
      </c>
      <c r="T25" s="3" t="str">
        <f t="shared" si="0"/>
        <v>A</v>
      </c>
      <c r="U25" s="2">
        <f t="shared" si="1"/>
        <v>1008.75</v>
      </c>
      <c r="V25" s="2">
        <f t="shared" si="2"/>
        <v>227.24121145122024</v>
      </c>
      <c r="W25" s="2">
        <f t="shared" si="3"/>
        <v>0.22527009809290729</v>
      </c>
      <c r="X25" s="2" t="str">
        <f t="shared" si="4"/>
        <v>Y</v>
      </c>
      <c r="Y25" s="2" t="str">
        <f t="shared" si="5"/>
        <v>AY</v>
      </c>
    </row>
    <row r="26" spans="1:25" x14ac:dyDescent="0.3">
      <c r="A26" s="2" t="s">
        <v>913</v>
      </c>
      <c r="B26" s="2" t="s">
        <v>914</v>
      </c>
      <c r="C26" s="2" t="s">
        <v>20</v>
      </c>
      <c r="D26" s="2">
        <v>1649</v>
      </c>
      <c r="E26" s="2">
        <v>1833</v>
      </c>
      <c r="F26" s="2">
        <v>1844</v>
      </c>
      <c r="G26" s="2">
        <v>1402</v>
      </c>
      <c r="H26" s="2">
        <v>1936</v>
      </c>
      <c r="I26" s="2">
        <v>1524</v>
      </c>
      <c r="J26" s="2">
        <v>1922</v>
      </c>
      <c r="K26" s="2">
        <v>1861</v>
      </c>
      <c r="L26" s="2">
        <v>1852</v>
      </c>
      <c r="M26" s="2">
        <v>2045</v>
      </c>
      <c r="N26" s="2">
        <v>2365</v>
      </c>
      <c r="O26" s="2">
        <v>2111</v>
      </c>
      <c r="P26" s="2">
        <v>22344</v>
      </c>
      <c r="Q26" s="2">
        <v>500</v>
      </c>
      <c r="R26" s="2">
        <v>11172000</v>
      </c>
      <c r="S26" s="4">
        <f>SUM($R$2:R26) / SUM($R:$R)</f>
        <v>0.53074085793563464</v>
      </c>
      <c r="T26" s="3" t="str">
        <f t="shared" si="0"/>
        <v>A</v>
      </c>
      <c r="U26" s="2">
        <f t="shared" si="1"/>
        <v>1862</v>
      </c>
      <c r="V26" s="2">
        <f t="shared" si="2"/>
        <v>257.62093364970451</v>
      </c>
      <c r="W26" s="2">
        <f t="shared" si="3"/>
        <v>0.13835710722325698</v>
      </c>
      <c r="X26" s="2" t="str">
        <f t="shared" si="4"/>
        <v>X</v>
      </c>
      <c r="Y26" s="2" t="str">
        <f t="shared" si="5"/>
        <v>AX</v>
      </c>
    </row>
    <row r="27" spans="1:25" x14ac:dyDescent="0.3">
      <c r="A27" s="2" t="s">
        <v>733</v>
      </c>
      <c r="B27" s="2" t="s">
        <v>734</v>
      </c>
      <c r="C27" s="2" t="s">
        <v>20</v>
      </c>
      <c r="D27" s="2">
        <v>1745</v>
      </c>
      <c r="E27" s="2">
        <v>1699</v>
      </c>
      <c r="F27" s="2">
        <v>1857</v>
      </c>
      <c r="G27" s="2">
        <v>1941</v>
      </c>
      <c r="H27" s="2">
        <v>1809</v>
      </c>
      <c r="I27" s="2">
        <v>2003</v>
      </c>
      <c r="J27" s="2">
        <v>1429</v>
      </c>
      <c r="K27" s="2">
        <v>1891</v>
      </c>
      <c r="L27" s="2">
        <v>1384</v>
      </c>
      <c r="M27" s="2">
        <v>1515</v>
      </c>
      <c r="N27" s="2">
        <v>1536</v>
      </c>
      <c r="O27" s="2">
        <v>1669</v>
      </c>
      <c r="P27" s="2">
        <v>20478</v>
      </c>
      <c r="Q27" s="2">
        <v>500</v>
      </c>
      <c r="R27" s="2">
        <v>10239000</v>
      </c>
      <c r="S27" s="4">
        <f>SUM($R$2:R27) / SUM($R:$R)</f>
        <v>0.54028959946298005</v>
      </c>
      <c r="T27" s="3" t="str">
        <f t="shared" si="0"/>
        <v>A</v>
      </c>
      <c r="U27" s="2">
        <f t="shared" si="1"/>
        <v>1706.5</v>
      </c>
      <c r="V27" s="2">
        <f t="shared" si="2"/>
        <v>204.45026067703873</v>
      </c>
      <c r="W27" s="2">
        <f t="shared" si="3"/>
        <v>0.11980677449577423</v>
      </c>
      <c r="X27" s="2" t="str">
        <f t="shared" si="4"/>
        <v>X</v>
      </c>
      <c r="Y27" s="2" t="str">
        <f t="shared" si="5"/>
        <v>AX</v>
      </c>
    </row>
    <row r="28" spans="1:25" x14ac:dyDescent="0.3">
      <c r="A28" s="2" t="s">
        <v>1231</v>
      </c>
      <c r="B28" s="2" t="s">
        <v>1232</v>
      </c>
      <c r="C28" s="2" t="s">
        <v>25</v>
      </c>
      <c r="D28" s="2">
        <v>583</v>
      </c>
      <c r="E28" s="2">
        <v>815</v>
      </c>
      <c r="F28" s="2">
        <v>499</v>
      </c>
      <c r="G28" s="2">
        <v>612</v>
      </c>
      <c r="H28" s="2">
        <v>571</v>
      </c>
      <c r="I28" s="2">
        <v>797</v>
      </c>
      <c r="J28" s="2">
        <v>793</v>
      </c>
      <c r="K28" s="2">
        <v>819</v>
      </c>
      <c r="L28" s="2">
        <v>951</v>
      </c>
      <c r="M28" s="2">
        <v>916</v>
      </c>
      <c r="N28" s="2">
        <v>1051</v>
      </c>
      <c r="O28" s="2">
        <v>1027</v>
      </c>
      <c r="P28" s="2">
        <v>9434</v>
      </c>
      <c r="Q28" s="2">
        <v>1000</v>
      </c>
      <c r="R28" s="2">
        <v>9434000</v>
      </c>
      <c r="S28" s="4">
        <f>SUM($R$2:R28) / SUM($R:$R)</f>
        <v>0.54908760977345727</v>
      </c>
      <c r="T28" s="3" t="str">
        <f t="shared" si="0"/>
        <v>A</v>
      </c>
      <c r="U28" s="2">
        <f t="shared" si="1"/>
        <v>786.16666666666663</v>
      </c>
      <c r="V28" s="2">
        <f t="shared" si="2"/>
        <v>184.54111802637445</v>
      </c>
      <c r="W28" s="2">
        <f t="shared" si="3"/>
        <v>0.23473536318809557</v>
      </c>
      <c r="X28" s="2" t="str">
        <f t="shared" si="4"/>
        <v>Y</v>
      </c>
      <c r="Y28" s="2" t="str">
        <f t="shared" si="5"/>
        <v>AY</v>
      </c>
    </row>
    <row r="29" spans="1:25" x14ac:dyDescent="0.3">
      <c r="A29" s="2" t="s">
        <v>251</v>
      </c>
      <c r="B29" s="2" t="s">
        <v>252</v>
      </c>
      <c r="C29" s="2" t="s">
        <v>25</v>
      </c>
      <c r="D29" s="2">
        <v>781</v>
      </c>
      <c r="E29" s="2">
        <v>701</v>
      </c>
      <c r="F29" s="2">
        <v>684</v>
      </c>
      <c r="G29" s="2">
        <v>511</v>
      </c>
      <c r="H29" s="2">
        <v>705</v>
      </c>
      <c r="I29" s="2">
        <v>718</v>
      </c>
      <c r="J29" s="2">
        <v>717</v>
      </c>
      <c r="K29" s="2">
        <v>467</v>
      </c>
      <c r="L29" s="2">
        <v>618</v>
      </c>
      <c r="M29" s="2">
        <v>481</v>
      </c>
      <c r="N29" s="2">
        <v>630</v>
      </c>
      <c r="O29" s="2">
        <v>866</v>
      </c>
      <c r="P29" s="2">
        <v>7879</v>
      </c>
      <c r="Q29" s="2">
        <v>1000</v>
      </c>
      <c r="R29" s="2">
        <v>7879000</v>
      </c>
      <c r="S29" s="4">
        <f>SUM($R$2:R29) / SUM($R:$R)</f>
        <v>0.55643544984513948</v>
      </c>
      <c r="T29" s="3" t="str">
        <f t="shared" si="0"/>
        <v>A</v>
      </c>
      <c r="U29" s="2">
        <f t="shared" si="1"/>
        <v>656.58333333333337</v>
      </c>
      <c r="V29" s="2">
        <f t="shared" si="2"/>
        <v>121.35107471025282</v>
      </c>
      <c r="W29" s="2">
        <f t="shared" si="3"/>
        <v>0.1848220455036215</v>
      </c>
      <c r="X29" s="2" t="str">
        <f t="shared" si="4"/>
        <v>X</v>
      </c>
      <c r="Y29" s="2" t="str">
        <f t="shared" si="5"/>
        <v>AX</v>
      </c>
    </row>
    <row r="30" spans="1:25" x14ac:dyDescent="0.3">
      <c r="A30" s="2" t="s">
        <v>1195</v>
      </c>
      <c r="B30" s="2" t="s">
        <v>1196</v>
      </c>
      <c r="C30" s="2" t="s">
        <v>20</v>
      </c>
      <c r="D30" s="2">
        <v>1235</v>
      </c>
      <c r="E30" s="2">
        <v>1344</v>
      </c>
      <c r="F30" s="2">
        <v>1264</v>
      </c>
      <c r="G30" s="2">
        <v>959</v>
      </c>
      <c r="H30" s="2">
        <v>1549</v>
      </c>
      <c r="I30" s="2">
        <v>1124</v>
      </c>
      <c r="J30" s="2">
        <v>1373</v>
      </c>
      <c r="K30" s="2">
        <v>1303</v>
      </c>
      <c r="L30" s="2">
        <v>1122</v>
      </c>
      <c r="M30" s="2">
        <v>1107</v>
      </c>
      <c r="N30" s="2">
        <v>987</v>
      </c>
      <c r="O30" s="2">
        <v>1188</v>
      </c>
      <c r="P30" s="2">
        <v>14555</v>
      </c>
      <c r="Q30" s="2">
        <v>500</v>
      </c>
      <c r="R30" s="2">
        <v>7277500</v>
      </c>
      <c r="S30" s="4">
        <f>SUM($R$2:R30) / SUM($R:$R)</f>
        <v>0.56322233982123648</v>
      </c>
      <c r="T30" s="3" t="str">
        <f t="shared" si="0"/>
        <v>A</v>
      </c>
      <c r="U30" s="2">
        <f t="shared" si="1"/>
        <v>1212.9166666666667</v>
      </c>
      <c r="V30" s="2">
        <f t="shared" si="2"/>
        <v>168.00890578848055</v>
      </c>
      <c r="W30" s="2">
        <f t="shared" si="3"/>
        <v>0.13851644585790218</v>
      </c>
      <c r="X30" s="2" t="str">
        <f t="shared" si="4"/>
        <v>X</v>
      </c>
      <c r="Y30" s="2" t="str">
        <f t="shared" si="5"/>
        <v>AX</v>
      </c>
    </row>
    <row r="31" spans="1:25" x14ac:dyDescent="0.3">
      <c r="A31" s="2" t="s">
        <v>1399</v>
      </c>
      <c r="B31" s="2" t="s">
        <v>1400</v>
      </c>
      <c r="C31" s="2" t="s">
        <v>20</v>
      </c>
      <c r="D31" s="2">
        <v>1137</v>
      </c>
      <c r="E31" s="2">
        <v>1382</v>
      </c>
      <c r="F31" s="2">
        <v>588</v>
      </c>
      <c r="G31" s="2">
        <v>934</v>
      </c>
      <c r="H31" s="2">
        <v>1171</v>
      </c>
      <c r="I31" s="2">
        <v>1325</v>
      </c>
      <c r="J31" s="2">
        <v>1404</v>
      </c>
      <c r="K31" s="2">
        <v>1439</v>
      </c>
      <c r="L31" s="2">
        <v>1052</v>
      </c>
      <c r="M31" s="2">
        <v>951</v>
      </c>
      <c r="N31" s="2">
        <v>859</v>
      </c>
      <c r="O31" s="2">
        <v>845</v>
      </c>
      <c r="P31" s="2">
        <v>13087</v>
      </c>
      <c r="Q31" s="2">
        <v>500</v>
      </c>
      <c r="R31" s="2">
        <v>6543500</v>
      </c>
      <c r="S31" s="4">
        <f>SUM($R$2:R31) / SUM($R:$R)</f>
        <v>0.56932471214120761</v>
      </c>
      <c r="T31" s="3" t="str">
        <f t="shared" si="0"/>
        <v>A</v>
      </c>
      <c r="U31" s="2">
        <f t="shared" si="1"/>
        <v>1090.5833333333333</v>
      </c>
      <c r="V31" s="2">
        <f t="shared" si="2"/>
        <v>266.31200373496733</v>
      </c>
      <c r="W31" s="2">
        <f t="shared" si="3"/>
        <v>0.24419225527772662</v>
      </c>
      <c r="X31" s="2" t="str">
        <f t="shared" si="4"/>
        <v>Y</v>
      </c>
      <c r="Y31" s="2" t="str">
        <f t="shared" si="5"/>
        <v>AY</v>
      </c>
    </row>
    <row r="32" spans="1:25" x14ac:dyDescent="0.3">
      <c r="A32" s="2" t="s">
        <v>1577</v>
      </c>
      <c r="B32" s="2" t="s">
        <v>1578</v>
      </c>
      <c r="C32" s="2" t="s">
        <v>20</v>
      </c>
      <c r="D32" s="2">
        <v>1639</v>
      </c>
      <c r="E32" s="2">
        <v>1229</v>
      </c>
      <c r="F32" s="2">
        <v>1252</v>
      </c>
      <c r="G32" s="2">
        <v>1023</v>
      </c>
      <c r="H32" s="2">
        <v>1290</v>
      </c>
      <c r="I32" s="2">
        <v>990</v>
      </c>
      <c r="J32" s="2">
        <v>1083</v>
      </c>
      <c r="K32" s="2">
        <v>810</v>
      </c>
      <c r="L32" s="2">
        <v>804</v>
      </c>
      <c r="M32" s="2">
        <v>1265</v>
      </c>
      <c r="N32" s="2">
        <v>1131</v>
      </c>
      <c r="O32" s="2">
        <v>473</v>
      </c>
      <c r="P32" s="2">
        <v>12989</v>
      </c>
      <c r="Q32" s="2">
        <v>500</v>
      </c>
      <c r="R32" s="2">
        <v>6494500</v>
      </c>
      <c r="S32" s="4">
        <f>SUM($R$2:R32) / SUM($R:$R)</f>
        <v>0.57538138777841286</v>
      </c>
      <c r="T32" s="3" t="str">
        <f t="shared" si="0"/>
        <v>A</v>
      </c>
      <c r="U32" s="2">
        <f t="shared" si="1"/>
        <v>1082.4166666666667</v>
      </c>
      <c r="V32" s="2">
        <f t="shared" si="2"/>
        <v>297.5666337396575</v>
      </c>
      <c r="W32" s="2">
        <f t="shared" si="3"/>
        <v>0.27490950842065515</v>
      </c>
      <c r="X32" s="2" t="str">
        <f t="shared" si="4"/>
        <v>Y</v>
      </c>
      <c r="Y32" s="2" t="str">
        <f t="shared" si="5"/>
        <v>AY</v>
      </c>
    </row>
    <row r="33" spans="1:25" x14ac:dyDescent="0.3">
      <c r="A33" s="2" t="s">
        <v>1993</v>
      </c>
      <c r="B33" s="2" t="s">
        <v>1994</v>
      </c>
      <c r="C33" s="2" t="s">
        <v>25</v>
      </c>
      <c r="D33" s="2">
        <v>1188</v>
      </c>
      <c r="E33" s="2">
        <v>1108</v>
      </c>
      <c r="F33" s="2">
        <v>1152</v>
      </c>
      <c r="G33" s="2">
        <v>908</v>
      </c>
      <c r="H33" s="2">
        <v>1240</v>
      </c>
      <c r="I33" s="2">
        <v>714</v>
      </c>
      <c r="J33" s="2">
        <v>1129</v>
      </c>
      <c r="K33" s="2">
        <v>1153</v>
      </c>
      <c r="L33" s="2">
        <v>1191</v>
      </c>
      <c r="M33" s="2">
        <v>847</v>
      </c>
      <c r="N33" s="2">
        <v>907</v>
      </c>
      <c r="O33" s="2">
        <v>1241</v>
      </c>
      <c r="P33" s="2">
        <v>12778</v>
      </c>
      <c r="Q33" s="2">
        <v>500</v>
      </c>
      <c r="R33" s="2">
        <v>6389000</v>
      </c>
      <c r="S33" s="4">
        <f>SUM($R$2:R33) / SUM($R:$R)</f>
        <v>0.58133967565986711</v>
      </c>
      <c r="T33" s="3" t="str">
        <f t="shared" si="0"/>
        <v>A</v>
      </c>
      <c r="U33" s="2">
        <f t="shared" si="1"/>
        <v>1064.8333333333333</v>
      </c>
      <c r="V33" s="2">
        <f t="shared" si="2"/>
        <v>174.30424463268139</v>
      </c>
      <c r="W33" s="2">
        <f t="shared" si="3"/>
        <v>0.16369157423635755</v>
      </c>
      <c r="X33" s="2" t="str">
        <f t="shared" si="4"/>
        <v>X</v>
      </c>
      <c r="Y33" s="2" t="str">
        <f t="shared" si="5"/>
        <v>AX</v>
      </c>
    </row>
    <row r="34" spans="1:25" x14ac:dyDescent="0.3">
      <c r="A34" s="2" t="s">
        <v>459</v>
      </c>
      <c r="B34" s="2" t="s">
        <v>460</v>
      </c>
      <c r="C34" s="2" t="s">
        <v>20</v>
      </c>
      <c r="D34" s="2">
        <v>5132</v>
      </c>
      <c r="E34" s="2">
        <v>5001</v>
      </c>
      <c r="F34" s="2">
        <v>5044</v>
      </c>
      <c r="G34" s="2">
        <v>5171</v>
      </c>
      <c r="H34" s="2">
        <v>4899</v>
      </c>
      <c r="I34" s="2">
        <v>4962</v>
      </c>
      <c r="J34" s="2">
        <v>4896</v>
      </c>
      <c r="K34" s="2">
        <v>5150</v>
      </c>
      <c r="L34" s="2">
        <v>4804</v>
      </c>
      <c r="M34" s="2">
        <v>4854</v>
      </c>
      <c r="N34" s="2">
        <v>4874</v>
      </c>
      <c r="O34" s="2">
        <v>5180</v>
      </c>
      <c r="P34" s="2">
        <v>59967</v>
      </c>
      <c r="Q34" s="2">
        <v>100</v>
      </c>
      <c r="R34" s="2">
        <v>5996700</v>
      </c>
      <c r="S34" s="4">
        <f>SUM($R$2:R34) / SUM($R:$R)</f>
        <v>0.5869321103035855</v>
      </c>
      <c r="T34" s="3" t="str">
        <f t="shared" si="0"/>
        <v>A</v>
      </c>
      <c r="U34" s="2">
        <f t="shared" si="1"/>
        <v>4997.25</v>
      </c>
      <c r="V34" s="2">
        <f t="shared" si="2"/>
        <v>135.33804477543026</v>
      </c>
      <c r="W34" s="2">
        <f t="shared" si="3"/>
        <v>2.708250433246891E-2</v>
      </c>
      <c r="X34" s="2" t="str">
        <f t="shared" si="4"/>
        <v>X</v>
      </c>
      <c r="Y34" s="2" t="str">
        <f t="shared" si="5"/>
        <v>AX</v>
      </c>
    </row>
    <row r="35" spans="1:25" x14ac:dyDescent="0.3">
      <c r="A35" s="2" t="s">
        <v>743</v>
      </c>
      <c r="B35" s="2" t="s">
        <v>744</v>
      </c>
      <c r="C35" s="2" t="s">
        <v>20</v>
      </c>
      <c r="D35" s="2">
        <v>4715</v>
      </c>
      <c r="E35" s="2">
        <v>4847</v>
      </c>
      <c r="F35" s="2">
        <v>4634</v>
      </c>
      <c r="G35" s="2">
        <v>4806</v>
      </c>
      <c r="H35" s="2">
        <v>5023</v>
      </c>
      <c r="I35" s="2">
        <v>4655</v>
      </c>
      <c r="J35" s="2">
        <v>5000</v>
      </c>
      <c r="K35" s="2">
        <v>5001</v>
      </c>
      <c r="L35" s="2">
        <v>4872</v>
      </c>
      <c r="M35" s="2">
        <v>4692</v>
      </c>
      <c r="N35" s="2">
        <v>5255</v>
      </c>
      <c r="O35" s="2">
        <v>5126</v>
      </c>
      <c r="P35" s="2">
        <v>58626</v>
      </c>
      <c r="Q35" s="2">
        <v>100</v>
      </c>
      <c r="R35" s="2">
        <v>5862600</v>
      </c>
      <c r="S35" s="4">
        <f>SUM($R$2:R35) / SUM($R:$R)</f>
        <v>0.59239948525018327</v>
      </c>
      <c r="T35" s="3" t="str">
        <f t="shared" si="0"/>
        <v>A</v>
      </c>
      <c r="U35" s="2">
        <f t="shared" si="1"/>
        <v>4885.5</v>
      </c>
      <c r="V35" s="2">
        <f t="shared" si="2"/>
        <v>197.85371088026352</v>
      </c>
      <c r="W35" s="2">
        <f t="shared" si="3"/>
        <v>4.0498149806624403E-2</v>
      </c>
      <c r="X35" s="2" t="str">
        <f t="shared" si="4"/>
        <v>X</v>
      </c>
      <c r="Y35" s="2" t="str">
        <f t="shared" si="5"/>
        <v>AX</v>
      </c>
    </row>
    <row r="36" spans="1:25" x14ac:dyDescent="0.3">
      <c r="A36" s="2" t="s">
        <v>685</v>
      </c>
      <c r="B36" s="2" t="s">
        <v>686</v>
      </c>
      <c r="C36" s="2" t="s">
        <v>25</v>
      </c>
      <c r="D36" s="2">
        <v>1130</v>
      </c>
      <c r="E36" s="2">
        <v>789</v>
      </c>
      <c r="F36" s="2">
        <v>1156</v>
      </c>
      <c r="G36" s="2">
        <v>907</v>
      </c>
      <c r="H36" s="2">
        <v>765</v>
      </c>
      <c r="I36" s="2">
        <v>1005</v>
      </c>
      <c r="J36" s="2">
        <v>1163</v>
      </c>
      <c r="K36" s="2">
        <v>811</v>
      </c>
      <c r="L36" s="2">
        <v>1085</v>
      </c>
      <c r="M36" s="2">
        <v>1073</v>
      </c>
      <c r="N36" s="2">
        <v>1054</v>
      </c>
      <c r="O36" s="2">
        <v>769</v>
      </c>
      <c r="P36" s="2">
        <v>11707</v>
      </c>
      <c r="Q36" s="2">
        <v>500</v>
      </c>
      <c r="R36" s="2">
        <v>5853500</v>
      </c>
      <c r="S36" s="4">
        <f>SUM($R$2:R36) / SUM($R:$R)</f>
        <v>0.59785837366998174</v>
      </c>
      <c r="T36" s="3" t="str">
        <f t="shared" si="0"/>
        <v>A</v>
      </c>
      <c r="U36" s="2">
        <f t="shared" si="1"/>
        <v>975.58333333333337</v>
      </c>
      <c r="V36" s="2">
        <f t="shared" si="2"/>
        <v>157.71750253557957</v>
      </c>
      <c r="W36" s="2">
        <f t="shared" si="3"/>
        <v>0.16166481852113734</v>
      </c>
      <c r="X36" s="2" t="str">
        <f t="shared" si="4"/>
        <v>X</v>
      </c>
      <c r="Y36" s="2" t="str">
        <f t="shared" si="5"/>
        <v>AX</v>
      </c>
    </row>
    <row r="37" spans="1:25" x14ac:dyDescent="0.3">
      <c r="A37" s="2" t="s">
        <v>1323</v>
      </c>
      <c r="B37" s="2" t="s">
        <v>1324</v>
      </c>
      <c r="C37" s="2" t="s">
        <v>20</v>
      </c>
      <c r="D37" s="2">
        <v>5084</v>
      </c>
      <c r="E37" s="2">
        <v>4737</v>
      </c>
      <c r="F37" s="2">
        <v>5271</v>
      </c>
      <c r="G37" s="2">
        <v>4872</v>
      </c>
      <c r="H37" s="2">
        <v>4551</v>
      </c>
      <c r="I37" s="2">
        <v>4683</v>
      </c>
      <c r="J37" s="2">
        <v>4957</v>
      </c>
      <c r="K37" s="2">
        <v>4804</v>
      </c>
      <c r="L37" s="2">
        <v>5185</v>
      </c>
      <c r="M37" s="2">
        <v>4583</v>
      </c>
      <c r="N37" s="2">
        <v>4527</v>
      </c>
      <c r="O37" s="2">
        <v>5053</v>
      </c>
      <c r="P37" s="2">
        <v>58307</v>
      </c>
      <c r="Q37" s="2">
        <v>100</v>
      </c>
      <c r="R37" s="2">
        <v>5830700</v>
      </c>
      <c r="S37" s="4">
        <f>SUM($R$2:R37) / SUM($R:$R)</f>
        <v>0.60329599914351362</v>
      </c>
      <c r="T37" s="3" t="str">
        <f t="shared" si="0"/>
        <v>A</v>
      </c>
      <c r="U37" s="2">
        <f t="shared" si="1"/>
        <v>4858.916666666667</v>
      </c>
      <c r="V37" s="2">
        <f t="shared" si="2"/>
        <v>253.01866921177373</v>
      </c>
      <c r="W37" s="2">
        <f t="shared" si="3"/>
        <v>5.2073062077302633E-2</v>
      </c>
      <c r="X37" s="2" t="str">
        <f t="shared" si="4"/>
        <v>X</v>
      </c>
      <c r="Y37" s="2" t="str">
        <f t="shared" si="5"/>
        <v>AX</v>
      </c>
    </row>
    <row r="38" spans="1:25" x14ac:dyDescent="0.3">
      <c r="A38" s="2" t="s">
        <v>21</v>
      </c>
      <c r="B38" s="2" t="s">
        <v>22</v>
      </c>
      <c r="C38" s="2" t="s">
        <v>20</v>
      </c>
      <c r="D38" s="2">
        <v>4792</v>
      </c>
      <c r="E38" s="2">
        <v>4964</v>
      </c>
      <c r="F38" s="2">
        <v>4628</v>
      </c>
      <c r="G38" s="2">
        <v>4660</v>
      </c>
      <c r="H38" s="2">
        <v>4897</v>
      </c>
      <c r="I38" s="2">
        <v>5015</v>
      </c>
      <c r="J38" s="2">
        <v>4805</v>
      </c>
      <c r="K38" s="2">
        <v>4686</v>
      </c>
      <c r="L38" s="2">
        <v>4896</v>
      </c>
      <c r="M38" s="2">
        <v>4536</v>
      </c>
      <c r="N38" s="2">
        <v>4520</v>
      </c>
      <c r="O38" s="2">
        <v>5054</v>
      </c>
      <c r="P38" s="2">
        <v>57453</v>
      </c>
      <c r="Q38" s="2">
        <v>100</v>
      </c>
      <c r="R38" s="2">
        <v>5745300</v>
      </c>
      <c r="S38" s="4">
        <f>SUM($R$2:R38) / SUM($R:$R)</f>
        <v>0.60865398182708208</v>
      </c>
      <c r="T38" s="3" t="str">
        <f t="shared" si="0"/>
        <v>A</v>
      </c>
      <c r="U38" s="2">
        <f t="shared" si="1"/>
        <v>4787.75</v>
      </c>
      <c r="V38" s="2">
        <f t="shared" si="2"/>
        <v>182.11541046070957</v>
      </c>
      <c r="W38" s="2">
        <f t="shared" si="3"/>
        <v>3.8037786112622748E-2</v>
      </c>
      <c r="X38" s="2" t="str">
        <f t="shared" si="4"/>
        <v>X</v>
      </c>
      <c r="Y38" s="2" t="str">
        <f t="shared" si="5"/>
        <v>AX</v>
      </c>
    </row>
    <row r="39" spans="1:25" x14ac:dyDescent="0.3">
      <c r="A39" s="2" t="s">
        <v>581</v>
      </c>
      <c r="B39" s="2" t="s">
        <v>582</v>
      </c>
      <c r="C39" s="2" t="s">
        <v>25</v>
      </c>
      <c r="D39" s="2">
        <v>986</v>
      </c>
      <c r="E39" s="2">
        <v>1247</v>
      </c>
      <c r="F39" s="2">
        <v>1185</v>
      </c>
      <c r="G39" s="2">
        <v>1119</v>
      </c>
      <c r="H39" s="2">
        <v>707</v>
      </c>
      <c r="I39" s="2">
        <v>883</v>
      </c>
      <c r="J39" s="2">
        <v>837</v>
      </c>
      <c r="K39" s="2">
        <v>689</v>
      </c>
      <c r="L39" s="2">
        <v>813</v>
      </c>
      <c r="M39" s="2">
        <v>903</v>
      </c>
      <c r="N39" s="2">
        <v>1221</v>
      </c>
      <c r="O39" s="2">
        <v>877</v>
      </c>
      <c r="P39" s="2">
        <v>11467</v>
      </c>
      <c r="Q39" s="2">
        <v>500</v>
      </c>
      <c r="R39" s="2">
        <v>5733500</v>
      </c>
      <c r="S39" s="4">
        <f>SUM($R$2:R39) / SUM($R:$R)</f>
        <v>0.61400096000337223</v>
      </c>
      <c r="T39" s="3" t="str">
        <f t="shared" si="0"/>
        <v>A</v>
      </c>
      <c r="U39" s="2">
        <f t="shared" si="1"/>
        <v>955.58333333333337</v>
      </c>
      <c r="V39" s="2">
        <f t="shared" si="2"/>
        <v>194.72426114582595</v>
      </c>
      <c r="W39" s="2">
        <f t="shared" si="3"/>
        <v>0.20377527982470667</v>
      </c>
      <c r="X39" s="2" t="str">
        <f t="shared" si="4"/>
        <v>Y</v>
      </c>
      <c r="Y39" s="2" t="str">
        <f t="shared" si="5"/>
        <v>AY</v>
      </c>
    </row>
    <row r="40" spans="1:25" x14ac:dyDescent="0.3">
      <c r="A40" s="2" t="s">
        <v>1655</v>
      </c>
      <c r="B40" s="2" t="s">
        <v>1656</v>
      </c>
      <c r="C40" s="2" t="s">
        <v>20</v>
      </c>
      <c r="D40" s="2">
        <v>4795</v>
      </c>
      <c r="E40" s="2">
        <v>5020</v>
      </c>
      <c r="F40" s="2">
        <v>5078</v>
      </c>
      <c r="G40" s="2">
        <v>4710</v>
      </c>
      <c r="H40" s="2">
        <v>4281</v>
      </c>
      <c r="I40" s="2">
        <v>4542</v>
      </c>
      <c r="J40" s="2">
        <v>4937</v>
      </c>
      <c r="K40" s="2">
        <v>4694</v>
      </c>
      <c r="L40" s="2">
        <v>4361</v>
      </c>
      <c r="M40" s="2">
        <v>5042</v>
      </c>
      <c r="N40" s="2">
        <v>4740</v>
      </c>
      <c r="O40" s="2">
        <v>4632</v>
      </c>
      <c r="P40" s="2">
        <v>56832</v>
      </c>
      <c r="Q40" s="2">
        <v>100</v>
      </c>
      <c r="R40" s="2">
        <v>5683200</v>
      </c>
      <c r="S40" s="4">
        <f>SUM($R$2:R40) / SUM($R:$R)</f>
        <v>0.61930102913592511</v>
      </c>
      <c r="T40" s="3" t="str">
        <f t="shared" si="0"/>
        <v>A</v>
      </c>
      <c r="U40" s="2">
        <f t="shared" si="1"/>
        <v>4736</v>
      </c>
      <c r="V40" s="2">
        <f t="shared" si="2"/>
        <v>258.26272739912815</v>
      </c>
      <c r="W40" s="2">
        <f t="shared" si="3"/>
        <v>5.4531825886640233E-2</v>
      </c>
      <c r="X40" s="2" t="str">
        <f t="shared" si="4"/>
        <v>X</v>
      </c>
      <c r="Y40" s="2" t="str">
        <f t="shared" si="5"/>
        <v>AX</v>
      </c>
    </row>
    <row r="41" spans="1:25" x14ac:dyDescent="0.3">
      <c r="A41" s="2" t="s">
        <v>165</v>
      </c>
      <c r="B41" s="2" t="s">
        <v>166</v>
      </c>
      <c r="C41" s="2" t="s">
        <v>20</v>
      </c>
      <c r="D41" s="2">
        <v>4906</v>
      </c>
      <c r="E41" s="2">
        <v>4568</v>
      </c>
      <c r="F41" s="2">
        <v>4784</v>
      </c>
      <c r="G41" s="2">
        <v>4726</v>
      </c>
      <c r="H41" s="2">
        <v>4838</v>
      </c>
      <c r="I41" s="2">
        <v>4423</v>
      </c>
      <c r="J41" s="2">
        <v>4877</v>
      </c>
      <c r="K41" s="2">
        <v>5036</v>
      </c>
      <c r="L41" s="2">
        <v>4633</v>
      </c>
      <c r="M41" s="2">
        <v>4617</v>
      </c>
      <c r="N41" s="2">
        <v>4824</v>
      </c>
      <c r="O41" s="2">
        <v>4599</v>
      </c>
      <c r="P41" s="2">
        <v>56831</v>
      </c>
      <c r="Q41" s="2">
        <v>100</v>
      </c>
      <c r="R41" s="2">
        <v>5683100</v>
      </c>
      <c r="S41" s="4">
        <f>SUM($R$2:R41) / SUM($R:$R)</f>
        <v>0.62460100500994187</v>
      </c>
      <c r="T41" s="3" t="str">
        <f t="shared" si="0"/>
        <v>A</v>
      </c>
      <c r="U41" s="2">
        <f t="shared" si="1"/>
        <v>4735.916666666667</v>
      </c>
      <c r="V41" s="2">
        <f t="shared" si="2"/>
        <v>172.95951093895482</v>
      </c>
      <c r="W41" s="2">
        <f t="shared" si="3"/>
        <v>3.6520809615657963E-2</v>
      </c>
      <c r="X41" s="2" t="str">
        <f t="shared" si="4"/>
        <v>X</v>
      </c>
      <c r="Y41" s="2" t="str">
        <f t="shared" si="5"/>
        <v>AX</v>
      </c>
    </row>
    <row r="42" spans="1:25" x14ac:dyDescent="0.3">
      <c r="A42" s="2" t="s">
        <v>1689</v>
      </c>
      <c r="B42" s="2" t="s">
        <v>1690</v>
      </c>
      <c r="C42" s="2" t="s">
        <v>20</v>
      </c>
      <c r="D42" s="2">
        <v>4633</v>
      </c>
      <c r="E42" s="2">
        <v>4369</v>
      </c>
      <c r="F42" s="2">
        <v>4519</v>
      </c>
      <c r="G42" s="2">
        <v>4702</v>
      </c>
      <c r="H42" s="2">
        <v>4412</v>
      </c>
      <c r="I42" s="2">
        <v>4615</v>
      </c>
      <c r="J42" s="2">
        <v>4511</v>
      </c>
      <c r="K42" s="2">
        <v>4700</v>
      </c>
      <c r="L42" s="2">
        <v>5040</v>
      </c>
      <c r="M42" s="2">
        <v>4553</v>
      </c>
      <c r="N42" s="2">
        <v>4899</v>
      </c>
      <c r="O42" s="2">
        <v>4697</v>
      </c>
      <c r="P42" s="2">
        <v>55650</v>
      </c>
      <c r="Q42" s="2">
        <v>100</v>
      </c>
      <c r="R42" s="2">
        <v>5565000</v>
      </c>
      <c r="S42" s="4">
        <f>SUM($R$2:R42) / SUM($R:$R)</f>
        <v>0.62979084255263906</v>
      </c>
      <c r="T42" s="3" t="str">
        <f t="shared" si="0"/>
        <v>A</v>
      </c>
      <c r="U42" s="2">
        <f t="shared" si="1"/>
        <v>4637.5</v>
      </c>
      <c r="V42" s="2">
        <f t="shared" si="2"/>
        <v>191.32290648391933</v>
      </c>
      <c r="W42" s="2">
        <f t="shared" si="3"/>
        <v>4.1255613257987996E-2</v>
      </c>
      <c r="X42" s="2" t="str">
        <f t="shared" si="4"/>
        <v>X</v>
      </c>
      <c r="Y42" s="2" t="str">
        <f t="shared" si="5"/>
        <v>AX</v>
      </c>
    </row>
    <row r="43" spans="1:25" x14ac:dyDescent="0.3">
      <c r="A43" s="2" t="s">
        <v>1997</v>
      </c>
      <c r="B43" s="2" t="s">
        <v>1998</v>
      </c>
      <c r="C43" s="2" t="s">
        <v>25</v>
      </c>
      <c r="D43" s="2">
        <v>823</v>
      </c>
      <c r="E43" s="2">
        <v>923</v>
      </c>
      <c r="F43" s="2">
        <v>1124</v>
      </c>
      <c r="G43" s="2">
        <v>970</v>
      </c>
      <c r="H43" s="2">
        <v>762</v>
      </c>
      <c r="I43" s="2">
        <v>863</v>
      </c>
      <c r="J43" s="2">
        <v>960</v>
      </c>
      <c r="K43" s="2">
        <v>900</v>
      </c>
      <c r="L43" s="2">
        <v>879</v>
      </c>
      <c r="M43" s="2">
        <v>731</v>
      </c>
      <c r="N43" s="2">
        <v>1068</v>
      </c>
      <c r="O43" s="2">
        <v>1001</v>
      </c>
      <c r="P43" s="2">
        <v>11004</v>
      </c>
      <c r="Q43" s="2">
        <v>500</v>
      </c>
      <c r="R43" s="2">
        <v>5502000</v>
      </c>
      <c r="S43" s="4">
        <f>SUM($R$2:R43) / SUM($R:$R)</f>
        <v>0.63492192721749452</v>
      </c>
      <c r="T43" s="3" t="str">
        <f t="shared" si="0"/>
        <v>A</v>
      </c>
      <c r="U43" s="2">
        <f t="shared" si="1"/>
        <v>917</v>
      </c>
      <c r="V43" s="2">
        <f t="shared" si="2"/>
        <v>116.58239380564522</v>
      </c>
      <c r="W43" s="2">
        <f t="shared" si="3"/>
        <v>0.12713456249252478</v>
      </c>
      <c r="X43" s="2" t="str">
        <f t="shared" si="4"/>
        <v>X</v>
      </c>
      <c r="Y43" s="2" t="str">
        <f t="shared" si="5"/>
        <v>AX</v>
      </c>
    </row>
    <row r="44" spans="1:25" x14ac:dyDescent="0.3">
      <c r="A44" s="2" t="s">
        <v>901</v>
      </c>
      <c r="B44" s="2" t="s">
        <v>902</v>
      </c>
      <c r="C44" s="2" t="s">
        <v>25</v>
      </c>
      <c r="D44" s="2">
        <v>964</v>
      </c>
      <c r="E44" s="2">
        <v>1073</v>
      </c>
      <c r="F44" s="2">
        <v>958</v>
      </c>
      <c r="G44" s="2">
        <v>1097</v>
      </c>
      <c r="H44" s="2">
        <v>1062</v>
      </c>
      <c r="I44" s="2">
        <v>776</v>
      </c>
      <c r="J44" s="2">
        <v>768</v>
      </c>
      <c r="K44" s="2">
        <v>677</v>
      </c>
      <c r="L44" s="2">
        <v>1234</v>
      </c>
      <c r="M44" s="2">
        <v>698</v>
      </c>
      <c r="N44" s="2">
        <v>776</v>
      </c>
      <c r="O44" s="2">
        <v>894</v>
      </c>
      <c r="P44" s="2">
        <v>10977</v>
      </c>
      <c r="Q44" s="2">
        <v>500</v>
      </c>
      <c r="R44" s="2">
        <v>5488500</v>
      </c>
      <c r="S44" s="4">
        <f>SUM($R$2:R44) / SUM($R:$R)</f>
        <v>0.64004042197995514</v>
      </c>
      <c r="T44" s="3" t="str">
        <f t="shared" si="0"/>
        <v>A</v>
      </c>
      <c r="U44" s="2">
        <f t="shared" si="1"/>
        <v>914.75</v>
      </c>
      <c r="V44" s="2">
        <f t="shared" si="2"/>
        <v>178.41021424081791</v>
      </c>
      <c r="W44" s="2">
        <f t="shared" si="3"/>
        <v>0.19503712953355332</v>
      </c>
      <c r="X44" s="2" t="str">
        <f t="shared" si="4"/>
        <v>X</v>
      </c>
      <c r="Y44" s="2" t="str">
        <f t="shared" si="5"/>
        <v>AX</v>
      </c>
    </row>
    <row r="45" spans="1:25" x14ac:dyDescent="0.3">
      <c r="A45" s="2" t="s">
        <v>1171</v>
      </c>
      <c r="B45" s="2" t="s">
        <v>1172</v>
      </c>
      <c r="C45" s="2" t="s">
        <v>25</v>
      </c>
      <c r="D45" s="2">
        <v>798</v>
      </c>
      <c r="E45" s="2">
        <v>1052</v>
      </c>
      <c r="F45" s="2">
        <v>681</v>
      </c>
      <c r="G45" s="2">
        <v>814</v>
      </c>
      <c r="H45" s="2">
        <v>804</v>
      </c>
      <c r="I45" s="2">
        <v>892</v>
      </c>
      <c r="J45" s="2">
        <v>1035</v>
      </c>
      <c r="K45" s="2">
        <v>933</v>
      </c>
      <c r="L45" s="2">
        <v>1253</v>
      </c>
      <c r="M45" s="2">
        <v>669</v>
      </c>
      <c r="N45" s="2">
        <v>1127</v>
      </c>
      <c r="O45" s="2">
        <v>749</v>
      </c>
      <c r="P45" s="2">
        <v>10807</v>
      </c>
      <c r="Q45" s="2">
        <v>500</v>
      </c>
      <c r="R45" s="2">
        <v>5403500</v>
      </c>
      <c r="S45" s="4">
        <f>SUM($R$2:R45) / SUM($R:$R)</f>
        <v>0.64507964698659759</v>
      </c>
      <c r="T45" s="3" t="str">
        <f t="shared" si="0"/>
        <v>A</v>
      </c>
      <c r="U45" s="2">
        <f t="shared" si="1"/>
        <v>900.58333333333337</v>
      </c>
      <c r="V45" s="2">
        <f t="shared" si="2"/>
        <v>183.34143921474293</v>
      </c>
      <c r="W45" s="2">
        <f t="shared" si="3"/>
        <v>0.20358075974617518</v>
      </c>
      <c r="X45" s="2" t="str">
        <f t="shared" si="4"/>
        <v>Y</v>
      </c>
      <c r="Y45" s="2" t="str">
        <f t="shared" si="5"/>
        <v>AY</v>
      </c>
    </row>
    <row r="46" spans="1:25" x14ac:dyDescent="0.3">
      <c r="A46" s="2" t="s">
        <v>2009</v>
      </c>
      <c r="B46" s="2" t="s">
        <v>2010</v>
      </c>
      <c r="C46" s="2" t="s">
        <v>25</v>
      </c>
      <c r="D46" s="2">
        <v>786</v>
      </c>
      <c r="E46" s="2">
        <v>713</v>
      </c>
      <c r="F46" s="2">
        <v>1069</v>
      </c>
      <c r="G46" s="2">
        <v>1012</v>
      </c>
      <c r="H46" s="2">
        <v>732</v>
      </c>
      <c r="I46" s="2">
        <v>1217</v>
      </c>
      <c r="J46" s="2">
        <v>987</v>
      </c>
      <c r="K46" s="2">
        <v>963</v>
      </c>
      <c r="L46" s="2">
        <v>916</v>
      </c>
      <c r="M46" s="2">
        <v>798</v>
      </c>
      <c r="N46" s="2">
        <v>728</v>
      </c>
      <c r="O46" s="2">
        <v>872</v>
      </c>
      <c r="P46" s="2">
        <v>10793</v>
      </c>
      <c r="Q46" s="2">
        <v>500</v>
      </c>
      <c r="R46" s="2">
        <v>5396500</v>
      </c>
      <c r="S46" s="4">
        <f>SUM($R$2:R46) / SUM($R:$R)</f>
        <v>0.65011234389570194</v>
      </c>
      <c r="T46" s="3" t="str">
        <f t="shared" si="0"/>
        <v>A</v>
      </c>
      <c r="U46" s="2">
        <f t="shared" si="1"/>
        <v>899.41666666666663</v>
      </c>
      <c r="V46" s="2">
        <f t="shared" si="2"/>
        <v>156.76992889601166</v>
      </c>
      <c r="W46" s="2">
        <f t="shared" si="3"/>
        <v>0.17430178326249793</v>
      </c>
      <c r="X46" s="2" t="str">
        <f t="shared" si="4"/>
        <v>X</v>
      </c>
      <c r="Y46" s="2" t="str">
        <f t="shared" si="5"/>
        <v>AX</v>
      </c>
    </row>
    <row r="47" spans="1:25" x14ac:dyDescent="0.3">
      <c r="A47" s="2" t="s">
        <v>793</v>
      </c>
      <c r="B47" s="2" t="s">
        <v>794</v>
      </c>
      <c r="C47" s="2" t="s">
        <v>20</v>
      </c>
      <c r="D47" s="2">
        <v>4387</v>
      </c>
      <c r="E47" s="2">
        <v>3876</v>
      </c>
      <c r="F47" s="2">
        <v>4119</v>
      </c>
      <c r="G47" s="2">
        <v>4626</v>
      </c>
      <c r="H47" s="2">
        <v>4411</v>
      </c>
      <c r="I47" s="2">
        <v>4319</v>
      </c>
      <c r="J47" s="2">
        <v>4800</v>
      </c>
      <c r="K47" s="2">
        <v>4409</v>
      </c>
      <c r="L47" s="2">
        <v>4295</v>
      </c>
      <c r="M47" s="2">
        <v>4489</v>
      </c>
      <c r="N47" s="2">
        <v>4219</v>
      </c>
      <c r="O47" s="2">
        <v>4660</v>
      </c>
      <c r="P47" s="2">
        <v>52610</v>
      </c>
      <c r="Q47" s="2">
        <v>100</v>
      </c>
      <c r="R47" s="2">
        <v>5261000</v>
      </c>
      <c r="S47" s="4">
        <f>SUM($R$2:R47) / SUM($R:$R)</f>
        <v>0.65501867548817816</v>
      </c>
      <c r="T47" s="3" t="str">
        <f t="shared" si="0"/>
        <v>A</v>
      </c>
      <c r="U47" s="2">
        <f t="shared" si="1"/>
        <v>4384.166666666667</v>
      </c>
      <c r="V47" s="2">
        <f t="shared" si="2"/>
        <v>250.06247704172335</v>
      </c>
      <c r="W47" s="2">
        <f t="shared" si="3"/>
        <v>5.7037630193892415E-2</v>
      </c>
      <c r="X47" s="2" t="str">
        <f t="shared" si="4"/>
        <v>X</v>
      </c>
      <c r="Y47" s="2" t="str">
        <f t="shared" si="5"/>
        <v>AX</v>
      </c>
    </row>
    <row r="48" spans="1:25" x14ac:dyDescent="0.3">
      <c r="A48" s="2" t="s">
        <v>783</v>
      </c>
      <c r="B48" s="2" t="s">
        <v>784</v>
      </c>
      <c r="C48" s="2" t="s">
        <v>20</v>
      </c>
      <c r="D48" s="2">
        <v>4349</v>
      </c>
      <c r="E48" s="2">
        <v>4623</v>
      </c>
      <c r="F48" s="2">
        <v>4436</v>
      </c>
      <c r="G48" s="2">
        <v>4204</v>
      </c>
      <c r="H48" s="2">
        <v>4190</v>
      </c>
      <c r="I48" s="2">
        <v>4598</v>
      </c>
      <c r="J48" s="2">
        <v>4164</v>
      </c>
      <c r="K48" s="2">
        <v>4779</v>
      </c>
      <c r="L48" s="2">
        <v>4327</v>
      </c>
      <c r="M48" s="2">
        <v>4264</v>
      </c>
      <c r="N48" s="2">
        <v>4242</v>
      </c>
      <c r="O48" s="2">
        <v>4193</v>
      </c>
      <c r="P48" s="2">
        <v>52369</v>
      </c>
      <c r="Q48" s="2">
        <v>100</v>
      </c>
      <c r="R48" s="2">
        <v>5236900</v>
      </c>
      <c r="S48" s="4">
        <f>SUM($R$2:R48) / SUM($R:$R)</f>
        <v>0.6599025317734164</v>
      </c>
      <c r="T48" s="3" t="str">
        <f t="shared" si="0"/>
        <v>A</v>
      </c>
      <c r="U48" s="2">
        <f t="shared" si="1"/>
        <v>4364.083333333333</v>
      </c>
      <c r="V48" s="2">
        <f t="shared" si="2"/>
        <v>202.44885250054611</v>
      </c>
      <c r="W48" s="2">
        <f t="shared" si="3"/>
        <v>4.6389776967414947E-2</v>
      </c>
      <c r="X48" s="2" t="str">
        <f t="shared" si="4"/>
        <v>X</v>
      </c>
      <c r="Y48" s="2" t="str">
        <f t="shared" si="5"/>
        <v>AX</v>
      </c>
    </row>
    <row r="49" spans="1:25" x14ac:dyDescent="0.3">
      <c r="A49" s="2" t="s">
        <v>709</v>
      </c>
      <c r="B49" s="2" t="s">
        <v>710</v>
      </c>
      <c r="C49" s="2" t="s">
        <v>20</v>
      </c>
      <c r="D49" s="2">
        <v>4033</v>
      </c>
      <c r="E49" s="2">
        <v>3927</v>
      </c>
      <c r="F49" s="2">
        <v>4649</v>
      </c>
      <c r="G49" s="2">
        <v>4137</v>
      </c>
      <c r="H49" s="2">
        <v>4310</v>
      </c>
      <c r="I49" s="2">
        <v>4658</v>
      </c>
      <c r="J49" s="2">
        <v>4704</v>
      </c>
      <c r="K49" s="2">
        <v>3982</v>
      </c>
      <c r="L49" s="2">
        <v>4086</v>
      </c>
      <c r="M49" s="2">
        <v>4116</v>
      </c>
      <c r="N49" s="2">
        <v>4253</v>
      </c>
      <c r="O49" s="2">
        <v>4360</v>
      </c>
      <c r="P49" s="2">
        <v>51215</v>
      </c>
      <c r="Q49" s="2">
        <v>100</v>
      </c>
      <c r="R49" s="2">
        <v>5121500</v>
      </c>
      <c r="S49" s="4">
        <f>SUM($R$2:R49) / SUM($R:$R)</f>
        <v>0.66467876770781431</v>
      </c>
      <c r="T49" s="3" t="str">
        <f t="shared" si="0"/>
        <v>A</v>
      </c>
      <c r="U49" s="2">
        <f t="shared" si="1"/>
        <v>4267.916666666667</v>
      </c>
      <c r="V49" s="2">
        <f t="shared" si="2"/>
        <v>273.77843009974106</v>
      </c>
      <c r="W49" s="2">
        <f t="shared" si="3"/>
        <v>6.4148026187579657E-2</v>
      </c>
      <c r="X49" s="2" t="str">
        <f t="shared" si="4"/>
        <v>X</v>
      </c>
      <c r="Y49" s="2" t="str">
        <f t="shared" si="5"/>
        <v>AX</v>
      </c>
    </row>
    <row r="50" spans="1:25" x14ac:dyDescent="0.3">
      <c r="A50" s="2" t="s">
        <v>649</v>
      </c>
      <c r="B50" s="2" t="s">
        <v>650</v>
      </c>
      <c r="C50" s="2" t="s">
        <v>20</v>
      </c>
      <c r="D50" s="2">
        <v>3960</v>
      </c>
      <c r="E50" s="2">
        <v>4376</v>
      </c>
      <c r="F50" s="2">
        <v>4281</v>
      </c>
      <c r="G50" s="2">
        <v>4337</v>
      </c>
      <c r="H50" s="2">
        <v>4153</v>
      </c>
      <c r="I50" s="2">
        <v>4460</v>
      </c>
      <c r="J50" s="2">
        <v>4177</v>
      </c>
      <c r="K50" s="2">
        <v>3716</v>
      </c>
      <c r="L50" s="2">
        <v>4376</v>
      </c>
      <c r="M50" s="2">
        <v>4203</v>
      </c>
      <c r="N50" s="2">
        <v>3732</v>
      </c>
      <c r="O50" s="2">
        <v>3835</v>
      </c>
      <c r="P50" s="2">
        <v>49606</v>
      </c>
      <c r="Q50" s="2">
        <v>100</v>
      </c>
      <c r="R50" s="2">
        <v>4960600</v>
      </c>
      <c r="S50" s="4">
        <f>SUM($R$2:R50) / SUM($R:$R)</f>
        <v>0.66930495065737472</v>
      </c>
      <c r="T50" s="3" t="str">
        <f t="shared" si="0"/>
        <v>A</v>
      </c>
      <c r="U50" s="2">
        <f t="shared" si="1"/>
        <v>4133.833333333333</v>
      </c>
      <c r="V50" s="2">
        <f t="shared" si="2"/>
        <v>260.97677825407914</v>
      </c>
      <c r="W50" s="2">
        <f t="shared" si="3"/>
        <v>6.3131906201849566E-2</v>
      </c>
      <c r="X50" s="2" t="str">
        <f t="shared" si="4"/>
        <v>X</v>
      </c>
      <c r="Y50" s="2" t="str">
        <f t="shared" si="5"/>
        <v>AX</v>
      </c>
    </row>
    <row r="51" spans="1:25" x14ac:dyDescent="0.3">
      <c r="A51" s="2" t="s">
        <v>1325</v>
      </c>
      <c r="B51" s="2" t="s">
        <v>1326</v>
      </c>
      <c r="C51" s="2" t="s">
        <v>20</v>
      </c>
      <c r="D51" s="2">
        <v>4382</v>
      </c>
      <c r="E51" s="2">
        <v>3896</v>
      </c>
      <c r="F51" s="2">
        <v>3698</v>
      </c>
      <c r="G51" s="2">
        <v>4298</v>
      </c>
      <c r="H51" s="2">
        <v>4161</v>
      </c>
      <c r="I51" s="2">
        <v>3945</v>
      </c>
      <c r="J51" s="2">
        <v>4076</v>
      </c>
      <c r="K51" s="2">
        <v>4270</v>
      </c>
      <c r="L51" s="2">
        <v>4140</v>
      </c>
      <c r="M51" s="2">
        <v>4143</v>
      </c>
      <c r="N51" s="2">
        <v>3994</v>
      </c>
      <c r="O51" s="2">
        <v>3845</v>
      </c>
      <c r="P51" s="2">
        <v>48848</v>
      </c>
      <c r="Q51" s="2">
        <v>100</v>
      </c>
      <c r="R51" s="2">
        <v>4884800</v>
      </c>
      <c r="S51" s="4">
        <f>SUM($R$2:R51) / SUM($R:$R)</f>
        <v>0.67386044363645248</v>
      </c>
      <c r="T51" s="3" t="str">
        <f t="shared" si="0"/>
        <v>A</v>
      </c>
      <c r="U51" s="2">
        <f t="shared" si="1"/>
        <v>4070.6666666666665</v>
      </c>
      <c r="V51" s="2">
        <f t="shared" si="2"/>
        <v>201.93488299374371</v>
      </c>
      <c r="W51" s="2">
        <f t="shared" si="3"/>
        <v>4.9607324679105072E-2</v>
      </c>
      <c r="X51" s="2" t="str">
        <f t="shared" si="4"/>
        <v>X</v>
      </c>
      <c r="Y51" s="2" t="str">
        <f t="shared" si="5"/>
        <v>AX</v>
      </c>
    </row>
    <row r="52" spans="1:25" x14ac:dyDescent="0.3">
      <c r="A52" s="2" t="s">
        <v>1693</v>
      </c>
      <c r="B52" s="2" t="s">
        <v>1694</v>
      </c>
      <c r="C52" s="2" t="s">
        <v>20</v>
      </c>
      <c r="D52" s="2">
        <v>4114</v>
      </c>
      <c r="E52" s="2">
        <v>4045</v>
      </c>
      <c r="F52" s="2">
        <v>4088</v>
      </c>
      <c r="G52" s="2">
        <v>3896</v>
      </c>
      <c r="H52" s="2">
        <v>3860</v>
      </c>
      <c r="I52" s="2">
        <v>3916</v>
      </c>
      <c r="J52" s="2">
        <v>4271</v>
      </c>
      <c r="K52" s="2">
        <v>4094</v>
      </c>
      <c r="L52" s="2">
        <v>3993</v>
      </c>
      <c r="M52" s="2">
        <v>4012</v>
      </c>
      <c r="N52" s="2">
        <v>3898</v>
      </c>
      <c r="O52" s="2">
        <v>3866</v>
      </c>
      <c r="P52" s="2">
        <v>48053</v>
      </c>
      <c r="Q52" s="2">
        <v>100</v>
      </c>
      <c r="R52" s="2">
        <v>4805300</v>
      </c>
      <c r="S52" s="4">
        <f>SUM($R$2:R52) / SUM($R:$R)</f>
        <v>0.67834179607920597</v>
      </c>
      <c r="T52" s="3" t="str">
        <f t="shared" si="0"/>
        <v>A</v>
      </c>
      <c r="U52" s="2">
        <f t="shared" si="1"/>
        <v>4004.4166666666665</v>
      </c>
      <c r="V52" s="2">
        <f t="shared" si="2"/>
        <v>124.62048447793467</v>
      </c>
      <c r="W52" s="2">
        <f t="shared" si="3"/>
        <v>3.1120758615179406E-2</v>
      </c>
      <c r="X52" s="2" t="str">
        <f t="shared" si="4"/>
        <v>X</v>
      </c>
      <c r="Y52" s="2" t="str">
        <f t="shared" si="5"/>
        <v>AX</v>
      </c>
    </row>
    <row r="53" spans="1:25" x14ac:dyDescent="0.3">
      <c r="A53" s="2" t="s">
        <v>1063</v>
      </c>
      <c r="B53" s="2" t="s">
        <v>1064</v>
      </c>
      <c r="C53" s="2" t="s">
        <v>20</v>
      </c>
      <c r="D53" s="2">
        <v>3602</v>
      </c>
      <c r="E53" s="2">
        <v>3796</v>
      </c>
      <c r="F53" s="2">
        <v>3870</v>
      </c>
      <c r="G53" s="2">
        <v>3680</v>
      </c>
      <c r="H53" s="2">
        <v>3537</v>
      </c>
      <c r="I53" s="2">
        <v>3784</v>
      </c>
      <c r="J53" s="2">
        <v>3820</v>
      </c>
      <c r="K53" s="2">
        <v>4052</v>
      </c>
      <c r="L53" s="2">
        <v>3974</v>
      </c>
      <c r="M53" s="2">
        <v>4063</v>
      </c>
      <c r="N53" s="2">
        <v>3918</v>
      </c>
      <c r="O53" s="2">
        <v>3937</v>
      </c>
      <c r="P53" s="2">
        <v>46033</v>
      </c>
      <c r="Q53" s="2">
        <v>100</v>
      </c>
      <c r="R53" s="2">
        <v>4603300</v>
      </c>
      <c r="S53" s="4">
        <f>SUM($R$2:R53) / SUM($R:$R)</f>
        <v>0.68263476627872044</v>
      </c>
      <c r="T53" s="3" t="str">
        <f t="shared" si="0"/>
        <v>A</v>
      </c>
      <c r="U53" s="2">
        <f t="shared" si="1"/>
        <v>3836.0833333333335</v>
      </c>
      <c r="V53" s="2">
        <f t="shared" si="2"/>
        <v>167.43056000695461</v>
      </c>
      <c r="W53" s="2">
        <f t="shared" si="3"/>
        <v>4.3646225970140014E-2</v>
      </c>
      <c r="X53" s="2" t="str">
        <f t="shared" si="4"/>
        <v>X</v>
      </c>
      <c r="Y53" s="2" t="str">
        <f t="shared" si="5"/>
        <v>AX</v>
      </c>
    </row>
    <row r="54" spans="1:25" x14ac:dyDescent="0.3">
      <c r="A54" s="2" t="s">
        <v>59</v>
      </c>
      <c r="B54" s="2" t="s">
        <v>60</v>
      </c>
      <c r="C54" s="2" t="s">
        <v>20</v>
      </c>
      <c r="D54" s="2">
        <v>3875</v>
      </c>
      <c r="E54" s="2">
        <v>3473</v>
      </c>
      <c r="F54" s="2">
        <v>3437</v>
      </c>
      <c r="G54" s="2">
        <v>3756</v>
      </c>
      <c r="H54" s="2">
        <v>4021</v>
      </c>
      <c r="I54" s="2">
        <v>3596</v>
      </c>
      <c r="J54" s="2">
        <v>3812</v>
      </c>
      <c r="K54" s="2">
        <v>3989</v>
      </c>
      <c r="L54" s="2">
        <v>3989</v>
      </c>
      <c r="M54" s="2">
        <v>3635</v>
      </c>
      <c r="N54" s="2">
        <v>3857</v>
      </c>
      <c r="O54" s="2">
        <v>4244</v>
      </c>
      <c r="P54" s="2">
        <v>45684</v>
      </c>
      <c r="Q54" s="2">
        <v>100</v>
      </c>
      <c r="R54" s="2">
        <v>4568400</v>
      </c>
      <c r="S54" s="4">
        <f>SUM($R$2:R54) / SUM($R:$R)</f>
        <v>0.68689518924908133</v>
      </c>
      <c r="T54" s="3" t="str">
        <f t="shared" si="0"/>
        <v>A</v>
      </c>
      <c r="U54" s="2">
        <f t="shared" si="1"/>
        <v>3807</v>
      </c>
      <c r="V54" s="2">
        <f t="shared" si="2"/>
        <v>240.32629334454288</v>
      </c>
      <c r="W54" s="2">
        <f t="shared" si="3"/>
        <v>6.3127473954437324E-2</v>
      </c>
      <c r="X54" s="2" t="str">
        <f t="shared" si="4"/>
        <v>X</v>
      </c>
      <c r="Y54" s="2" t="str">
        <f t="shared" si="5"/>
        <v>AX</v>
      </c>
    </row>
    <row r="55" spans="1:25" x14ac:dyDescent="0.3">
      <c r="A55" s="2" t="s">
        <v>1785</v>
      </c>
      <c r="B55" s="2" t="s">
        <v>1786</v>
      </c>
      <c r="C55" s="2" t="s">
        <v>20</v>
      </c>
      <c r="D55" s="2">
        <v>3846</v>
      </c>
      <c r="E55" s="2">
        <v>3544</v>
      </c>
      <c r="F55" s="2">
        <v>3790</v>
      </c>
      <c r="G55" s="2">
        <v>3832</v>
      </c>
      <c r="H55" s="2">
        <v>3914</v>
      </c>
      <c r="I55" s="2">
        <v>3935</v>
      </c>
      <c r="J55" s="2">
        <v>3604</v>
      </c>
      <c r="K55" s="2">
        <v>4004</v>
      </c>
      <c r="L55" s="2">
        <v>3509</v>
      </c>
      <c r="M55" s="2">
        <v>3695</v>
      </c>
      <c r="N55" s="2">
        <v>3713</v>
      </c>
      <c r="O55" s="2">
        <v>3883</v>
      </c>
      <c r="P55" s="2">
        <v>45269</v>
      </c>
      <c r="Q55" s="2">
        <v>100</v>
      </c>
      <c r="R55" s="2">
        <v>4526900</v>
      </c>
      <c r="S55" s="4">
        <f>SUM($R$2:R55) / SUM($R:$R)</f>
        <v>0.69111690992689556</v>
      </c>
      <c r="T55" s="3" t="str">
        <f t="shared" si="0"/>
        <v>A</v>
      </c>
      <c r="U55" s="2">
        <f t="shared" si="1"/>
        <v>3772.4166666666665</v>
      </c>
      <c r="V55" s="2">
        <f t="shared" si="2"/>
        <v>159.84734668559327</v>
      </c>
      <c r="W55" s="2">
        <f t="shared" si="3"/>
        <v>4.2372664742475412E-2</v>
      </c>
      <c r="X55" s="2" t="str">
        <f t="shared" si="4"/>
        <v>X</v>
      </c>
      <c r="Y55" s="2" t="str">
        <f t="shared" si="5"/>
        <v>AX</v>
      </c>
    </row>
    <row r="56" spans="1:25" x14ac:dyDescent="0.3">
      <c r="A56" s="2" t="s">
        <v>197</v>
      </c>
      <c r="B56" s="2" t="s">
        <v>198</v>
      </c>
      <c r="C56" s="2" t="s">
        <v>20</v>
      </c>
      <c r="D56" s="2">
        <v>3635</v>
      </c>
      <c r="E56" s="2">
        <v>3993</v>
      </c>
      <c r="F56" s="2">
        <v>3793</v>
      </c>
      <c r="G56" s="2">
        <v>3996</v>
      </c>
      <c r="H56" s="2">
        <v>3632</v>
      </c>
      <c r="I56" s="2">
        <v>3837</v>
      </c>
      <c r="J56" s="2">
        <v>3815</v>
      </c>
      <c r="K56" s="2">
        <v>3841</v>
      </c>
      <c r="L56" s="2">
        <v>3602</v>
      </c>
      <c r="M56" s="2">
        <v>3873</v>
      </c>
      <c r="N56" s="2">
        <v>3675</v>
      </c>
      <c r="O56" s="2">
        <v>3554</v>
      </c>
      <c r="P56" s="2">
        <v>45246</v>
      </c>
      <c r="Q56" s="2">
        <v>100</v>
      </c>
      <c r="R56" s="2">
        <v>4524600</v>
      </c>
      <c r="S56" s="4">
        <f>SUM($R$2:R56) / SUM($R:$R)</f>
        <v>0.69533648565837591</v>
      </c>
      <c r="T56" s="3" t="str">
        <f t="shared" si="0"/>
        <v>A</v>
      </c>
      <c r="U56" s="2">
        <f t="shared" si="1"/>
        <v>3770.5</v>
      </c>
      <c r="V56" s="2">
        <f t="shared" si="2"/>
        <v>149.1396538940478</v>
      </c>
      <c r="W56" s="2">
        <f t="shared" si="3"/>
        <v>3.9554343958108418E-2</v>
      </c>
      <c r="X56" s="2" t="str">
        <f t="shared" si="4"/>
        <v>X</v>
      </c>
      <c r="Y56" s="2" t="str">
        <f t="shared" si="5"/>
        <v>AX</v>
      </c>
    </row>
    <row r="57" spans="1:25" x14ac:dyDescent="0.3">
      <c r="A57" s="2" t="s">
        <v>527</v>
      </c>
      <c r="B57" s="2" t="s">
        <v>528</v>
      </c>
      <c r="C57" s="2" t="s">
        <v>20</v>
      </c>
      <c r="D57" s="2">
        <v>3476</v>
      </c>
      <c r="E57" s="2">
        <v>3942</v>
      </c>
      <c r="F57" s="2">
        <v>3829</v>
      </c>
      <c r="G57" s="2">
        <v>3824</v>
      </c>
      <c r="H57" s="2">
        <v>3620</v>
      </c>
      <c r="I57" s="2">
        <v>3628</v>
      </c>
      <c r="J57" s="2">
        <v>4033</v>
      </c>
      <c r="K57" s="2">
        <v>4109</v>
      </c>
      <c r="L57" s="2">
        <v>3329</v>
      </c>
      <c r="M57" s="2">
        <v>3807</v>
      </c>
      <c r="N57" s="2">
        <v>3820</v>
      </c>
      <c r="O57" s="2">
        <v>3628</v>
      </c>
      <c r="P57" s="2">
        <v>45045</v>
      </c>
      <c r="Q57" s="2">
        <v>100</v>
      </c>
      <c r="R57" s="2">
        <v>4504500</v>
      </c>
      <c r="S57" s="4">
        <f>SUM($R$2:R57) / SUM($R:$R)</f>
        <v>0.69953731642406858</v>
      </c>
      <c r="T57" s="3" t="str">
        <f t="shared" si="0"/>
        <v>A</v>
      </c>
      <c r="U57" s="2">
        <f t="shared" si="1"/>
        <v>3753.75</v>
      </c>
      <c r="V57" s="2">
        <f t="shared" si="2"/>
        <v>226.53842740451142</v>
      </c>
      <c r="W57" s="2">
        <f t="shared" si="3"/>
        <v>6.0349897410459256E-2</v>
      </c>
      <c r="X57" s="2" t="str">
        <f t="shared" si="4"/>
        <v>X</v>
      </c>
      <c r="Y57" s="2" t="str">
        <f t="shared" si="5"/>
        <v>AX</v>
      </c>
    </row>
    <row r="58" spans="1:25" x14ac:dyDescent="0.3">
      <c r="A58" s="2" t="s">
        <v>519</v>
      </c>
      <c r="B58" s="2" t="s">
        <v>520</v>
      </c>
      <c r="C58" s="2" t="s">
        <v>20</v>
      </c>
      <c r="D58" s="2">
        <v>3473</v>
      </c>
      <c r="E58" s="2">
        <v>3864</v>
      </c>
      <c r="F58" s="2">
        <v>3446</v>
      </c>
      <c r="G58" s="2">
        <v>3792</v>
      </c>
      <c r="H58" s="2">
        <v>3779</v>
      </c>
      <c r="I58" s="2">
        <v>3659</v>
      </c>
      <c r="J58" s="2">
        <v>3557</v>
      </c>
      <c r="K58" s="2">
        <v>4028</v>
      </c>
      <c r="L58" s="2">
        <v>3632</v>
      </c>
      <c r="M58" s="2">
        <v>3593</v>
      </c>
      <c r="N58" s="2">
        <v>3742</v>
      </c>
      <c r="O58" s="2">
        <v>3564</v>
      </c>
      <c r="P58" s="2">
        <v>44129</v>
      </c>
      <c r="Q58" s="2">
        <v>100</v>
      </c>
      <c r="R58" s="2">
        <v>4412900</v>
      </c>
      <c r="S58" s="4">
        <f>SUM($R$2:R58) / SUM($R:$R)</f>
        <v>0.70365272237054988</v>
      </c>
      <c r="T58" s="3" t="str">
        <f t="shared" si="0"/>
        <v>B</v>
      </c>
      <c r="U58" s="2">
        <f t="shared" si="1"/>
        <v>3677.4166666666665</v>
      </c>
      <c r="V58" s="2">
        <f t="shared" si="2"/>
        <v>169.91252205624855</v>
      </c>
      <c r="W58" s="2">
        <f t="shared" si="3"/>
        <v>4.6204316088626136E-2</v>
      </c>
      <c r="X58" s="2" t="str">
        <f t="shared" si="4"/>
        <v>X</v>
      </c>
      <c r="Y58" s="2" t="str">
        <f t="shared" si="5"/>
        <v>BX</v>
      </c>
    </row>
    <row r="59" spans="1:25" x14ac:dyDescent="0.3">
      <c r="A59" s="2" t="s">
        <v>857</v>
      </c>
      <c r="B59" s="2" t="s">
        <v>858</v>
      </c>
      <c r="C59" s="2" t="s">
        <v>36</v>
      </c>
      <c r="D59" s="2">
        <v>364</v>
      </c>
      <c r="E59" s="2">
        <v>373</v>
      </c>
      <c r="F59" s="2">
        <v>350</v>
      </c>
      <c r="G59" s="2">
        <v>362</v>
      </c>
      <c r="H59" s="2">
        <v>358</v>
      </c>
      <c r="I59" s="2">
        <v>377</v>
      </c>
      <c r="J59" s="2">
        <v>373</v>
      </c>
      <c r="K59" s="2">
        <v>386</v>
      </c>
      <c r="L59" s="2">
        <v>382</v>
      </c>
      <c r="M59" s="2">
        <v>350</v>
      </c>
      <c r="N59" s="2">
        <v>337</v>
      </c>
      <c r="O59" s="2">
        <v>391</v>
      </c>
      <c r="P59" s="2">
        <v>4403</v>
      </c>
      <c r="Q59" s="2">
        <v>1000</v>
      </c>
      <c r="R59" s="2">
        <v>4403000</v>
      </c>
      <c r="S59" s="4">
        <f>SUM($R$2:R59) / SUM($R:$R)</f>
        <v>0.70775889572194184</v>
      </c>
      <c r="T59" s="3" t="str">
        <f t="shared" si="0"/>
        <v>B</v>
      </c>
      <c r="U59" s="2">
        <f t="shared" si="1"/>
        <v>366.91666666666669</v>
      </c>
      <c r="V59" s="2">
        <f t="shared" si="2"/>
        <v>16.312060977489427</v>
      </c>
      <c r="W59" s="2">
        <f t="shared" si="3"/>
        <v>4.4457127351776766E-2</v>
      </c>
      <c r="X59" s="2" t="str">
        <f t="shared" si="4"/>
        <v>X</v>
      </c>
      <c r="Y59" s="2" t="str">
        <f t="shared" si="5"/>
        <v>BX</v>
      </c>
    </row>
    <row r="60" spans="1:25" x14ac:dyDescent="0.3">
      <c r="A60" s="2" t="s">
        <v>477</v>
      </c>
      <c r="B60" s="2" t="s">
        <v>478</v>
      </c>
      <c r="C60" s="2" t="s">
        <v>25</v>
      </c>
      <c r="D60" s="2">
        <v>556</v>
      </c>
      <c r="E60" s="2">
        <v>619</v>
      </c>
      <c r="F60" s="2">
        <v>694</v>
      </c>
      <c r="G60" s="2">
        <v>648</v>
      </c>
      <c r="H60" s="2">
        <v>498</v>
      </c>
      <c r="I60" s="2">
        <v>908</v>
      </c>
      <c r="J60" s="2">
        <v>684</v>
      </c>
      <c r="K60" s="2">
        <v>959</v>
      </c>
      <c r="L60" s="2">
        <v>830</v>
      </c>
      <c r="M60" s="2">
        <v>937</v>
      </c>
      <c r="N60" s="2">
        <v>703</v>
      </c>
      <c r="O60" s="2">
        <v>577</v>
      </c>
      <c r="P60" s="2">
        <v>8613</v>
      </c>
      <c r="Q60" s="2">
        <v>500</v>
      </c>
      <c r="R60" s="2">
        <v>4306500</v>
      </c>
      <c r="S60" s="4">
        <f>SUM($R$2:R60) / SUM($R:$R)</f>
        <v>0.71177507458584588</v>
      </c>
      <c r="T60" s="3" t="str">
        <f t="shared" si="0"/>
        <v>B</v>
      </c>
      <c r="U60" s="2">
        <f t="shared" si="1"/>
        <v>717.75</v>
      </c>
      <c r="V60" s="2">
        <f t="shared" si="2"/>
        <v>155.46652665153007</v>
      </c>
      <c r="W60" s="2">
        <f t="shared" si="3"/>
        <v>0.21660261463118088</v>
      </c>
      <c r="X60" s="2" t="str">
        <f t="shared" si="4"/>
        <v>Y</v>
      </c>
      <c r="Y60" s="2" t="str">
        <f t="shared" si="5"/>
        <v>BY</v>
      </c>
    </row>
    <row r="61" spans="1:25" x14ac:dyDescent="0.3">
      <c r="A61" s="2" t="s">
        <v>417</v>
      </c>
      <c r="B61" s="2" t="s">
        <v>418</v>
      </c>
      <c r="C61" s="2" t="s">
        <v>20</v>
      </c>
      <c r="D61" s="2">
        <v>2986</v>
      </c>
      <c r="E61" s="2">
        <v>3291</v>
      </c>
      <c r="F61" s="2">
        <v>3494</v>
      </c>
      <c r="G61" s="2">
        <v>3433</v>
      </c>
      <c r="H61" s="2">
        <v>3595</v>
      </c>
      <c r="I61" s="2">
        <v>3386</v>
      </c>
      <c r="J61" s="2">
        <v>3468</v>
      </c>
      <c r="K61" s="2">
        <v>3308</v>
      </c>
      <c r="L61" s="2">
        <v>3541</v>
      </c>
      <c r="M61" s="2">
        <v>3131</v>
      </c>
      <c r="N61" s="2">
        <v>3269</v>
      </c>
      <c r="O61" s="2">
        <v>3179</v>
      </c>
      <c r="P61" s="2">
        <v>40081</v>
      </c>
      <c r="Q61" s="2">
        <v>100</v>
      </c>
      <c r="R61" s="2">
        <v>4008100</v>
      </c>
      <c r="S61" s="4">
        <f>SUM($R$2:R61) / SUM($R:$R)</f>
        <v>0.7155129699775592</v>
      </c>
      <c r="T61" s="3" t="str">
        <f t="shared" si="0"/>
        <v>B</v>
      </c>
      <c r="U61" s="2">
        <f t="shared" si="1"/>
        <v>3340.0833333333335</v>
      </c>
      <c r="V61" s="2">
        <f t="shared" si="2"/>
        <v>180.82510803804237</v>
      </c>
      <c r="W61" s="2">
        <f t="shared" si="3"/>
        <v>5.4137903157518735E-2</v>
      </c>
      <c r="X61" s="2" t="str">
        <f t="shared" si="4"/>
        <v>X</v>
      </c>
      <c r="Y61" s="2" t="str">
        <f t="shared" si="5"/>
        <v>BX</v>
      </c>
    </row>
    <row r="62" spans="1:25" x14ac:dyDescent="0.3">
      <c r="A62" s="2" t="s">
        <v>269</v>
      </c>
      <c r="B62" s="2" t="s">
        <v>270</v>
      </c>
      <c r="C62" s="2" t="s">
        <v>20</v>
      </c>
      <c r="D62" s="2">
        <v>2824</v>
      </c>
      <c r="E62" s="2">
        <v>3453</v>
      </c>
      <c r="F62" s="2">
        <v>3313</v>
      </c>
      <c r="G62" s="2">
        <v>3313</v>
      </c>
      <c r="H62" s="2">
        <v>3285</v>
      </c>
      <c r="I62" s="2">
        <v>3517</v>
      </c>
      <c r="J62" s="2">
        <v>3369</v>
      </c>
      <c r="K62" s="2">
        <v>3207</v>
      </c>
      <c r="L62" s="2">
        <v>3378</v>
      </c>
      <c r="M62" s="2">
        <v>3310</v>
      </c>
      <c r="N62" s="2">
        <v>3397</v>
      </c>
      <c r="O62" s="2">
        <v>3576</v>
      </c>
      <c r="P62" s="2">
        <v>39942</v>
      </c>
      <c r="Q62" s="2">
        <v>100</v>
      </c>
      <c r="R62" s="2">
        <v>3994200</v>
      </c>
      <c r="S62" s="4">
        <f>SUM($R$2:R62) / SUM($R:$R)</f>
        <v>0.71923790243273289</v>
      </c>
      <c r="T62" s="3" t="str">
        <f t="shared" si="0"/>
        <v>B</v>
      </c>
      <c r="U62" s="2">
        <f t="shared" si="1"/>
        <v>3328.5</v>
      </c>
      <c r="V62" s="2">
        <f t="shared" si="2"/>
        <v>189.03318611964792</v>
      </c>
      <c r="W62" s="2">
        <f t="shared" si="3"/>
        <v>5.6792304677677007E-2</v>
      </c>
      <c r="X62" s="2" t="str">
        <f t="shared" si="4"/>
        <v>X</v>
      </c>
      <c r="Y62" s="2" t="str">
        <f t="shared" si="5"/>
        <v>BX</v>
      </c>
    </row>
    <row r="63" spans="1:25" x14ac:dyDescent="0.3">
      <c r="A63" s="2" t="s">
        <v>1181</v>
      </c>
      <c r="B63" s="2" t="s">
        <v>1182</v>
      </c>
      <c r="C63" s="2" t="s">
        <v>20</v>
      </c>
      <c r="D63" s="2">
        <v>3388</v>
      </c>
      <c r="E63" s="2">
        <v>3398</v>
      </c>
      <c r="F63" s="2">
        <v>3390</v>
      </c>
      <c r="G63" s="2">
        <v>3435</v>
      </c>
      <c r="H63" s="2">
        <v>3042</v>
      </c>
      <c r="I63" s="2">
        <v>3413</v>
      </c>
      <c r="J63" s="2">
        <v>3084</v>
      </c>
      <c r="K63" s="2">
        <v>3462</v>
      </c>
      <c r="L63" s="2">
        <v>3409</v>
      </c>
      <c r="M63" s="2">
        <v>3026</v>
      </c>
      <c r="N63" s="2">
        <v>3367</v>
      </c>
      <c r="O63" s="2">
        <v>3142</v>
      </c>
      <c r="P63" s="2">
        <v>39556</v>
      </c>
      <c r="Q63" s="2">
        <v>100</v>
      </c>
      <c r="R63" s="2">
        <v>3955600</v>
      </c>
      <c r="S63" s="4">
        <f>SUM($R$2:R63) / SUM($R:$R)</f>
        <v>0.72292683709291139</v>
      </c>
      <c r="T63" s="3" t="str">
        <f t="shared" si="0"/>
        <v>B</v>
      </c>
      <c r="U63" s="2">
        <f t="shared" si="1"/>
        <v>3296.3333333333335</v>
      </c>
      <c r="V63" s="2">
        <f t="shared" si="2"/>
        <v>168.45681039868043</v>
      </c>
      <c r="W63" s="2">
        <f t="shared" si="3"/>
        <v>5.110430085914059E-2</v>
      </c>
      <c r="X63" s="2" t="str">
        <f t="shared" si="4"/>
        <v>X</v>
      </c>
      <c r="Y63" s="2" t="str">
        <f t="shared" si="5"/>
        <v>BX</v>
      </c>
    </row>
    <row r="64" spans="1:25" x14ac:dyDescent="0.3">
      <c r="A64" s="2" t="s">
        <v>1459</v>
      </c>
      <c r="B64" s="2" t="s">
        <v>1460</v>
      </c>
      <c r="C64" s="2" t="s">
        <v>20</v>
      </c>
      <c r="D64" s="2">
        <v>3200</v>
      </c>
      <c r="E64" s="2">
        <v>3539</v>
      </c>
      <c r="F64" s="2">
        <v>2890</v>
      </c>
      <c r="G64" s="2">
        <v>2840</v>
      </c>
      <c r="H64" s="2">
        <v>3610</v>
      </c>
      <c r="I64" s="2">
        <v>3135</v>
      </c>
      <c r="J64" s="2">
        <v>3254</v>
      </c>
      <c r="K64" s="2">
        <v>3207</v>
      </c>
      <c r="L64" s="2">
        <v>3384</v>
      </c>
      <c r="M64" s="2">
        <v>3345</v>
      </c>
      <c r="N64" s="2">
        <v>3277</v>
      </c>
      <c r="O64" s="2">
        <v>3558</v>
      </c>
      <c r="P64" s="2">
        <v>39239</v>
      </c>
      <c r="Q64" s="2">
        <v>100</v>
      </c>
      <c r="R64" s="2">
        <v>3923900</v>
      </c>
      <c r="S64" s="4">
        <f>SUM($R$2:R64) / SUM($R:$R)</f>
        <v>0.72658620879709634</v>
      </c>
      <c r="T64" s="3" t="str">
        <f t="shared" si="0"/>
        <v>B</v>
      </c>
      <c r="U64" s="2">
        <f t="shared" si="1"/>
        <v>3269.9166666666665</v>
      </c>
      <c r="V64" s="2">
        <f t="shared" si="2"/>
        <v>242.37928891918489</v>
      </c>
      <c r="W64" s="2">
        <f t="shared" si="3"/>
        <v>7.4123995693830602E-2</v>
      </c>
      <c r="X64" s="2" t="str">
        <f t="shared" si="4"/>
        <v>X</v>
      </c>
      <c r="Y64" s="2" t="str">
        <f t="shared" si="5"/>
        <v>BX</v>
      </c>
    </row>
    <row r="65" spans="1:25" x14ac:dyDescent="0.3">
      <c r="A65" s="2" t="s">
        <v>617</v>
      </c>
      <c r="B65" s="2" t="s">
        <v>618</v>
      </c>
      <c r="C65" s="2" t="s">
        <v>20</v>
      </c>
      <c r="D65" s="2">
        <v>2958</v>
      </c>
      <c r="E65" s="2">
        <v>3196</v>
      </c>
      <c r="F65" s="2">
        <v>3009</v>
      </c>
      <c r="G65" s="2">
        <v>3437</v>
      </c>
      <c r="H65" s="2">
        <v>3174</v>
      </c>
      <c r="I65" s="2">
        <v>3076</v>
      </c>
      <c r="J65" s="2">
        <v>3453</v>
      </c>
      <c r="K65" s="2">
        <v>3220</v>
      </c>
      <c r="L65" s="2">
        <v>3334</v>
      </c>
      <c r="M65" s="2">
        <v>3454</v>
      </c>
      <c r="N65" s="2">
        <v>3220</v>
      </c>
      <c r="O65" s="2">
        <v>3566</v>
      </c>
      <c r="P65" s="2">
        <v>39097</v>
      </c>
      <c r="Q65" s="2">
        <v>100</v>
      </c>
      <c r="R65" s="2">
        <v>3909700</v>
      </c>
      <c r="S65" s="4">
        <f>SUM($R$2:R65) / SUM($R:$R)</f>
        <v>0.73023233778913299</v>
      </c>
      <c r="T65" s="3" t="str">
        <f t="shared" si="0"/>
        <v>B</v>
      </c>
      <c r="U65" s="2">
        <f t="shared" si="1"/>
        <v>3258.0833333333335</v>
      </c>
      <c r="V65" s="2">
        <f t="shared" si="2"/>
        <v>192.59824332878361</v>
      </c>
      <c r="W65" s="2">
        <f t="shared" si="3"/>
        <v>5.9113970891510943E-2</v>
      </c>
      <c r="X65" s="2" t="str">
        <f t="shared" si="4"/>
        <v>X</v>
      </c>
      <c r="Y65" s="2" t="str">
        <f t="shared" si="5"/>
        <v>BX</v>
      </c>
    </row>
    <row r="66" spans="1:25" x14ac:dyDescent="0.3">
      <c r="A66" s="2" t="s">
        <v>309</v>
      </c>
      <c r="B66" s="2" t="s">
        <v>310</v>
      </c>
      <c r="C66" s="2" t="s">
        <v>20</v>
      </c>
      <c r="D66" s="2">
        <v>3109</v>
      </c>
      <c r="E66" s="2">
        <v>3079</v>
      </c>
      <c r="F66" s="2">
        <v>3148</v>
      </c>
      <c r="G66" s="2">
        <v>3197</v>
      </c>
      <c r="H66" s="2">
        <v>3623</v>
      </c>
      <c r="I66" s="2">
        <v>3402</v>
      </c>
      <c r="J66" s="2">
        <v>3442</v>
      </c>
      <c r="K66" s="2">
        <v>3158</v>
      </c>
      <c r="L66" s="2">
        <v>2983</v>
      </c>
      <c r="M66" s="2">
        <v>3249</v>
      </c>
      <c r="N66" s="2">
        <v>3148</v>
      </c>
      <c r="O66" s="2">
        <v>3457</v>
      </c>
      <c r="P66" s="2">
        <v>38995</v>
      </c>
      <c r="Q66" s="2">
        <v>100</v>
      </c>
      <c r="R66" s="2">
        <v>3899500</v>
      </c>
      <c r="S66" s="4">
        <f>SUM($R$2:R66) / SUM($R:$R)</f>
        <v>0.73386895441047129</v>
      </c>
      <c r="T66" s="3" t="str">
        <f t="shared" si="0"/>
        <v>B</v>
      </c>
      <c r="U66" s="2">
        <f t="shared" si="1"/>
        <v>3249.5833333333335</v>
      </c>
      <c r="V66" s="2">
        <f t="shared" si="2"/>
        <v>189.36182697458196</v>
      </c>
      <c r="W66" s="2">
        <f t="shared" si="3"/>
        <v>5.8272648382997394E-2</v>
      </c>
      <c r="X66" s="2" t="str">
        <f t="shared" si="4"/>
        <v>X</v>
      </c>
      <c r="Y66" s="2" t="str">
        <f t="shared" si="5"/>
        <v>BX</v>
      </c>
    </row>
    <row r="67" spans="1:25" x14ac:dyDescent="0.3">
      <c r="A67" s="2" t="s">
        <v>1861</v>
      </c>
      <c r="B67" s="2" t="s">
        <v>1862</v>
      </c>
      <c r="C67" s="2" t="s">
        <v>20</v>
      </c>
      <c r="D67" s="2">
        <v>3349</v>
      </c>
      <c r="E67" s="2">
        <v>3122</v>
      </c>
      <c r="F67" s="2">
        <v>3252</v>
      </c>
      <c r="G67" s="2">
        <v>3040</v>
      </c>
      <c r="H67" s="2">
        <v>3123</v>
      </c>
      <c r="I67" s="2">
        <v>2816</v>
      </c>
      <c r="J67" s="2">
        <v>3129</v>
      </c>
      <c r="K67" s="2">
        <v>3157</v>
      </c>
      <c r="L67" s="2">
        <v>3339</v>
      </c>
      <c r="M67" s="2">
        <v>3246</v>
      </c>
      <c r="N67" s="2">
        <v>3102</v>
      </c>
      <c r="O67" s="2">
        <v>3316</v>
      </c>
      <c r="P67" s="2">
        <v>37991</v>
      </c>
      <c r="Q67" s="2">
        <v>100</v>
      </c>
      <c r="R67" s="2">
        <v>3799100</v>
      </c>
      <c r="S67" s="4">
        <f>SUM($R$2:R67) / SUM($R:$R)</f>
        <v>0.73741193946140771</v>
      </c>
      <c r="T67" s="3" t="str">
        <f t="shared" ref="T67:T130" si="6">IF(S67&lt;=0.7, "A", IF(S67&lt;=0.9, "B", "C"))</f>
        <v>B</v>
      </c>
      <c r="U67" s="2">
        <f t="shared" ref="U67:U130" si="7">AVERAGE(D67:O67)</f>
        <v>3165.9166666666665</v>
      </c>
      <c r="V67" s="2">
        <f t="shared" ref="V67:V130" si="8">_xlfn.STDEV.S(D67:O67)</f>
        <v>149.97603343888184</v>
      </c>
      <c r="W67" s="2">
        <f t="shared" ref="W67:W130" si="9">IF(U67=0,0,V67/U67)</f>
        <v>4.7372072366259961E-2</v>
      </c>
      <c r="X67" s="2" t="str">
        <f t="shared" ref="X67:X130" si="10">(IF(W67&lt;=0.2, "X", IF(W67&lt;=0.5, "Y", "Z")))</f>
        <v>X</v>
      </c>
      <c r="Y67" s="2" t="str">
        <f t="shared" ref="Y67:Y130" si="11">T67&amp;X67</f>
        <v>BX</v>
      </c>
    </row>
    <row r="68" spans="1:25" x14ac:dyDescent="0.3">
      <c r="A68" s="2" t="s">
        <v>751</v>
      </c>
      <c r="B68" s="2" t="s">
        <v>752</v>
      </c>
      <c r="C68" s="2" t="s">
        <v>56</v>
      </c>
      <c r="D68" s="2">
        <v>282</v>
      </c>
      <c r="E68" s="2">
        <v>327</v>
      </c>
      <c r="F68" s="2">
        <v>299</v>
      </c>
      <c r="G68" s="2">
        <v>298</v>
      </c>
      <c r="H68" s="2">
        <v>298</v>
      </c>
      <c r="I68" s="2">
        <v>345</v>
      </c>
      <c r="J68" s="2">
        <v>333</v>
      </c>
      <c r="K68" s="2">
        <v>324</v>
      </c>
      <c r="L68" s="2">
        <v>320</v>
      </c>
      <c r="M68" s="2">
        <v>315</v>
      </c>
      <c r="N68" s="2">
        <v>309</v>
      </c>
      <c r="O68" s="2">
        <v>314</v>
      </c>
      <c r="P68" s="2">
        <v>3764</v>
      </c>
      <c r="Q68" s="2">
        <v>1000</v>
      </c>
      <c r="R68" s="2">
        <v>3764000</v>
      </c>
      <c r="S68" s="4">
        <f>SUM($R$2:R68) / SUM($R:$R)</f>
        <v>0.74092219076611798</v>
      </c>
      <c r="T68" s="3" t="str">
        <f t="shared" si="6"/>
        <v>B</v>
      </c>
      <c r="U68" s="2">
        <f t="shared" si="7"/>
        <v>313.66666666666669</v>
      </c>
      <c r="V68" s="2">
        <f t="shared" si="8"/>
        <v>17.613699902133686</v>
      </c>
      <c r="W68" s="2">
        <f t="shared" si="9"/>
        <v>5.6154197350054252E-2</v>
      </c>
      <c r="X68" s="2" t="str">
        <f t="shared" si="10"/>
        <v>X</v>
      </c>
      <c r="Y68" s="2" t="str">
        <f t="shared" si="11"/>
        <v>BX</v>
      </c>
    </row>
    <row r="69" spans="1:25" x14ac:dyDescent="0.3">
      <c r="A69" s="2" t="s">
        <v>1857</v>
      </c>
      <c r="B69" s="2" t="s">
        <v>1858</v>
      </c>
      <c r="C69" s="2" t="s">
        <v>20</v>
      </c>
      <c r="D69" s="2">
        <v>2966</v>
      </c>
      <c r="E69" s="2">
        <v>2816</v>
      </c>
      <c r="F69" s="2">
        <v>2996</v>
      </c>
      <c r="G69" s="2">
        <v>3321</v>
      </c>
      <c r="H69" s="2">
        <v>3193</v>
      </c>
      <c r="I69" s="2">
        <v>3088</v>
      </c>
      <c r="J69" s="2">
        <v>2772</v>
      </c>
      <c r="K69" s="2">
        <v>3148</v>
      </c>
      <c r="L69" s="2">
        <v>2946</v>
      </c>
      <c r="M69" s="2">
        <v>2900</v>
      </c>
      <c r="N69" s="2">
        <v>3292</v>
      </c>
      <c r="O69" s="2">
        <v>2980</v>
      </c>
      <c r="P69" s="2">
        <v>36418</v>
      </c>
      <c r="Q69" s="2">
        <v>100</v>
      </c>
      <c r="R69" s="2">
        <v>3641800</v>
      </c>
      <c r="S69" s="4">
        <f>SUM($R$2:R69) / SUM($R:$R)</f>
        <v>0.74431848013952218</v>
      </c>
      <c r="T69" s="3" t="str">
        <f t="shared" si="6"/>
        <v>B</v>
      </c>
      <c r="U69" s="2">
        <f t="shared" si="7"/>
        <v>3034.8333333333335</v>
      </c>
      <c r="V69" s="2">
        <f t="shared" si="8"/>
        <v>176.06033745350607</v>
      </c>
      <c r="W69" s="2">
        <f t="shared" si="9"/>
        <v>5.8013181653085638E-2</v>
      </c>
      <c r="X69" s="2" t="str">
        <f t="shared" si="10"/>
        <v>X</v>
      </c>
      <c r="Y69" s="2" t="str">
        <f t="shared" si="11"/>
        <v>BX</v>
      </c>
    </row>
    <row r="70" spans="1:25" x14ac:dyDescent="0.3">
      <c r="A70" s="2" t="s">
        <v>87</v>
      </c>
      <c r="B70" s="2" t="s">
        <v>88</v>
      </c>
      <c r="C70" s="2" t="s">
        <v>20</v>
      </c>
      <c r="D70" s="2">
        <v>2906</v>
      </c>
      <c r="E70" s="2">
        <v>2662</v>
      </c>
      <c r="F70" s="2">
        <v>2691</v>
      </c>
      <c r="G70" s="2">
        <v>3216</v>
      </c>
      <c r="H70" s="2">
        <v>2637</v>
      </c>
      <c r="I70" s="2">
        <v>3068</v>
      </c>
      <c r="J70" s="2">
        <v>3159</v>
      </c>
      <c r="K70" s="2">
        <v>2626</v>
      </c>
      <c r="L70" s="2">
        <v>3148</v>
      </c>
      <c r="M70" s="2">
        <v>2786</v>
      </c>
      <c r="N70" s="2">
        <v>3045</v>
      </c>
      <c r="O70" s="2">
        <v>2778</v>
      </c>
      <c r="P70" s="2">
        <v>34722</v>
      </c>
      <c r="Q70" s="2">
        <v>100</v>
      </c>
      <c r="R70" s="2">
        <v>3472200</v>
      </c>
      <c r="S70" s="4">
        <f>SUM($R$2:R70) / SUM($R:$R)</f>
        <v>0.74755660303543481</v>
      </c>
      <c r="T70" s="3" t="str">
        <f t="shared" si="6"/>
        <v>B</v>
      </c>
      <c r="U70" s="2">
        <f t="shared" si="7"/>
        <v>2893.5</v>
      </c>
      <c r="V70" s="2">
        <f t="shared" si="8"/>
        <v>223.5395023053176</v>
      </c>
      <c r="W70" s="2">
        <f t="shared" si="9"/>
        <v>7.7255746433494935E-2</v>
      </c>
      <c r="X70" s="2" t="str">
        <f t="shared" si="10"/>
        <v>X</v>
      </c>
      <c r="Y70" s="2" t="str">
        <f t="shared" si="11"/>
        <v>BX</v>
      </c>
    </row>
    <row r="71" spans="1:25" x14ac:dyDescent="0.3">
      <c r="A71" s="2" t="s">
        <v>1141</v>
      </c>
      <c r="B71" s="2" t="s">
        <v>1142</v>
      </c>
      <c r="C71" s="2" t="s">
        <v>20</v>
      </c>
      <c r="D71" s="2">
        <v>3060</v>
      </c>
      <c r="E71" s="2">
        <v>3131</v>
      </c>
      <c r="F71" s="2">
        <v>2620</v>
      </c>
      <c r="G71" s="2">
        <v>2620</v>
      </c>
      <c r="H71" s="2">
        <v>2669</v>
      </c>
      <c r="I71" s="2">
        <v>2755</v>
      </c>
      <c r="J71" s="2">
        <v>3456</v>
      </c>
      <c r="K71" s="2">
        <v>2829</v>
      </c>
      <c r="L71" s="2">
        <v>2787</v>
      </c>
      <c r="M71" s="2">
        <v>2990</v>
      </c>
      <c r="N71" s="2">
        <v>2867</v>
      </c>
      <c r="O71" s="2">
        <v>2560</v>
      </c>
      <c r="P71" s="2">
        <v>34344</v>
      </c>
      <c r="Q71" s="2">
        <v>100</v>
      </c>
      <c r="R71" s="2">
        <v>3434400</v>
      </c>
      <c r="S71" s="4">
        <f>SUM($R$2:R71) / SUM($R:$R)</f>
        <v>0.75075947420464229</v>
      </c>
      <c r="T71" s="3" t="str">
        <f t="shared" si="6"/>
        <v>B</v>
      </c>
      <c r="U71" s="2">
        <f t="shared" si="7"/>
        <v>2862</v>
      </c>
      <c r="V71" s="2">
        <f t="shared" si="8"/>
        <v>260.16672975752931</v>
      </c>
      <c r="W71" s="2">
        <f t="shared" si="9"/>
        <v>9.0903818922966215E-2</v>
      </c>
      <c r="X71" s="2" t="str">
        <f t="shared" si="10"/>
        <v>X</v>
      </c>
      <c r="Y71" s="2" t="str">
        <f t="shared" si="11"/>
        <v>BX</v>
      </c>
    </row>
    <row r="72" spans="1:25" x14ac:dyDescent="0.3">
      <c r="A72" s="2" t="s">
        <v>75</v>
      </c>
      <c r="B72" s="2" t="s">
        <v>76</v>
      </c>
      <c r="C72" s="2" t="s">
        <v>20</v>
      </c>
      <c r="D72" s="2">
        <v>3016</v>
      </c>
      <c r="E72" s="2">
        <v>2727</v>
      </c>
      <c r="F72" s="2">
        <v>2746</v>
      </c>
      <c r="G72" s="2">
        <v>2880</v>
      </c>
      <c r="H72" s="2">
        <v>2881</v>
      </c>
      <c r="I72" s="2">
        <v>2833</v>
      </c>
      <c r="J72" s="2">
        <v>2674</v>
      </c>
      <c r="K72" s="2">
        <v>2667</v>
      </c>
      <c r="L72" s="2">
        <v>2816</v>
      </c>
      <c r="M72" s="2">
        <v>2974</v>
      </c>
      <c r="N72" s="2">
        <v>2765</v>
      </c>
      <c r="O72" s="2">
        <v>2956</v>
      </c>
      <c r="P72" s="2">
        <v>33935</v>
      </c>
      <c r="Q72" s="2">
        <v>100</v>
      </c>
      <c r="R72" s="2">
        <v>3393500</v>
      </c>
      <c r="S72" s="4">
        <f>SUM($R$2:R72) / SUM($R:$R)</f>
        <v>0.75392420263252058</v>
      </c>
      <c r="T72" s="3" t="str">
        <f t="shared" si="6"/>
        <v>B</v>
      </c>
      <c r="U72" s="2">
        <f t="shared" si="7"/>
        <v>2827.9166666666665</v>
      </c>
      <c r="V72" s="2">
        <f t="shared" si="8"/>
        <v>116.48523771732025</v>
      </c>
      <c r="W72" s="2">
        <f t="shared" si="9"/>
        <v>4.1191184694499575E-2</v>
      </c>
      <c r="X72" s="2" t="str">
        <f t="shared" si="10"/>
        <v>X</v>
      </c>
      <c r="Y72" s="2" t="str">
        <f t="shared" si="11"/>
        <v>BX</v>
      </c>
    </row>
    <row r="73" spans="1:25" x14ac:dyDescent="0.3">
      <c r="A73" s="2" t="s">
        <v>1525</v>
      </c>
      <c r="B73" s="2" t="s">
        <v>1526</v>
      </c>
      <c r="C73" s="2" t="s">
        <v>56</v>
      </c>
      <c r="D73" s="2">
        <v>288</v>
      </c>
      <c r="E73" s="2">
        <v>284</v>
      </c>
      <c r="F73" s="2">
        <v>282</v>
      </c>
      <c r="G73" s="2">
        <v>297</v>
      </c>
      <c r="H73" s="2">
        <v>280</v>
      </c>
      <c r="I73" s="2">
        <v>270</v>
      </c>
      <c r="J73" s="2">
        <v>261</v>
      </c>
      <c r="K73" s="2">
        <v>271</v>
      </c>
      <c r="L73" s="2">
        <v>286</v>
      </c>
      <c r="M73" s="2">
        <v>247</v>
      </c>
      <c r="N73" s="2">
        <v>271</v>
      </c>
      <c r="O73" s="2">
        <v>248</v>
      </c>
      <c r="P73" s="2">
        <v>3285</v>
      </c>
      <c r="Q73" s="2">
        <v>1000</v>
      </c>
      <c r="R73" s="2">
        <v>3285000</v>
      </c>
      <c r="S73" s="4">
        <f>SUM($R$2:R73) / SUM($R:$R)</f>
        <v>0.75698774554856019</v>
      </c>
      <c r="T73" s="3" t="str">
        <f t="shared" si="6"/>
        <v>B</v>
      </c>
      <c r="U73" s="2">
        <f t="shared" si="7"/>
        <v>273.75</v>
      </c>
      <c r="V73" s="2">
        <f t="shared" si="8"/>
        <v>15.597931098240386</v>
      </c>
      <c r="W73" s="2">
        <f t="shared" si="9"/>
        <v>5.6978743737864421E-2</v>
      </c>
      <c r="X73" s="2" t="str">
        <f t="shared" si="10"/>
        <v>X</v>
      </c>
      <c r="Y73" s="2" t="str">
        <f t="shared" si="11"/>
        <v>BX</v>
      </c>
    </row>
    <row r="74" spans="1:25" x14ac:dyDescent="0.3">
      <c r="A74" s="2" t="s">
        <v>1771</v>
      </c>
      <c r="B74" s="2" t="s">
        <v>1772</v>
      </c>
      <c r="C74" s="2" t="s">
        <v>20</v>
      </c>
      <c r="D74" s="2">
        <v>3051</v>
      </c>
      <c r="E74" s="2">
        <v>2504</v>
      </c>
      <c r="F74" s="2">
        <v>2796</v>
      </c>
      <c r="G74" s="2">
        <v>3004</v>
      </c>
      <c r="H74" s="2">
        <v>2329</v>
      </c>
      <c r="I74" s="2">
        <v>2478</v>
      </c>
      <c r="J74" s="2">
        <v>2478</v>
      </c>
      <c r="K74" s="2">
        <v>2749</v>
      </c>
      <c r="L74" s="2">
        <v>2812</v>
      </c>
      <c r="M74" s="2">
        <v>3198</v>
      </c>
      <c r="N74" s="2">
        <v>2671</v>
      </c>
      <c r="O74" s="2">
        <v>2730</v>
      </c>
      <c r="P74" s="2">
        <v>32800</v>
      </c>
      <c r="Q74" s="2">
        <v>100</v>
      </c>
      <c r="R74" s="2">
        <v>3280000</v>
      </c>
      <c r="S74" s="4">
        <f>SUM($R$2:R74) / SUM($R:$R)</f>
        <v>0.76004662553778701</v>
      </c>
      <c r="T74" s="3" t="str">
        <f t="shared" si="6"/>
        <v>B</v>
      </c>
      <c r="U74" s="2">
        <f t="shared" si="7"/>
        <v>2733.3333333333335</v>
      </c>
      <c r="V74" s="2">
        <f t="shared" si="8"/>
        <v>261.25826070744404</v>
      </c>
      <c r="W74" s="2">
        <f t="shared" si="9"/>
        <v>9.5582290502723419E-2</v>
      </c>
      <c r="X74" s="2" t="str">
        <f t="shared" si="10"/>
        <v>X</v>
      </c>
      <c r="Y74" s="2" t="str">
        <f t="shared" si="11"/>
        <v>BX</v>
      </c>
    </row>
    <row r="75" spans="1:25" x14ac:dyDescent="0.3">
      <c r="A75" s="2" t="s">
        <v>1989</v>
      </c>
      <c r="B75" s="2" t="s">
        <v>1990</v>
      </c>
      <c r="C75" s="2" t="s">
        <v>20</v>
      </c>
      <c r="D75" s="2">
        <v>2756</v>
      </c>
      <c r="E75" s="2">
        <v>3212</v>
      </c>
      <c r="F75" s="2">
        <v>2726</v>
      </c>
      <c r="G75" s="2">
        <v>2302</v>
      </c>
      <c r="H75" s="2">
        <v>2803</v>
      </c>
      <c r="I75" s="2">
        <v>2215</v>
      </c>
      <c r="J75" s="2">
        <v>2689</v>
      </c>
      <c r="K75" s="2">
        <v>2663</v>
      </c>
      <c r="L75" s="2">
        <v>3082</v>
      </c>
      <c r="M75" s="2">
        <v>2490</v>
      </c>
      <c r="N75" s="2">
        <v>2566</v>
      </c>
      <c r="O75" s="2">
        <v>2655</v>
      </c>
      <c r="P75" s="2">
        <v>32159</v>
      </c>
      <c r="Q75" s="2">
        <v>100</v>
      </c>
      <c r="R75" s="2">
        <v>3215900</v>
      </c>
      <c r="S75" s="4">
        <f>SUM($R$2:R75) / SUM($R:$R)</f>
        <v>0.76304572680527305</v>
      </c>
      <c r="T75" s="3" t="str">
        <f t="shared" si="6"/>
        <v>B</v>
      </c>
      <c r="U75" s="2">
        <f t="shared" si="7"/>
        <v>2679.9166666666665</v>
      </c>
      <c r="V75" s="2">
        <f t="shared" si="8"/>
        <v>282.3358600652569</v>
      </c>
      <c r="W75" s="2">
        <f t="shared" si="9"/>
        <v>0.10535247740237827</v>
      </c>
      <c r="X75" s="2" t="str">
        <f t="shared" si="10"/>
        <v>X</v>
      </c>
      <c r="Y75" s="2" t="str">
        <f t="shared" si="11"/>
        <v>BX</v>
      </c>
    </row>
    <row r="76" spans="1:25" x14ac:dyDescent="0.3">
      <c r="A76" s="2" t="s">
        <v>1289</v>
      </c>
      <c r="B76" s="2" t="s">
        <v>1290</v>
      </c>
      <c r="C76" s="2" t="s">
        <v>25</v>
      </c>
      <c r="D76" s="2">
        <v>701</v>
      </c>
      <c r="E76" s="2">
        <v>558</v>
      </c>
      <c r="F76" s="2">
        <v>222</v>
      </c>
      <c r="G76" s="2">
        <v>660</v>
      </c>
      <c r="H76" s="2">
        <v>473</v>
      </c>
      <c r="I76" s="2">
        <v>486</v>
      </c>
      <c r="J76" s="2">
        <v>580</v>
      </c>
      <c r="K76" s="2">
        <v>548</v>
      </c>
      <c r="L76" s="2">
        <v>569</v>
      </c>
      <c r="M76" s="2">
        <v>721</v>
      </c>
      <c r="N76" s="2">
        <v>655</v>
      </c>
      <c r="O76" s="2">
        <v>236</v>
      </c>
      <c r="P76" s="2">
        <v>6409</v>
      </c>
      <c r="Q76" s="2">
        <v>500</v>
      </c>
      <c r="R76" s="2">
        <v>3204500</v>
      </c>
      <c r="S76" s="4">
        <f>SUM($R$2:R76) / SUM($R:$R)</f>
        <v>0.76603419659962591</v>
      </c>
      <c r="T76" s="3" t="str">
        <f t="shared" si="6"/>
        <v>B</v>
      </c>
      <c r="U76" s="2">
        <f t="shared" si="7"/>
        <v>534.08333333333337</v>
      </c>
      <c r="V76" s="2">
        <f t="shared" si="8"/>
        <v>162.27387530363782</v>
      </c>
      <c r="W76" s="2">
        <f t="shared" si="9"/>
        <v>0.30383624647271862</v>
      </c>
      <c r="X76" s="2" t="str">
        <f t="shared" si="10"/>
        <v>Y</v>
      </c>
      <c r="Y76" s="2" t="str">
        <f t="shared" si="11"/>
        <v>BY</v>
      </c>
    </row>
    <row r="77" spans="1:25" x14ac:dyDescent="0.3">
      <c r="A77" s="2" t="s">
        <v>285</v>
      </c>
      <c r="B77" s="2" t="s">
        <v>286</v>
      </c>
      <c r="C77" s="2" t="s">
        <v>20</v>
      </c>
      <c r="D77" s="2">
        <v>2456</v>
      </c>
      <c r="E77" s="2">
        <v>2535</v>
      </c>
      <c r="F77" s="2">
        <v>2720</v>
      </c>
      <c r="G77" s="2">
        <v>2627</v>
      </c>
      <c r="H77" s="2">
        <v>2927</v>
      </c>
      <c r="I77" s="2">
        <v>2549</v>
      </c>
      <c r="J77" s="2">
        <v>2568</v>
      </c>
      <c r="K77" s="2">
        <v>2114</v>
      </c>
      <c r="L77" s="2">
        <v>2630</v>
      </c>
      <c r="M77" s="2">
        <v>2653</v>
      </c>
      <c r="N77" s="2">
        <v>2467</v>
      </c>
      <c r="O77" s="2">
        <v>2664</v>
      </c>
      <c r="P77" s="2">
        <v>30910</v>
      </c>
      <c r="Q77" s="2">
        <v>100</v>
      </c>
      <c r="R77" s="2">
        <v>3091000</v>
      </c>
      <c r="S77" s="4">
        <f>SUM($R$2:R77) / SUM($R:$R)</f>
        <v>0.76891681795532707</v>
      </c>
      <c r="T77" s="3" t="str">
        <f t="shared" si="6"/>
        <v>B</v>
      </c>
      <c r="U77" s="2">
        <f t="shared" si="7"/>
        <v>2575.8333333333335</v>
      </c>
      <c r="V77" s="2">
        <f t="shared" si="8"/>
        <v>191.95777629152687</v>
      </c>
      <c r="W77" s="2">
        <f t="shared" si="9"/>
        <v>7.4522591895772317E-2</v>
      </c>
      <c r="X77" s="2" t="str">
        <f t="shared" si="10"/>
        <v>X</v>
      </c>
      <c r="Y77" s="2" t="str">
        <f t="shared" si="11"/>
        <v>BX</v>
      </c>
    </row>
    <row r="78" spans="1:25" x14ac:dyDescent="0.3">
      <c r="A78" s="2" t="s">
        <v>985</v>
      </c>
      <c r="B78" s="2" t="s">
        <v>986</v>
      </c>
      <c r="C78" s="2" t="s">
        <v>36</v>
      </c>
      <c r="D78" s="2">
        <v>533</v>
      </c>
      <c r="E78" s="2">
        <v>513</v>
      </c>
      <c r="F78" s="2">
        <v>540</v>
      </c>
      <c r="G78" s="2">
        <v>532</v>
      </c>
      <c r="H78" s="2">
        <v>507</v>
      </c>
      <c r="I78" s="2">
        <v>506</v>
      </c>
      <c r="J78" s="2">
        <v>550</v>
      </c>
      <c r="K78" s="2">
        <v>506</v>
      </c>
      <c r="L78" s="2">
        <v>459</v>
      </c>
      <c r="M78" s="2">
        <v>475</v>
      </c>
      <c r="N78" s="2">
        <v>454</v>
      </c>
      <c r="O78" s="2">
        <v>502</v>
      </c>
      <c r="P78" s="2">
        <v>6077</v>
      </c>
      <c r="Q78" s="2">
        <v>500</v>
      </c>
      <c r="R78" s="2">
        <v>3038500</v>
      </c>
      <c r="S78" s="4">
        <f>SUM($R$2:R78) / SUM($R:$R)</f>
        <v>0.77175047857949342</v>
      </c>
      <c r="T78" s="3" t="str">
        <f t="shared" si="6"/>
        <v>B</v>
      </c>
      <c r="U78" s="2">
        <f t="shared" si="7"/>
        <v>506.41666666666669</v>
      </c>
      <c r="V78" s="2">
        <f t="shared" si="8"/>
        <v>30.799817984507442</v>
      </c>
      <c r="W78" s="2">
        <f t="shared" si="9"/>
        <v>6.0819123879231413E-2</v>
      </c>
      <c r="X78" s="2" t="str">
        <f t="shared" si="10"/>
        <v>X</v>
      </c>
      <c r="Y78" s="2" t="str">
        <f t="shared" si="11"/>
        <v>BX</v>
      </c>
    </row>
    <row r="79" spans="1:25" x14ac:dyDescent="0.3">
      <c r="A79" s="2" t="s">
        <v>65</v>
      </c>
      <c r="B79" s="2" t="s">
        <v>66</v>
      </c>
      <c r="C79" s="2" t="s">
        <v>41</v>
      </c>
      <c r="D79" s="2">
        <v>458</v>
      </c>
      <c r="E79" s="2">
        <v>456</v>
      </c>
      <c r="F79" s="2">
        <v>505</v>
      </c>
      <c r="G79" s="2">
        <v>522</v>
      </c>
      <c r="H79" s="2">
        <v>516</v>
      </c>
      <c r="I79" s="2">
        <v>464</v>
      </c>
      <c r="J79" s="2">
        <v>473</v>
      </c>
      <c r="K79" s="2">
        <v>541</v>
      </c>
      <c r="L79" s="2">
        <v>508</v>
      </c>
      <c r="M79" s="2">
        <v>522</v>
      </c>
      <c r="N79" s="2">
        <v>477</v>
      </c>
      <c r="O79" s="2">
        <v>461</v>
      </c>
      <c r="P79" s="2">
        <v>5903</v>
      </c>
      <c r="Q79" s="2">
        <v>500</v>
      </c>
      <c r="R79" s="2">
        <v>2951500</v>
      </c>
      <c r="S79" s="4">
        <f>SUM($R$2:R79) / SUM($R:$R)</f>
        <v>0.77450300427711627</v>
      </c>
      <c r="T79" s="3" t="str">
        <f t="shared" si="6"/>
        <v>B</v>
      </c>
      <c r="U79" s="2">
        <f t="shared" si="7"/>
        <v>491.91666666666669</v>
      </c>
      <c r="V79" s="2">
        <f t="shared" si="8"/>
        <v>30.128386896242834</v>
      </c>
      <c r="W79" s="2">
        <f t="shared" si="9"/>
        <v>6.124693253513705E-2</v>
      </c>
      <c r="X79" s="2" t="str">
        <f t="shared" si="10"/>
        <v>X</v>
      </c>
      <c r="Y79" s="2" t="str">
        <f t="shared" si="11"/>
        <v>BX</v>
      </c>
    </row>
    <row r="80" spans="1:25" x14ac:dyDescent="0.3">
      <c r="A80" s="2" t="s">
        <v>1205</v>
      </c>
      <c r="B80" s="2" t="s">
        <v>1206</v>
      </c>
      <c r="C80" s="2" t="s">
        <v>36</v>
      </c>
      <c r="D80" s="2">
        <v>466</v>
      </c>
      <c r="E80" s="2">
        <v>496</v>
      </c>
      <c r="F80" s="2">
        <v>467</v>
      </c>
      <c r="G80" s="2">
        <v>486</v>
      </c>
      <c r="H80" s="2">
        <v>474</v>
      </c>
      <c r="I80" s="2">
        <v>501</v>
      </c>
      <c r="J80" s="2">
        <v>525</v>
      </c>
      <c r="K80" s="2">
        <v>528</v>
      </c>
      <c r="L80" s="2">
        <v>466</v>
      </c>
      <c r="M80" s="2">
        <v>515</v>
      </c>
      <c r="N80" s="2">
        <v>479</v>
      </c>
      <c r="O80" s="2">
        <v>500</v>
      </c>
      <c r="P80" s="2">
        <v>5903</v>
      </c>
      <c r="Q80" s="2">
        <v>500</v>
      </c>
      <c r="R80" s="2">
        <v>2951500</v>
      </c>
      <c r="S80" s="4">
        <f>SUM($R$2:R80) / SUM($R:$R)</f>
        <v>0.77725552997473901</v>
      </c>
      <c r="T80" s="3" t="str">
        <f t="shared" si="6"/>
        <v>B</v>
      </c>
      <c r="U80" s="2">
        <f t="shared" si="7"/>
        <v>491.91666666666669</v>
      </c>
      <c r="V80" s="2">
        <f t="shared" si="8"/>
        <v>22.524565714038985</v>
      </c>
      <c r="W80" s="2">
        <f t="shared" si="9"/>
        <v>4.5789393286204946E-2</v>
      </c>
      <c r="X80" s="2" t="str">
        <f t="shared" si="10"/>
        <v>X</v>
      </c>
      <c r="Y80" s="2" t="str">
        <f t="shared" si="11"/>
        <v>BX</v>
      </c>
    </row>
    <row r="81" spans="1:25" x14ac:dyDescent="0.3">
      <c r="A81" s="2" t="s">
        <v>205</v>
      </c>
      <c r="B81" s="2" t="s">
        <v>206</v>
      </c>
      <c r="C81" s="2" t="s">
        <v>25</v>
      </c>
      <c r="D81" s="2">
        <v>343</v>
      </c>
      <c r="E81" s="2">
        <v>226</v>
      </c>
      <c r="F81" s="2">
        <v>565</v>
      </c>
      <c r="G81" s="2">
        <v>683</v>
      </c>
      <c r="H81" s="2">
        <v>658</v>
      </c>
      <c r="I81" s="2">
        <v>326</v>
      </c>
      <c r="J81" s="2">
        <v>316</v>
      </c>
      <c r="K81" s="2">
        <v>389</v>
      </c>
      <c r="L81" s="2">
        <v>718</v>
      </c>
      <c r="M81" s="2">
        <v>358</v>
      </c>
      <c r="N81" s="2">
        <v>712</v>
      </c>
      <c r="O81" s="2">
        <v>597</v>
      </c>
      <c r="P81" s="2">
        <v>5891</v>
      </c>
      <c r="Q81" s="2">
        <v>500</v>
      </c>
      <c r="R81" s="2">
        <v>2945500</v>
      </c>
      <c r="S81" s="4">
        <f>SUM($R$2:R81) / SUM($R:$R)</f>
        <v>0.78000246016018648</v>
      </c>
      <c r="T81" s="3" t="str">
        <f t="shared" si="6"/>
        <v>B</v>
      </c>
      <c r="U81" s="2">
        <f t="shared" si="7"/>
        <v>490.91666666666669</v>
      </c>
      <c r="V81" s="2">
        <f t="shared" si="8"/>
        <v>180.88341716713722</v>
      </c>
      <c r="W81" s="2">
        <f t="shared" si="9"/>
        <v>0.3684605340359271</v>
      </c>
      <c r="X81" s="2" t="str">
        <f t="shared" si="10"/>
        <v>Y</v>
      </c>
      <c r="Y81" s="2" t="str">
        <f t="shared" si="11"/>
        <v>BY</v>
      </c>
    </row>
    <row r="82" spans="1:25" x14ac:dyDescent="0.3">
      <c r="A82" s="2" t="s">
        <v>549</v>
      </c>
      <c r="B82" s="2" t="s">
        <v>550</v>
      </c>
      <c r="C82" s="2" t="s">
        <v>20</v>
      </c>
      <c r="D82" s="2">
        <v>2308</v>
      </c>
      <c r="E82" s="2">
        <v>2614</v>
      </c>
      <c r="F82" s="2">
        <v>2583</v>
      </c>
      <c r="G82" s="2">
        <v>2090</v>
      </c>
      <c r="H82" s="2">
        <v>2678</v>
      </c>
      <c r="I82" s="2">
        <v>2251</v>
      </c>
      <c r="J82" s="2">
        <v>2824</v>
      </c>
      <c r="K82" s="2">
        <v>2384</v>
      </c>
      <c r="L82" s="2">
        <v>2384</v>
      </c>
      <c r="M82" s="2">
        <v>2308</v>
      </c>
      <c r="N82" s="2">
        <v>2180</v>
      </c>
      <c r="O82" s="2">
        <v>2279</v>
      </c>
      <c r="P82" s="2">
        <v>28883</v>
      </c>
      <c r="Q82" s="2">
        <v>100</v>
      </c>
      <c r="R82" s="2">
        <v>2888300</v>
      </c>
      <c r="S82" s="4">
        <f>SUM($R$2:R82) / SUM($R:$R)</f>
        <v>0.78269604646289492</v>
      </c>
      <c r="T82" s="3" t="str">
        <f t="shared" si="6"/>
        <v>B</v>
      </c>
      <c r="U82" s="2">
        <f t="shared" si="7"/>
        <v>2406.9166666666665</v>
      </c>
      <c r="V82" s="2">
        <f t="shared" si="8"/>
        <v>220.4443687123119</v>
      </c>
      <c r="W82" s="2">
        <f t="shared" si="9"/>
        <v>9.1587869146132428E-2</v>
      </c>
      <c r="X82" s="2" t="str">
        <f t="shared" si="10"/>
        <v>X</v>
      </c>
      <c r="Y82" s="2" t="str">
        <f t="shared" si="11"/>
        <v>BX</v>
      </c>
    </row>
    <row r="83" spans="1:25" x14ac:dyDescent="0.3">
      <c r="A83" s="2" t="s">
        <v>1431</v>
      </c>
      <c r="B83" s="2" t="s">
        <v>1432</v>
      </c>
      <c r="C83" s="2" t="s">
        <v>20</v>
      </c>
      <c r="D83" s="2">
        <v>4579</v>
      </c>
      <c r="E83" s="2">
        <v>4614</v>
      </c>
      <c r="F83" s="2">
        <v>4760</v>
      </c>
      <c r="G83" s="2">
        <v>4843</v>
      </c>
      <c r="H83" s="2">
        <v>5027</v>
      </c>
      <c r="I83" s="2">
        <v>5028</v>
      </c>
      <c r="J83" s="2">
        <v>4825</v>
      </c>
      <c r="K83" s="2">
        <v>4963</v>
      </c>
      <c r="L83" s="2">
        <v>4551</v>
      </c>
      <c r="M83" s="2">
        <v>4581</v>
      </c>
      <c r="N83" s="2">
        <v>5162</v>
      </c>
      <c r="O83" s="2">
        <v>4669</v>
      </c>
      <c r="P83" s="2">
        <v>57602</v>
      </c>
      <c r="Q83" s="2">
        <v>50</v>
      </c>
      <c r="R83" s="2">
        <v>2880100</v>
      </c>
      <c r="S83" s="4">
        <f>SUM($R$2:R83) / SUM($R:$R)</f>
        <v>0.78538198556563033</v>
      </c>
      <c r="T83" s="3" t="str">
        <f t="shared" si="6"/>
        <v>B</v>
      </c>
      <c r="U83" s="2">
        <f t="shared" si="7"/>
        <v>4800.166666666667</v>
      </c>
      <c r="V83" s="2">
        <f t="shared" si="8"/>
        <v>207.9684562328595</v>
      </c>
      <c r="W83" s="2">
        <f t="shared" si="9"/>
        <v>4.3325257365964966E-2</v>
      </c>
      <c r="X83" s="2" t="str">
        <f t="shared" si="10"/>
        <v>X</v>
      </c>
      <c r="Y83" s="2" t="str">
        <f t="shared" si="11"/>
        <v>BX</v>
      </c>
    </row>
    <row r="84" spans="1:25" x14ac:dyDescent="0.3">
      <c r="A84" s="2" t="s">
        <v>959</v>
      </c>
      <c r="B84" s="2" t="s">
        <v>960</v>
      </c>
      <c r="C84" s="2" t="s">
        <v>20</v>
      </c>
      <c r="D84" s="2">
        <v>4810</v>
      </c>
      <c r="E84" s="2">
        <v>4610</v>
      </c>
      <c r="F84" s="2">
        <v>4849</v>
      </c>
      <c r="G84" s="2">
        <v>4755</v>
      </c>
      <c r="H84" s="2">
        <v>5078</v>
      </c>
      <c r="I84" s="2">
        <v>4627</v>
      </c>
      <c r="J84" s="2">
        <v>4714</v>
      </c>
      <c r="K84" s="2">
        <v>4701</v>
      </c>
      <c r="L84" s="2">
        <v>4565</v>
      </c>
      <c r="M84" s="2">
        <v>4687</v>
      </c>
      <c r="N84" s="2">
        <v>4750</v>
      </c>
      <c r="O84" s="2">
        <v>4792</v>
      </c>
      <c r="P84" s="2">
        <v>56938</v>
      </c>
      <c r="Q84" s="2">
        <v>50</v>
      </c>
      <c r="R84" s="2">
        <v>2846900</v>
      </c>
      <c r="S84" s="4">
        <f>SUM($R$2:R84) / SUM($R:$R)</f>
        <v>0.78803696283432834</v>
      </c>
      <c r="T84" s="3" t="str">
        <f t="shared" si="6"/>
        <v>B</v>
      </c>
      <c r="U84" s="2">
        <f t="shared" si="7"/>
        <v>4744.833333333333</v>
      </c>
      <c r="V84" s="2">
        <f t="shared" si="8"/>
        <v>134.52734317084412</v>
      </c>
      <c r="W84" s="2">
        <f t="shared" si="9"/>
        <v>2.8352385367419467E-2</v>
      </c>
      <c r="X84" s="2" t="str">
        <f t="shared" si="10"/>
        <v>X</v>
      </c>
      <c r="Y84" s="2" t="str">
        <f t="shared" si="11"/>
        <v>BX</v>
      </c>
    </row>
    <row r="85" spans="1:25" x14ac:dyDescent="0.3">
      <c r="A85" s="2" t="s">
        <v>1329</v>
      </c>
      <c r="B85" s="2" t="s">
        <v>1330</v>
      </c>
      <c r="C85" s="2" t="s">
        <v>20</v>
      </c>
      <c r="D85" s="2">
        <v>4879</v>
      </c>
      <c r="E85" s="2">
        <v>4707</v>
      </c>
      <c r="F85" s="2">
        <v>4540</v>
      </c>
      <c r="G85" s="2">
        <v>4906</v>
      </c>
      <c r="H85" s="2">
        <v>4787</v>
      </c>
      <c r="I85" s="2">
        <v>4710</v>
      </c>
      <c r="J85" s="2">
        <v>4612</v>
      </c>
      <c r="K85" s="2">
        <v>4514</v>
      </c>
      <c r="L85" s="2">
        <v>4270</v>
      </c>
      <c r="M85" s="2">
        <v>4672</v>
      </c>
      <c r="N85" s="2">
        <v>4902</v>
      </c>
      <c r="O85" s="2">
        <v>4722</v>
      </c>
      <c r="P85" s="2">
        <v>56221</v>
      </c>
      <c r="Q85" s="2">
        <v>50</v>
      </c>
      <c r="R85" s="2">
        <v>2811050</v>
      </c>
      <c r="S85" s="4">
        <f>SUM($R$2:R85) / SUM($R:$R)</f>
        <v>0.79065850691777828</v>
      </c>
      <c r="T85" s="3" t="str">
        <f t="shared" si="6"/>
        <v>B</v>
      </c>
      <c r="U85" s="2">
        <f t="shared" si="7"/>
        <v>4685.083333333333</v>
      </c>
      <c r="V85" s="2">
        <f t="shared" si="8"/>
        <v>184.49856285881933</v>
      </c>
      <c r="W85" s="2">
        <f t="shared" si="9"/>
        <v>3.9379995985589583E-2</v>
      </c>
      <c r="X85" s="2" t="str">
        <f t="shared" si="10"/>
        <v>X</v>
      </c>
      <c r="Y85" s="2" t="str">
        <f t="shared" si="11"/>
        <v>BX</v>
      </c>
    </row>
    <row r="86" spans="1:25" x14ac:dyDescent="0.3">
      <c r="A86" s="2" t="s">
        <v>927</v>
      </c>
      <c r="B86" s="2" t="s">
        <v>928</v>
      </c>
      <c r="C86" s="2" t="s">
        <v>20</v>
      </c>
      <c r="D86" s="2">
        <v>4792</v>
      </c>
      <c r="E86" s="2">
        <v>4595</v>
      </c>
      <c r="F86" s="2">
        <v>4575</v>
      </c>
      <c r="G86" s="2">
        <v>4711</v>
      </c>
      <c r="H86" s="2">
        <v>4717</v>
      </c>
      <c r="I86" s="2">
        <v>4911</v>
      </c>
      <c r="J86" s="2">
        <v>4719</v>
      </c>
      <c r="K86" s="2">
        <v>4809</v>
      </c>
      <c r="L86" s="2">
        <v>4552</v>
      </c>
      <c r="M86" s="2">
        <v>4293</v>
      </c>
      <c r="N86" s="2">
        <v>4607</v>
      </c>
      <c r="O86" s="2">
        <v>4367</v>
      </c>
      <c r="P86" s="2">
        <v>55648</v>
      </c>
      <c r="Q86" s="2">
        <v>50</v>
      </c>
      <c r="R86" s="2">
        <v>2782400</v>
      </c>
      <c r="S86" s="4">
        <f>SUM($R$2:R86) / SUM($R:$R)</f>
        <v>0.79325333243059071</v>
      </c>
      <c r="T86" s="3" t="str">
        <f t="shared" si="6"/>
        <v>B</v>
      </c>
      <c r="U86" s="2">
        <f t="shared" si="7"/>
        <v>4637.333333333333</v>
      </c>
      <c r="V86" s="2">
        <f t="shared" si="8"/>
        <v>178.94962893778151</v>
      </c>
      <c r="W86" s="2">
        <f t="shared" si="9"/>
        <v>3.8588907907802228E-2</v>
      </c>
      <c r="X86" s="2" t="str">
        <f t="shared" si="10"/>
        <v>X</v>
      </c>
      <c r="Y86" s="2" t="str">
        <f t="shared" si="11"/>
        <v>BX</v>
      </c>
    </row>
    <row r="87" spans="1:25" x14ac:dyDescent="0.3">
      <c r="A87" s="2" t="s">
        <v>1633</v>
      </c>
      <c r="B87" s="2" t="s">
        <v>1634</v>
      </c>
      <c r="C87" s="2" t="s">
        <v>20</v>
      </c>
      <c r="D87" s="2">
        <v>4909</v>
      </c>
      <c r="E87" s="2">
        <v>4611</v>
      </c>
      <c r="F87" s="2">
        <v>4184</v>
      </c>
      <c r="G87" s="2">
        <v>4644</v>
      </c>
      <c r="H87" s="2">
        <v>4706</v>
      </c>
      <c r="I87" s="2">
        <v>4669</v>
      </c>
      <c r="J87" s="2">
        <v>4725</v>
      </c>
      <c r="K87" s="2">
        <v>4991</v>
      </c>
      <c r="L87" s="2">
        <v>4743</v>
      </c>
      <c r="M87" s="2">
        <v>4412</v>
      </c>
      <c r="N87" s="2">
        <v>4526</v>
      </c>
      <c r="O87" s="2">
        <v>4445</v>
      </c>
      <c r="P87" s="2">
        <v>55565</v>
      </c>
      <c r="Q87" s="2">
        <v>50</v>
      </c>
      <c r="R87" s="2">
        <v>2778250</v>
      </c>
      <c r="S87" s="4">
        <f>SUM($R$2:R87) / SUM($R:$R)</f>
        <v>0.79584428771414839</v>
      </c>
      <c r="T87" s="3" t="str">
        <f t="shared" si="6"/>
        <v>B</v>
      </c>
      <c r="U87" s="2">
        <f t="shared" si="7"/>
        <v>4630.416666666667</v>
      </c>
      <c r="V87" s="2">
        <f t="shared" si="8"/>
        <v>219.35627240273811</v>
      </c>
      <c r="W87" s="2">
        <f t="shared" si="9"/>
        <v>4.7372901445745651E-2</v>
      </c>
      <c r="X87" s="2" t="str">
        <f t="shared" si="10"/>
        <v>X</v>
      </c>
      <c r="Y87" s="2" t="str">
        <f t="shared" si="11"/>
        <v>BX</v>
      </c>
    </row>
    <row r="88" spans="1:25" x14ac:dyDescent="0.3">
      <c r="A88" s="2" t="s">
        <v>915</v>
      </c>
      <c r="B88" s="2" t="s">
        <v>916</v>
      </c>
      <c r="C88" s="2" t="s">
        <v>20</v>
      </c>
      <c r="D88" s="2">
        <v>4545</v>
      </c>
      <c r="E88" s="2">
        <v>4582</v>
      </c>
      <c r="F88" s="2">
        <v>4612</v>
      </c>
      <c r="G88" s="2">
        <v>4702</v>
      </c>
      <c r="H88" s="2">
        <v>4582</v>
      </c>
      <c r="I88" s="2">
        <v>4456</v>
      </c>
      <c r="J88" s="2">
        <v>4368</v>
      </c>
      <c r="K88" s="2">
        <v>4336</v>
      </c>
      <c r="L88" s="2">
        <v>4554</v>
      </c>
      <c r="M88" s="2">
        <v>4437</v>
      </c>
      <c r="N88" s="2">
        <v>4558</v>
      </c>
      <c r="O88" s="2">
        <v>4548</v>
      </c>
      <c r="P88" s="2">
        <v>54280</v>
      </c>
      <c r="Q88" s="2">
        <v>50</v>
      </c>
      <c r="R88" s="2">
        <v>2714000</v>
      </c>
      <c r="S88" s="4">
        <f>SUM($R$2:R88) / SUM($R:$R)</f>
        <v>0.79837532438816106</v>
      </c>
      <c r="T88" s="3" t="str">
        <f t="shared" si="6"/>
        <v>B</v>
      </c>
      <c r="U88" s="2">
        <f t="shared" si="7"/>
        <v>4523.333333333333</v>
      </c>
      <c r="V88" s="2">
        <f t="shared" si="8"/>
        <v>104.9227710212987</v>
      </c>
      <c r="W88" s="2">
        <f t="shared" si="9"/>
        <v>2.3195896320110251E-2</v>
      </c>
      <c r="X88" s="2" t="str">
        <f t="shared" si="10"/>
        <v>X</v>
      </c>
      <c r="Y88" s="2" t="str">
        <f t="shared" si="11"/>
        <v>BX</v>
      </c>
    </row>
    <row r="89" spans="1:25" x14ac:dyDescent="0.3">
      <c r="A89" s="2" t="s">
        <v>895</v>
      </c>
      <c r="B89" s="2" t="s">
        <v>896</v>
      </c>
      <c r="C89" s="2" t="s">
        <v>20</v>
      </c>
      <c r="D89" s="2">
        <v>2428</v>
      </c>
      <c r="E89" s="2">
        <v>2478</v>
      </c>
      <c r="F89" s="2">
        <v>2227</v>
      </c>
      <c r="G89" s="2">
        <v>2267</v>
      </c>
      <c r="H89" s="2">
        <v>2117</v>
      </c>
      <c r="I89" s="2">
        <v>2215</v>
      </c>
      <c r="J89" s="2">
        <v>2154</v>
      </c>
      <c r="K89" s="2">
        <v>2101</v>
      </c>
      <c r="L89" s="2">
        <v>2409</v>
      </c>
      <c r="M89" s="2">
        <v>2086</v>
      </c>
      <c r="N89" s="2">
        <v>2132</v>
      </c>
      <c r="O89" s="2">
        <v>2221</v>
      </c>
      <c r="P89" s="2">
        <v>26835</v>
      </c>
      <c r="Q89" s="2">
        <v>100</v>
      </c>
      <c r="R89" s="2">
        <v>2683500</v>
      </c>
      <c r="S89" s="4">
        <f>SUM($R$2:R89) / SUM($R:$R)</f>
        <v>0.80087791720861534</v>
      </c>
      <c r="T89" s="3" t="str">
        <f t="shared" si="6"/>
        <v>B</v>
      </c>
      <c r="U89" s="2">
        <f t="shared" si="7"/>
        <v>2236.25</v>
      </c>
      <c r="V89" s="2">
        <f t="shared" si="8"/>
        <v>134.66802617075544</v>
      </c>
      <c r="W89" s="2">
        <f t="shared" si="9"/>
        <v>6.022047005958879E-2</v>
      </c>
      <c r="X89" s="2" t="str">
        <f t="shared" si="10"/>
        <v>X</v>
      </c>
      <c r="Y89" s="2" t="str">
        <f t="shared" si="11"/>
        <v>BX</v>
      </c>
    </row>
    <row r="90" spans="1:25" x14ac:dyDescent="0.3">
      <c r="A90" s="2" t="s">
        <v>325</v>
      </c>
      <c r="B90" s="2" t="s">
        <v>326</v>
      </c>
      <c r="C90" s="2" t="s">
        <v>56</v>
      </c>
      <c r="D90" s="2">
        <v>429</v>
      </c>
      <c r="E90" s="2">
        <v>470</v>
      </c>
      <c r="F90" s="2">
        <v>425</v>
      </c>
      <c r="G90" s="2">
        <v>469</v>
      </c>
      <c r="H90" s="2">
        <v>426</v>
      </c>
      <c r="I90" s="2">
        <v>442</v>
      </c>
      <c r="J90" s="2">
        <v>415</v>
      </c>
      <c r="K90" s="2">
        <v>447</v>
      </c>
      <c r="L90" s="2">
        <v>400</v>
      </c>
      <c r="M90" s="2">
        <v>450</v>
      </c>
      <c r="N90" s="2">
        <v>442</v>
      </c>
      <c r="O90" s="2">
        <v>427</v>
      </c>
      <c r="P90" s="2">
        <v>5242</v>
      </c>
      <c r="Q90" s="2">
        <v>500</v>
      </c>
      <c r="R90" s="2">
        <v>2621000</v>
      </c>
      <c r="S90" s="4">
        <f>SUM($R$2:R90) / SUM($R:$R)</f>
        <v>0.80332222344390902</v>
      </c>
      <c r="T90" s="3" t="str">
        <f t="shared" si="6"/>
        <v>B</v>
      </c>
      <c r="U90" s="2">
        <f t="shared" si="7"/>
        <v>436.83333333333331</v>
      </c>
      <c r="V90" s="2">
        <f t="shared" si="8"/>
        <v>20.700607515605707</v>
      </c>
      <c r="W90" s="2">
        <f t="shared" si="9"/>
        <v>4.7387884430993607E-2</v>
      </c>
      <c r="X90" s="2" t="str">
        <f t="shared" si="10"/>
        <v>X</v>
      </c>
      <c r="Y90" s="2" t="str">
        <f t="shared" si="11"/>
        <v>BX</v>
      </c>
    </row>
    <row r="91" spans="1:25" x14ac:dyDescent="0.3">
      <c r="A91" s="2" t="s">
        <v>771</v>
      </c>
      <c r="B91" s="2" t="s">
        <v>772</v>
      </c>
      <c r="C91" s="2" t="s">
        <v>20</v>
      </c>
      <c r="D91" s="2">
        <v>2095</v>
      </c>
      <c r="E91" s="2">
        <v>2310</v>
      </c>
      <c r="F91" s="2">
        <v>2738</v>
      </c>
      <c r="G91" s="2">
        <v>2216</v>
      </c>
      <c r="H91" s="2">
        <v>2221</v>
      </c>
      <c r="I91" s="2">
        <v>2144</v>
      </c>
      <c r="J91" s="2">
        <v>1822</v>
      </c>
      <c r="K91" s="2">
        <v>1910</v>
      </c>
      <c r="L91" s="2">
        <v>2147</v>
      </c>
      <c r="M91" s="2">
        <v>2460</v>
      </c>
      <c r="N91" s="2">
        <v>1764</v>
      </c>
      <c r="O91" s="2">
        <v>1841</v>
      </c>
      <c r="P91" s="2">
        <v>25668</v>
      </c>
      <c r="Q91" s="2">
        <v>100</v>
      </c>
      <c r="R91" s="2">
        <v>2566800</v>
      </c>
      <c r="S91" s="4">
        <f>SUM($R$2:R91) / SUM($R:$R)</f>
        <v>0.80571598355255147</v>
      </c>
      <c r="T91" s="3" t="str">
        <f t="shared" si="6"/>
        <v>B</v>
      </c>
      <c r="U91" s="2">
        <f t="shared" si="7"/>
        <v>2139</v>
      </c>
      <c r="V91" s="2">
        <f t="shared" si="8"/>
        <v>284.1446494625261</v>
      </c>
      <c r="W91" s="2">
        <f t="shared" si="9"/>
        <v>0.13283994832282661</v>
      </c>
      <c r="X91" s="2" t="str">
        <f t="shared" si="10"/>
        <v>X</v>
      </c>
      <c r="Y91" s="2" t="str">
        <f t="shared" si="11"/>
        <v>BX</v>
      </c>
    </row>
    <row r="92" spans="1:25" x14ac:dyDescent="0.3">
      <c r="A92" s="2" t="s">
        <v>461</v>
      </c>
      <c r="B92" s="2" t="s">
        <v>462</v>
      </c>
      <c r="C92" s="2" t="s">
        <v>20</v>
      </c>
      <c r="D92" s="2">
        <v>4367</v>
      </c>
      <c r="E92" s="2">
        <v>3931</v>
      </c>
      <c r="F92" s="2">
        <v>4490</v>
      </c>
      <c r="G92" s="2">
        <v>4466</v>
      </c>
      <c r="H92" s="2">
        <v>4370</v>
      </c>
      <c r="I92" s="2">
        <v>4100</v>
      </c>
      <c r="J92" s="2">
        <v>4302</v>
      </c>
      <c r="K92" s="2">
        <v>4069</v>
      </c>
      <c r="L92" s="2">
        <v>4230</v>
      </c>
      <c r="M92" s="2">
        <v>4153</v>
      </c>
      <c r="N92" s="2">
        <v>4421</v>
      </c>
      <c r="O92" s="2">
        <v>4079</v>
      </c>
      <c r="P92" s="2">
        <v>50978</v>
      </c>
      <c r="Q92" s="2">
        <v>50</v>
      </c>
      <c r="R92" s="2">
        <v>2548900</v>
      </c>
      <c r="S92" s="4">
        <f>SUM($R$2:R92) / SUM($R:$R)</f>
        <v>0.808093050383204</v>
      </c>
      <c r="T92" s="3" t="str">
        <f t="shared" si="6"/>
        <v>B</v>
      </c>
      <c r="U92" s="2">
        <f t="shared" si="7"/>
        <v>4248.166666666667</v>
      </c>
      <c r="V92" s="2">
        <f t="shared" si="8"/>
        <v>180.98761049175479</v>
      </c>
      <c r="W92" s="2">
        <f t="shared" si="9"/>
        <v>4.260369818158926E-2</v>
      </c>
      <c r="X92" s="2" t="str">
        <f t="shared" si="10"/>
        <v>X</v>
      </c>
      <c r="Y92" s="2" t="str">
        <f t="shared" si="11"/>
        <v>BX</v>
      </c>
    </row>
    <row r="93" spans="1:25" x14ac:dyDescent="0.3">
      <c r="A93" s="2" t="s">
        <v>1505</v>
      </c>
      <c r="B93" s="2" t="s">
        <v>1506</v>
      </c>
      <c r="C93" s="2" t="s">
        <v>20</v>
      </c>
      <c r="D93" s="2">
        <v>4253</v>
      </c>
      <c r="E93" s="2">
        <v>4531</v>
      </c>
      <c r="F93" s="2">
        <v>4150</v>
      </c>
      <c r="G93" s="2">
        <v>4269</v>
      </c>
      <c r="H93" s="2">
        <v>3721</v>
      </c>
      <c r="I93" s="2">
        <v>4391</v>
      </c>
      <c r="J93" s="2">
        <v>3954</v>
      </c>
      <c r="K93" s="2">
        <v>4204</v>
      </c>
      <c r="L93" s="2">
        <v>4204</v>
      </c>
      <c r="M93" s="2">
        <v>4478</v>
      </c>
      <c r="N93" s="2">
        <v>4342</v>
      </c>
      <c r="O93" s="2">
        <v>4282</v>
      </c>
      <c r="P93" s="2">
        <v>50779</v>
      </c>
      <c r="Q93" s="2">
        <v>50</v>
      </c>
      <c r="R93" s="2">
        <v>2538950</v>
      </c>
      <c r="S93" s="4">
        <f>SUM($R$2:R93) / SUM($R:$R)</f>
        <v>0.81046083798949886</v>
      </c>
      <c r="T93" s="3" t="str">
        <f t="shared" si="6"/>
        <v>B</v>
      </c>
      <c r="U93" s="2">
        <f t="shared" si="7"/>
        <v>4231.583333333333</v>
      </c>
      <c r="V93" s="2">
        <f t="shared" si="8"/>
        <v>221.2162489237144</v>
      </c>
      <c r="W93" s="2">
        <f t="shared" si="9"/>
        <v>5.2277417575859568E-2</v>
      </c>
      <c r="X93" s="2" t="str">
        <f t="shared" si="10"/>
        <v>X</v>
      </c>
      <c r="Y93" s="2" t="str">
        <f t="shared" si="11"/>
        <v>BX</v>
      </c>
    </row>
    <row r="94" spans="1:25" x14ac:dyDescent="0.3">
      <c r="A94" s="2" t="s">
        <v>351</v>
      </c>
      <c r="B94" s="2" t="s">
        <v>352</v>
      </c>
      <c r="C94" s="2" t="s">
        <v>20</v>
      </c>
      <c r="D94" s="2">
        <v>4158</v>
      </c>
      <c r="E94" s="2">
        <v>4272</v>
      </c>
      <c r="F94" s="2">
        <v>4147</v>
      </c>
      <c r="G94" s="2">
        <v>4005</v>
      </c>
      <c r="H94" s="2">
        <v>3791</v>
      </c>
      <c r="I94" s="2">
        <v>4240</v>
      </c>
      <c r="J94" s="2">
        <v>4271</v>
      </c>
      <c r="K94" s="2">
        <v>4020</v>
      </c>
      <c r="L94" s="2">
        <v>4055</v>
      </c>
      <c r="M94" s="2">
        <v>4317</v>
      </c>
      <c r="N94" s="2">
        <v>3842</v>
      </c>
      <c r="O94" s="2">
        <v>4581</v>
      </c>
      <c r="P94" s="2">
        <v>49699</v>
      </c>
      <c r="Q94" s="2">
        <v>50</v>
      </c>
      <c r="R94" s="2">
        <v>2484950</v>
      </c>
      <c r="S94" s="4">
        <f>SUM($R$2:R94) / SUM($R:$R)</f>
        <v>0.81277826598621505</v>
      </c>
      <c r="T94" s="3" t="str">
        <f t="shared" si="6"/>
        <v>B</v>
      </c>
      <c r="U94" s="2">
        <f t="shared" si="7"/>
        <v>4141.583333333333</v>
      </c>
      <c r="V94" s="2">
        <f t="shared" si="8"/>
        <v>217.67217149287652</v>
      </c>
      <c r="W94" s="2">
        <f t="shared" si="9"/>
        <v>5.2557718624409312E-2</v>
      </c>
      <c r="X94" s="2" t="str">
        <f t="shared" si="10"/>
        <v>X</v>
      </c>
      <c r="Y94" s="2" t="str">
        <f t="shared" si="11"/>
        <v>BX</v>
      </c>
    </row>
    <row r="95" spans="1:25" x14ac:dyDescent="0.3">
      <c r="A95" s="2" t="s">
        <v>319</v>
      </c>
      <c r="B95" s="2" t="s">
        <v>320</v>
      </c>
      <c r="C95" s="2" t="s">
        <v>36</v>
      </c>
      <c r="D95" s="2">
        <v>389</v>
      </c>
      <c r="E95" s="2">
        <v>419</v>
      </c>
      <c r="F95" s="2">
        <v>415</v>
      </c>
      <c r="G95" s="2">
        <v>407</v>
      </c>
      <c r="H95" s="2">
        <v>402</v>
      </c>
      <c r="I95" s="2">
        <v>442</v>
      </c>
      <c r="J95" s="2">
        <v>380</v>
      </c>
      <c r="K95" s="2">
        <v>439</v>
      </c>
      <c r="L95" s="2">
        <v>418</v>
      </c>
      <c r="M95" s="2">
        <v>414</v>
      </c>
      <c r="N95" s="2">
        <v>406</v>
      </c>
      <c r="O95" s="2">
        <v>407</v>
      </c>
      <c r="P95" s="2">
        <v>4938</v>
      </c>
      <c r="Q95" s="2">
        <v>500</v>
      </c>
      <c r="R95" s="2">
        <v>2469000</v>
      </c>
      <c r="S95" s="4">
        <f>SUM($R$2:R95) / SUM($R:$R)</f>
        <v>0.8150808192463983</v>
      </c>
      <c r="T95" s="3" t="str">
        <f t="shared" si="6"/>
        <v>B</v>
      </c>
      <c r="U95" s="2">
        <f t="shared" si="7"/>
        <v>411.5</v>
      </c>
      <c r="V95" s="2">
        <f t="shared" si="8"/>
        <v>17.743116462960554</v>
      </c>
      <c r="W95" s="2">
        <f t="shared" si="9"/>
        <v>4.311814450294181E-2</v>
      </c>
      <c r="X95" s="2" t="str">
        <f t="shared" si="10"/>
        <v>X</v>
      </c>
      <c r="Y95" s="2" t="str">
        <f t="shared" si="11"/>
        <v>BX</v>
      </c>
    </row>
    <row r="96" spans="1:25" x14ac:dyDescent="0.3">
      <c r="A96" s="2" t="s">
        <v>427</v>
      </c>
      <c r="B96" s="2" t="s">
        <v>428</v>
      </c>
      <c r="C96" s="2" t="s">
        <v>20</v>
      </c>
      <c r="D96" s="2">
        <v>4057</v>
      </c>
      <c r="E96" s="2">
        <v>3727</v>
      </c>
      <c r="F96" s="2">
        <v>4223</v>
      </c>
      <c r="G96" s="2">
        <v>4017</v>
      </c>
      <c r="H96" s="2">
        <v>4308</v>
      </c>
      <c r="I96" s="2">
        <v>4041</v>
      </c>
      <c r="J96" s="2">
        <v>4104</v>
      </c>
      <c r="K96" s="2">
        <v>4136</v>
      </c>
      <c r="L96" s="2">
        <v>4179</v>
      </c>
      <c r="M96" s="2">
        <v>3994</v>
      </c>
      <c r="N96" s="2">
        <v>4087</v>
      </c>
      <c r="O96" s="2">
        <v>3625</v>
      </c>
      <c r="P96" s="2">
        <v>48498</v>
      </c>
      <c r="Q96" s="2">
        <v>50</v>
      </c>
      <c r="R96" s="2">
        <v>2424900</v>
      </c>
      <c r="S96" s="4">
        <f>SUM($R$2:R96) / SUM($R:$R)</f>
        <v>0.81734224549209222</v>
      </c>
      <c r="T96" s="3" t="str">
        <f t="shared" si="6"/>
        <v>B</v>
      </c>
      <c r="U96" s="2">
        <f t="shared" si="7"/>
        <v>4041.5</v>
      </c>
      <c r="V96" s="2">
        <f t="shared" si="8"/>
        <v>193.82677364548528</v>
      </c>
      <c r="W96" s="2">
        <f t="shared" si="9"/>
        <v>4.7959117566617658E-2</v>
      </c>
      <c r="X96" s="2" t="str">
        <f t="shared" si="10"/>
        <v>X</v>
      </c>
      <c r="Y96" s="2" t="str">
        <f t="shared" si="11"/>
        <v>BX</v>
      </c>
    </row>
    <row r="97" spans="1:25" x14ac:dyDescent="0.3">
      <c r="A97" s="2" t="s">
        <v>1877</v>
      </c>
      <c r="B97" s="2" t="s">
        <v>1878</v>
      </c>
      <c r="C97" s="2" t="s">
        <v>20</v>
      </c>
      <c r="D97" s="2">
        <v>3842</v>
      </c>
      <c r="E97" s="2">
        <v>4054</v>
      </c>
      <c r="F97" s="2">
        <v>3943</v>
      </c>
      <c r="G97" s="2">
        <v>3678</v>
      </c>
      <c r="H97" s="2">
        <v>4024</v>
      </c>
      <c r="I97" s="2">
        <v>3825</v>
      </c>
      <c r="J97" s="2">
        <v>4186</v>
      </c>
      <c r="K97" s="2">
        <v>3783</v>
      </c>
      <c r="L97" s="2">
        <v>4103</v>
      </c>
      <c r="M97" s="2">
        <v>3957</v>
      </c>
      <c r="N97" s="2">
        <v>4039</v>
      </c>
      <c r="O97" s="2">
        <v>4000</v>
      </c>
      <c r="P97" s="2">
        <v>47434</v>
      </c>
      <c r="Q97" s="2">
        <v>50</v>
      </c>
      <c r="R97" s="2">
        <v>2371700</v>
      </c>
      <c r="S97" s="4">
        <f>SUM($R$2:R97) / SUM($R:$R)</f>
        <v>0.8195540581964974</v>
      </c>
      <c r="T97" s="3" t="str">
        <f t="shared" si="6"/>
        <v>B</v>
      </c>
      <c r="U97" s="2">
        <f t="shared" si="7"/>
        <v>3952.8333333333335</v>
      </c>
      <c r="V97" s="2">
        <f t="shared" si="8"/>
        <v>146.15734568255436</v>
      </c>
      <c r="W97" s="2">
        <f t="shared" si="9"/>
        <v>3.6975337272645195E-2</v>
      </c>
      <c r="X97" s="2" t="str">
        <f t="shared" si="10"/>
        <v>X</v>
      </c>
      <c r="Y97" s="2" t="str">
        <f t="shared" si="11"/>
        <v>BX</v>
      </c>
    </row>
    <row r="98" spans="1:25" x14ac:dyDescent="0.3">
      <c r="A98" s="2" t="s">
        <v>487</v>
      </c>
      <c r="B98" s="2" t="s">
        <v>488</v>
      </c>
      <c r="C98" s="2" t="s">
        <v>20</v>
      </c>
      <c r="D98" s="2">
        <v>3836</v>
      </c>
      <c r="E98" s="2">
        <v>4246</v>
      </c>
      <c r="F98" s="2">
        <v>3947</v>
      </c>
      <c r="G98" s="2">
        <v>3464</v>
      </c>
      <c r="H98" s="2">
        <v>3799</v>
      </c>
      <c r="I98" s="2">
        <v>3731</v>
      </c>
      <c r="J98" s="2">
        <v>3767</v>
      </c>
      <c r="K98" s="2">
        <v>3810</v>
      </c>
      <c r="L98" s="2">
        <v>3611</v>
      </c>
      <c r="M98" s="2">
        <v>3872</v>
      </c>
      <c r="N98" s="2">
        <v>3846</v>
      </c>
      <c r="O98" s="2">
        <v>3972</v>
      </c>
      <c r="P98" s="2">
        <v>45901</v>
      </c>
      <c r="Q98" s="2">
        <v>50</v>
      </c>
      <c r="R98" s="2">
        <v>2295050</v>
      </c>
      <c r="S98" s="4">
        <f>SUM($R$2:R98) / SUM($R:$R)</f>
        <v>0.82169438823286167</v>
      </c>
      <c r="T98" s="3" t="str">
        <f t="shared" si="6"/>
        <v>B</v>
      </c>
      <c r="U98" s="2">
        <f t="shared" si="7"/>
        <v>3825.0833333333335</v>
      </c>
      <c r="V98" s="2">
        <f t="shared" si="8"/>
        <v>192.05181986940795</v>
      </c>
      <c r="W98" s="2">
        <f t="shared" si="9"/>
        <v>5.0208532241844302E-2</v>
      </c>
      <c r="X98" s="2" t="str">
        <f t="shared" si="10"/>
        <v>X</v>
      </c>
      <c r="Y98" s="2" t="str">
        <f t="shared" si="11"/>
        <v>BX</v>
      </c>
    </row>
    <row r="99" spans="1:25" x14ac:dyDescent="0.3">
      <c r="A99" s="2" t="s">
        <v>1613</v>
      </c>
      <c r="B99" s="2" t="s">
        <v>1614</v>
      </c>
      <c r="C99" s="2" t="s">
        <v>20</v>
      </c>
      <c r="D99" s="2">
        <v>3646</v>
      </c>
      <c r="E99" s="2">
        <v>3665</v>
      </c>
      <c r="F99" s="2">
        <v>3868</v>
      </c>
      <c r="G99" s="2">
        <v>3825</v>
      </c>
      <c r="H99" s="2">
        <v>3769</v>
      </c>
      <c r="I99" s="2">
        <v>3742</v>
      </c>
      <c r="J99" s="2">
        <v>3841</v>
      </c>
      <c r="K99" s="2">
        <v>3704</v>
      </c>
      <c r="L99" s="2">
        <v>4023</v>
      </c>
      <c r="M99" s="2">
        <v>3872</v>
      </c>
      <c r="N99" s="2">
        <v>3789</v>
      </c>
      <c r="O99" s="2">
        <v>3813</v>
      </c>
      <c r="P99" s="2">
        <v>45557</v>
      </c>
      <c r="Q99" s="2">
        <v>50</v>
      </c>
      <c r="R99" s="2">
        <v>2277850</v>
      </c>
      <c r="S99" s="4">
        <f>SUM($R$2:R99) / SUM($R:$R)</f>
        <v>0.82381867780098983</v>
      </c>
      <c r="T99" s="3" t="str">
        <f t="shared" si="6"/>
        <v>B</v>
      </c>
      <c r="U99" s="2">
        <f t="shared" si="7"/>
        <v>3796.4166666666665</v>
      </c>
      <c r="V99" s="2">
        <f t="shared" si="8"/>
        <v>103.33569156644354</v>
      </c>
      <c r="W99" s="2">
        <f t="shared" si="9"/>
        <v>2.7219270338198796E-2</v>
      </c>
      <c r="X99" s="2" t="str">
        <f t="shared" si="10"/>
        <v>X</v>
      </c>
      <c r="Y99" s="2" t="str">
        <f t="shared" si="11"/>
        <v>BX</v>
      </c>
    </row>
    <row r="100" spans="1:25" x14ac:dyDescent="0.3">
      <c r="A100" s="2" t="s">
        <v>103</v>
      </c>
      <c r="B100" s="2" t="s">
        <v>104</v>
      </c>
      <c r="C100" s="2" t="s">
        <v>20</v>
      </c>
      <c r="D100" s="2">
        <v>1978</v>
      </c>
      <c r="E100" s="2">
        <v>1771</v>
      </c>
      <c r="F100" s="2">
        <v>1497</v>
      </c>
      <c r="G100" s="2">
        <v>1877</v>
      </c>
      <c r="H100" s="2">
        <v>2137</v>
      </c>
      <c r="I100" s="2">
        <v>1921</v>
      </c>
      <c r="J100" s="2">
        <v>1911</v>
      </c>
      <c r="K100" s="2">
        <v>1981</v>
      </c>
      <c r="L100" s="2">
        <v>1917</v>
      </c>
      <c r="M100" s="2">
        <v>1786</v>
      </c>
      <c r="N100" s="2">
        <v>2055</v>
      </c>
      <c r="O100" s="2">
        <v>1775</v>
      </c>
      <c r="P100" s="2">
        <v>22606</v>
      </c>
      <c r="Q100" s="2">
        <v>100</v>
      </c>
      <c r="R100" s="2">
        <v>2260600</v>
      </c>
      <c r="S100" s="4">
        <f>SUM($R$2:R100) / SUM($R:$R)</f>
        <v>0.82592688027161365</v>
      </c>
      <c r="T100" s="3" t="str">
        <f t="shared" si="6"/>
        <v>B</v>
      </c>
      <c r="U100" s="2">
        <f t="shared" si="7"/>
        <v>1883.8333333333333</v>
      </c>
      <c r="V100" s="2">
        <f t="shared" si="8"/>
        <v>164.80116577993084</v>
      </c>
      <c r="W100" s="2">
        <f t="shared" si="9"/>
        <v>8.7481818515401669E-2</v>
      </c>
      <c r="X100" s="2" t="str">
        <f t="shared" si="10"/>
        <v>X</v>
      </c>
      <c r="Y100" s="2" t="str">
        <f t="shared" si="11"/>
        <v>BX</v>
      </c>
    </row>
    <row r="101" spans="1:25" x14ac:dyDescent="0.3">
      <c r="A101" s="2" t="s">
        <v>1823</v>
      </c>
      <c r="B101" s="2" t="s">
        <v>1824</v>
      </c>
      <c r="C101" s="2" t="s">
        <v>20</v>
      </c>
      <c r="D101" s="2">
        <v>3675</v>
      </c>
      <c r="E101" s="2">
        <v>4058</v>
      </c>
      <c r="F101" s="2">
        <v>3408</v>
      </c>
      <c r="G101" s="2">
        <v>3499</v>
      </c>
      <c r="H101" s="2">
        <v>3479</v>
      </c>
      <c r="I101" s="2">
        <v>3499</v>
      </c>
      <c r="J101" s="2">
        <v>3768</v>
      </c>
      <c r="K101" s="2">
        <v>3704</v>
      </c>
      <c r="L101" s="2">
        <v>3777</v>
      </c>
      <c r="M101" s="2">
        <v>3623</v>
      </c>
      <c r="N101" s="2">
        <v>3531</v>
      </c>
      <c r="O101" s="2">
        <v>3769</v>
      </c>
      <c r="P101" s="2">
        <v>43790</v>
      </c>
      <c r="Q101" s="2">
        <v>50</v>
      </c>
      <c r="R101" s="2">
        <v>2189500</v>
      </c>
      <c r="S101" s="4">
        <f>SUM($R$2:R101) / SUM($R:$R)</f>
        <v>0.8279687759229587</v>
      </c>
      <c r="T101" s="3" t="str">
        <f t="shared" si="6"/>
        <v>B</v>
      </c>
      <c r="U101" s="2">
        <f t="shared" si="7"/>
        <v>3649.1666666666665</v>
      </c>
      <c r="V101" s="2">
        <f t="shared" si="8"/>
        <v>181.53578827394452</v>
      </c>
      <c r="W101" s="2">
        <f t="shared" si="9"/>
        <v>4.9747190209804393E-2</v>
      </c>
      <c r="X101" s="2" t="str">
        <f t="shared" si="10"/>
        <v>X</v>
      </c>
      <c r="Y101" s="2" t="str">
        <f t="shared" si="11"/>
        <v>BX</v>
      </c>
    </row>
    <row r="102" spans="1:25" x14ac:dyDescent="0.3">
      <c r="A102" s="2" t="s">
        <v>1447</v>
      </c>
      <c r="B102" s="2" t="s">
        <v>1448</v>
      </c>
      <c r="C102" s="2" t="s">
        <v>36</v>
      </c>
      <c r="D102" s="2">
        <v>385</v>
      </c>
      <c r="E102" s="2">
        <v>364</v>
      </c>
      <c r="F102" s="2">
        <v>341</v>
      </c>
      <c r="G102" s="2">
        <v>361</v>
      </c>
      <c r="H102" s="2">
        <v>367</v>
      </c>
      <c r="I102" s="2">
        <v>403</v>
      </c>
      <c r="J102" s="2">
        <v>349</v>
      </c>
      <c r="K102" s="2">
        <v>368</v>
      </c>
      <c r="L102" s="2">
        <v>372</v>
      </c>
      <c r="M102" s="2">
        <v>350</v>
      </c>
      <c r="N102" s="2">
        <v>348</v>
      </c>
      <c r="O102" s="2">
        <v>330</v>
      </c>
      <c r="P102" s="2">
        <v>4338</v>
      </c>
      <c r="Q102" s="2">
        <v>500</v>
      </c>
      <c r="R102" s="2">
        <v>2169000</v>
      </c>
      <c r="S102" s="4">
        <f>SUM($R$2:R102) / SUM($R:$R)</f>
        <v>0.82999155357437127</v>
      </c>
      <c r="T102" s="3" t="str">
        <f t="shared" si="6"/>
        <v>B</v>
      </c>
      <c r="U102" s="2">
        <f t="shared" si="7"/>
        <v>361.5</v>
      </c>
      <c r="V102" s="2">
        <f t="shared" si="8"/>
        <v>19.879180520882098</v>
      </c>
      <c r="W102" s="2">
        <f t="shared" si="9"/>
        <v>5.4990817485151035E-2</v>
      </c>
      <c r="X102" s="2" t="str">
        <f t="shared" si="10"/>
        <v>X</v>
      </c>
      <c r="Y102" s="2" t="str">
        <f t="shared" si="11"/>
        <v>BX</v>
      </c>
    </row>
    <row r="103" spans="1:25" x14ac:dyDescent="0.3">
      <c r="A103" s="2" t="s">
        <v>1149</v>
      </c>
      <c r="B103" s="2" t="s">
        <v>1150</v>
      </c>
      <c r="C103" s="2" t="s">
        <v>20</v>
      </c>
      <c r="D103" s="2">
        <v>3728</v>
      </c>
      <c r="E103" s="2">
        <v>3174</v>
      </c>
      <c r="F103" s="2">
        <v>3739</v>
      </c>
      <c r="G103" s="2">
        <v>3529</v>
      </c>
      <c r="H103" s="2">
        <v>3576</v>
      </c>
      <c r="I103" s="2">
        <v>3852</v>
      </c>
      <c r="J103" s="2">
        <v>3580</v>
      </c>
      <c r="K103" s="2">
        <v>3561</v>
      </c>
      <c r="L103" s="2">
        <v>3409</v>
      </c>
      <c r="M103" s="2">
        <v>3421</v>
      </c>
      <c r="N103" s="2">
        <v>3570</v>
      </c>
      <c r="O103" s="2">
        <v>3495</v>
      </c>
      <c r="P103" s="2">
        <v>42634</v>
      </c>
      <c r="Q103" s="2">
        <v>50</v>
      </c>
      <c r="R103" s="2">
        <v>2131700</v>
      </c>
      <c r="S103" s="4">
        <f>SUM($R$2:R103) / SUM($R:$R)</f>
        <v>0.83197954579175981</v>
      </c>
      <c r="T103" s="3" t="str">
        <f t="shared" si="6"/>
        <v>B</v>
      </c>
      <c r="U103" s="2">
        <f t="shared" si="7"/>
        <v>3552.8333333333335</v>
      </c>
      <c r="V103" s="2">
        <f t="shared" si="8"/>
        <v>176.31935557820967</v>
      </c>
      <c r="W103" s="2">
        <f t="shared" si="9"/>
        <v>4.962781505227086E-2</v>
      </c>
      <c r="X103" s="2" t="str">
        <f t="shared" si="10"/>
        <v>X</v>
      </c>
      <c r="Y103" s="2" t="str">
        <f t="shared" si="11"/>
        <v>BX</v>
      </c>
    </row>
    <row r="104" spans="1:25" x14ac:dyDescent="0.3">
      <c r="A104" s="2" t="s">
        <v>1097</v>
      </c>
      <c r="B104" s="2" t="s">
        <v>1098</v>
      </c>
      <c r="C104" s="2" t="s">
        <v>20</v>
      </c>
      <c r="D104" s="2">
        <v>1445</v>
      </c>
      <c r="E104" s="2">
        <v>1435</v>
      </c>
      <c r="F104" s="2">
        <v>2165</v>
      </c>
      <c r="G104" s="2">
        <v>1687</v>
      </c>
      <c r="H104" s="2">
        <v>1835</v>
      </c>
      <c r="I104" s="2">
        <v>1673</v>
      </c>
      <c r="J104" s="2">
        <v>1664</v>
      </c>
      <c r="K104" s="2">
        <v>2003</v>
      </c>
      <c r="L104" s="2">
        <v>1830</v>
      </c>
      <c r="M104" s="2">
        <v>1913</v>
      </c>
      <c r="N104" s="2">
        <v>1616</v>
      </c>
      <c r="O104" s="2">
        <v>1953</v>
      </c>
      <c r="P104" s="2">
        <v>21219</v>
      </c>
      <c r="Q104" s="2">
        <v>100</v>
      </c>
      <c r="R104" s="2">
        <v>2121900</v>
      </c>
      <c r="S104" s="4">
        <f>SUM($R$2:R104) / SUM($R:$R)</f>
        <v>0.83395839867259525</v>
      </c>
      <c r="T104" s="3" t="str">
        <f t="shared" si="6"/>
        <v>B</v>
      </c>
      <c r="U104" s="2">
        <f t="shared" si="7"/>
        <v>1768.25</v>
      </c>
      <c r="V104" s="2">
        <f t="shared" si="8"/>
        <v>221.79848552643045</v>
      </c>
      <c r="W104" s="2">
        <f t="shared" si="9"/>
        <v>0.12543389539173219</v>
      </c>
      <c r="X104" s="2" t="str">
        <f t="shared" si="10"/>
        <v>X</v>
      </c>
      <c r="Y104" s="2" t="str">
        <f t="shared" si="11"/>
        <v>BX</v>
      </c>
    </row>
    <row r="105" spans="1:25" x14ac:dyDescent="0.3">
      <c r="A105" s="2" t="s">
        <v>175</v>
      </c>
      <c r="B105" s="2" t="s">
        <v>176</v>
      </c>
      <c r="C105" s="2" t="s">
        <v>20</v>
      </c>
      <c r="D105" s="2">
        <v>3467</v>
      </c>
      <c r="E105" s="2">
        <v>3364</v>
      </c>
      <c r="F105" s="2">
        <v>3572</v>
      </c>
      <c r="G105" s="2">
        <v>3208</v>
      </c>
      <c r="H105" s="2">
        <v>3686</v>
      </c>
      <c r="I105" s="2">
        <v>3264</v>
      </c>
      <c r="J105" s="2">
        <v>3349</v>
      </c>
      <c r="K105" s="2">
        <v>3554</v>
      </c>
      <c r="L105" s="2">
        <v>3293</v>
      </c>
      <c r="M105" s="2">
        <v>3594</v>
      </c>
      <c r="N105" s="2">
        <v>3750</v>
      </c>
      <c r="O105" s="2">
        <v>3368</v>
      </c>
      <c r="P105" s="2">
        <v>41469</v>
      </c>
      <c r="Q105" s="2">
        <v>50</v>
      </c>
      <c r="R105" s="2">
        <v>2073450</v>
      </c>
      <c r="S105" s="4">
        <f>SUM($R$2:R105) / SUM($R:$R)</f>
        <v>0.83589206779261427</v>
      </c>
      <c r="T105" s="3" t="str">
        <f t="shared" si="6"/>
        <v>B</v>
      </c>
      <c r="U105" s="2">
        <f t="shared" si="7"/>
        <v>3455.75</v>
      </c>
      <c r="V105" s="2">
        <f t="shared" si="8"/>
        <v>174.29187901594582</v>
      </c>
      <c r="W105" s="2">
        <f t="shared" si="9"/>
        <v>5.0435326344771998E-2</v>
      </c>
      <c r="X105" s="2" t="str">
        <f t="shared" si="10"/>
        <v>X</v>
      </c>
      <c r="Y105" s="2" t="str">
        <f t="shared" si="11"/>
        <v>BX</v>
      </c>
    </row>
    <row r="106" spans="1:25" x14ac:dyDescent="0.3">
      <c r="A106" s="2" t="s">
        <v>777</v>
      </c>
      <c r="B106" s="2" t="s">
        <v>778</v>
      </c>
      <c r="C106" s="2" t="s">
        <v>20</v>
      </c>
      <c r="D106" s="2">
        <v>2126</v>
      </c>
      <c r="E106" s="2">
        <v>1468</v>
      </c>
      <c r="F106" s="2">
        <v>1777</v>
      </c>
      <c r="G106" s="2">
        <v>1668</v>
      </c>
      <c r="H106" s="2">
        <v>1885</v>
      </c>
      <c r="I106" s="2">
        <v>1772</v>
      </c>
      <c r="J106" s="2">
        <v>1941</v>
      </c>
      <c r="K106" s="2">
        <v>1499</v>
      </c>
      <c r="L106" s="2">
        <v>1707</v>
      </c>
      <c r="M106" s="2">
        <v>1693</v>
      </c>
      <c r="N106" s="2">
        <v>1605</v>
      </c>
      <c r="O106" s="2">
        <v>1588</v>
      </c>
      <c r="P106" s="2">
        <v>20729</v>
      </c>
      <c r="Q106" s="2">
        <v>100</v>
      </c>
      <c r="R106" s="2">
        <v>2072900</v>
      </c>
      <c r="S106" s="4">
        <f>SUM($R$2:R106) / SUM($R:$R)</f>
        <v>0.83782522399068382</v>
      </c>
      <c r="T106" s="3" t="str">
        <f t="shared" si="6"/>
        <v>B</v>
      </c>
      <c r="U106" s="2">
        <f t="shared" si="7"/>
        <v>1727.4166666666667</v>
      </c>
      <c r="V106" s="2">
        <f t="shared" si="8"/>
        <v>188.96630692140576</v>
      </c>
      <c r="W106" s="2">
        <f t="shared" si="9"/>
        <v>0.1093924300765531</v>
      </c>
      <c r="X106" s="2" t="str">
        <f t="shared" si="10"/>
        <v>X</v>
      </c>
      <c r="Y106" s="2" t="str">
        <f t="shared" si="11"/>
        <v>BX</v>
      </c>
    </row>
    <row r="107" spans="1:25" x14ac:dyDescent="0.3">
      <c r="A107" s="2" t="s">
        <v>629</v>
      </c>
      <c r="B107" s="2" t="s">
        <v>630</v>
      </c>
      <c r="C107" s="2" t="s">
        <v>41</v>
      </c>
      <c r="D107" s="2">
        <v>179</v>
      </c>
      <c r="E107" s="2">
        <v>168</v>
      </c>
      <c r="F107" s="2">
        <v>165</v>
      </c>
      <c r="G107" s="2">
        <v>171</v>
      </c>
      <c r="H107" s="2">
        <v>190</v>
      </c>
      <c r="I107" s="2">
        <v>165</v>
      </c>
      <c r="J107" s="2">
        <v>177</v>
      </c>
      <c r="K107" s="2">
        <v>146</v>
      </c>
      <c r="L107" s="2">
        <v>149</v>
      </c>
      <c r="M107" s="2">
        <v>178</v>
      </c>
      <c r="N107" s="2">
        <v>182</v>
      </c>
      <c r="O107" s="2">
        <v>158</v>
      </c>
      <c r="P107" s="2">
        <v>2028</v>
      </c>
      <c r="Q107" s="2">
        <v>1000</v>
      </c>
      <c r="R107" s="2">
        <v>2028000</v>
      </c>
      <c r="S107" s="4">
        <f>SUM($R$2:R107) / SUM($R:$R)</f>
        <v>0.83971650710597401</v>
      </c>
      <c r="T107" s="3" t="str">
        <f t="shared" si="6"/>
        <v>B</v>
      </c>
      <c r="U107" s="2">
        <f t="shared" si="7"/>
        <v>169</v>
      </c>
      <c r="V107" s="2">
        <f t="shared" si="8"/>
        <v>13.28704084984518</v>
      </c>
      <c r="W107" s="2">
        <f t="shared" si="9"/>
        <v>7.8621543490208168E-2</v>
      </c>
      <c r="X107" s="2" t="str">
        <f t="shared" si="10"/>
        <v>X</v>
      </c>
      <c r="Y107" s="2" t="str">
        <f t="shared" si="11"/>
        <v>BX</v>
      </c>
    </row>
    <row r="108" spans="1:25" x14ac:dyDescent="0.3">
      <c r="A108" s="2" t="s">
        <v>2015</v>
      </c>
      <c r="B108" s="2" t="s">
        <v>2016</v>
      </c>
      <c r="C108" s="2" t="s">
        <v>20</v>
      </c>
      <c r="D108" s="2">
        <v>3357</v>
      </c>
      <c r="E108" s="2">
        <v>3516</v>
      </c>
      <c r="F108" s="2">
        <v>3102</v>
      </c>
      <c r="G108" s="2">
        <v>3329</v>
      </c>
      <c r="H108" s="2">
        <v>3068</v>
      </c>
      <c r="I108" s="2">
        <v>3130</v>
      </c>
      <c r="J108" s="2">
        <v>3443</v>
      </c>
      <c r="K108" s="2">
        <v>3473</v>
      </c>
      <c r="L108" s="2">
        <v>3637</v>
      </c>
      <c r="M108" s="2">
        <v>3057</v>
      </c>
      <c r="N108" s="2">
        <v>3556</v>
      </c>
      <c r="O108" s="2">
        <v>3021</v>
      </c>
      <c r="P108" s="2">
        <v>39689</v>
      </c>
      <c r="Q108" s="2">
        <v>50</v>
      </c>
      <c r="R108" s="2">
        <v>1984450</v>
      </c>
      <c r="S108" s="4">
        <f>SUM($R$2:R108) / SUM($R:$R)</f>
        <v>0.84156717612872434</v>
      </c>
      <c r="T108" s="3" t="str">
        <f t="shared" si="6"/>
        <v>B</v>
      </c>
      <c r="U108" s="2">
        <f t="shared" si="7"/>
        <v>3307.4166666666665</v>
      </c>
      <c r="V108" s="2">
        <f t="shared" si="8"/>
        <v>221.23350820234069</v>
      </c>
      <c r="W108" s="2">
        <f t="shared" si="9"/>
        <v>6.6890123168336021E-2</v>
      </c>
      <c r="X108" s="2" t="str">
        <f t="shared" si="10"/>
        <v>X</v>
      </c>
      <c r="Y108" s="2" t="str">
        <f t="shared" si="11"/>
        <v>BX</v>
      </c>
    </row>
    <row r="109" spans="1:25" x14ac:dyDescent="0.3">
      <c r="A109" s="2" t="s">
        <v>181</v>
      </c>
      <c r="B109" s="2" t="s">
        <v>182</v>
      </c>
      <c r="C109" s="2" t="s">
        <v>20</v>
      </c>
      <c r="D109" s="2">
        <v>1745</v>
      </c>
      <c r="E109" s="2">
        <v>1349</v>
      </c>
      <c r="F109" s="2">
        <v>1730</v>
      </c>
      <c r="G109" s="2">
        <v>1705</v>
      </c>
      <c r="H109" s="2">
        <v>1643</v>
      </c>
      <c r="I109" s="2">
        <v>1418</v>
      </c>
      <c r="J109" s="2">
        <v>1355</v>
      </c>
      <c r="K109" s="2">
        <v>1623</v>
      </c>
      <c r="L109" s="2">
        <v>1641</v>
      </c>
      <c r="M109" s="2">
        <v>1763</v>
      </c>
      <c r="N109" s="2">
        <v>1812</v>
      </c>
      <c r="O109" s="2">
        <v>1729</v>
      </c>
      <c r="P109" s="2">
        <v>19513</v>
      </c>
      <c r="Q109" s="2">
        <v>100</v>
      </c>
      <c r="R109" s="2">
        <v>1951300</v>
      </c>
      <c r="S109" s="4">
        <f>SUM($R$2:R109) / SUM($R:$R)</f>
        <v>0.8433869299467055</v>
      </c>
      <c r="T109" s="3" t="str">
        <f t="shared" si="6"/>
        <v>B</v>
      </c>
      <c r="U109" s="2">
        <f t="shared" si="7"/>
        <v>1626.0833333333333</v>
      </c>
      <c r="V109" s="2">
        <f t="shared" si="8"/>
        <v>162.13039552013419</v>
      </c>
      <c r="W109" s="2">
        <f t="shared" si="9"/>
        <v>9.9706080369067307E-2</v>
      </c>
      <c r="X109" s="2" t="str">
        <f t="shared" si="10"/>
        <v>X</v>
      </c>
      <c r="Y109" s="2" t="str">
        <f t="shared" si="11"/>
        <v>BX</v>
      </c>
    </row>
    <row r="110" spans="1:25" x14ac:dyDescent="0.3">
      <c r="A110" s="2" t="s">
        <v>521</v>
      </c>
      <c r="B110" s="2" t="s">
        <v>522</v>
      </c>
      <c r="C110" s="2" t="s">
        <v>20</v>
      </c>
      <c r="D110" s="2">
        <v>3323</v>
      </c>
      <c r="E110" s="2">
        <v>3272</v>
      </c>
      <c r="F110" s="2">
        <v>3531</v>
      </c>
      <c r="G110" s="2">
        <v>3242</v>
      </c>
      <c r="H110" s="2">
        <v>2967</v>
      </c>
      <c r="I110" s="2">
        <v>3362</v>
      </c>
      <c r="J110" s="2">
        <v>3107</v>
      </c>
      <c r="K110" s="2">
        <v>3330</v>
      </c>
      <c r="L110" s="2">
        <v>3300</v>
      </c>
      <c r="M110" s="2">
        <v>3113</v>
      </c>
      <c r="N110" s="2">
        <v>2985</v>
      </c>
      <c r="O110" s="2">
        <v>3466</v>
      </c>
      <c r="P110" s="2">
        <v>38998</v>
      </c>
      <c r="Q110" s="2">
        <v>50</v>
      </c>
      <c r="R110" s="2">
        <v>1949900</v>
      </c>
      <c r="S110" s="4">
        <f>SUM($R$2:R110) / SUM($R:$R)</f>
        <v>0.84520537814517915</v>
      </c>
      <c r="T110" s="3" t="str">
        <f t="shared" si="6"/>
        <v>B</v>
      </c>
      <c r="U110" s="2">
        <f t="shared" si="7"/>
        <v>3249.8333333333335</v>
      </c>
      <c r="V110" s="2">
        <f t="shared" si="8"/>
        <v>176.44717640304154</v>
      </c>
      <c r="W110" s="2">
        <f t="shared" si="9"/>
        <v>5.4294223212382642E-2</v>
      </c>
      <c r="X110" s="2" t="str">
        <f t="shared" si="10"/>
        <v>X</v>
      </c>
      <c r="Y110" s="2" t="str">
        <f t="shared" si="11"/>
        <v>BX</v>
      </c>
    </row>
    <row r="111" spans="1:25" x14ac:dyDescent="0.3">
      <c r="A111" s="2" t="s">
        <v>935</v>
      </c>
      <c r="B111" s="2" t="s">
        <v>936</v>
      </c>
      <c r="C111" s="2" t="s">
        <v>41</v>
      </c>
      <c r="D111" s="2">
        <v>175</v>
      </c>
      <c r="E111" s="2">
        <v>150</v>
      </c>
      <c r="F111" s="2">
        <v>154</v>
      </c>
      <c r="G111" s="2">
        <v>169</v>
      </c>
      <c r="H111" s="2">
        <v>152</v>
      </c>
      <c r="I111" s="2">
        <v>155</v>
      </c>
      <c r="J111" s="2">
        <v>168</v>
      </c>
      <c r="K111" s="2">
        <v>168</v>
      </c>
      <c r="L111" s="2">
        <v>148</v>
      </c>
      <c r="M111" s="2">
        <v>172</v>
      </c>
      <c r="N111" s="2">
        <v>155</v>
      </c>
      <c r="O111" s="2">
        <v>164</v>
      </c>
      <c r="P111" s="2">
        <v>1930</v>
      </c>
      <c r="Q111" s="2">
        <v>1000</v>
      </c>
      <c r="R111" s="2">
        <v>1930000</v>
      </c>
      <c r="S111" s="4">
        <f>SUM($R$2:R111) / SUM($R:$R)</f>
        <v>0.84700526789493757</v>
      </c>
      <c r="T111" s="3" t="str">
        <f t="shared" si="6"/>
        <v>B</v>
      </c>
      <c r="U111" s="2">
        <f t="shared" si="7"/>
        <v>160.83333333333334</v>
      </c>
      <c r="V111" s="2">
        <f t="shared" si="8"/>
        <v>9.4371927001945899</v>
      </c>
      <c r="W111" s="2">
        <f t="shared" si="9"/>
        <v>5.8676845804318693E-2</v>
      </c>
      <c r="X111" s="2" t="str">
        <f t="shared" si="10"/>
        <v>X</v>
      </c>
      <c r="Y111" s="2" t="str">
        <f t="shared" si="11"/>
        <v>BX</v>
      </c>
    </row>
    <row r="112" spans="1:25" x14ac:dyDescent="0.3">
      <c r="A112" s="2" t="s">
        <v>161</v>
      </c>
      <c r="B112" s="2" t="s">
        <v>162</v>
      </c>
      <c r="C112" s="2" t="s">
        <v>20</v>
      </c>
      <c r="D112" s="2">
        <v>3085</v>
      </c>
      <c r="E112" s="2">
        <v>3240</v>
      </c>
      <c r="F112" s="2">
        <v>3287</v>
      </c>
      <c r="G112" s="2">
        <v>2756</v>
      </c>
      <c r="H112" s="2">
        <v>3255</v>
      </c>
      <c r="I112" s="2">
        <v>3514</v>
      </c>
      <c r="J112" s="2">
        <v>3517</v>
      </c>
      <c r="K112" s="2">
        <v>3004</v>
      </c>
      <c r="L112" s="2">
        <v>3307</v>
      </c>
      <c r="M112" s="2">
        <v>3190</v>
      </c>
      <c r="N112" s="2">
        <v>3135</v>
      </c>
      <c r="O112" s="2">
        <v>3303</v>
      </c>
      <c r="P112" s="2">
        <v>38593</v>
      </c>
      <c r="Q112" s="2">
        <v>50</v>
      </c>
      <c r="R112" s="2">
        <v>1929650</v>
      </c>
      <c r="S112" s="4">
        <f>SUM($R$2:R112) / SUM($R:$R)</f>
        <v>0.84880483123981909</v>
      </c>
      <c r="T112" s="3" t="str">
        <f t="shared" si="6"/>
        <v>B</v>
      </c>
      <c r="U112" s="2">
        <f t="shared" si="7"/>
        <v>3216.0833333333335</v>
      </c>
      <c r="V112" s="2">
        <f t="shared" si="8"/>
        <v>209.61759916282767</v>
      </c>
      <c r="W112" s="2">
        <f t="shared" si="9"/>
        <v>6.5177912832739923E-2</v>
      </c>
      <c r="X112" s="2" t="str">
        <f t="shared" si="10"/>
        <v>X</v>
      </c>
      <c r="Y112" s="2" t="str">
        <f t="shared" si="11"/>
        <v>BX</v>
      </c>
    </row>
    <row r="113" spans="1:25" x14ac:dyDescent="0.3">
      <c r="A113" s="2" t="s">
        <v>955</v>
      </c>
      <c r="B113" s="2" t="s">
        <v>956</v>
      </c>
      <c r="C113" s="2" t="s">
        <v>20</v>
      </c>
      <c r="D113" s="2">
        <v>3191</v>
      </c>
      <c r="E113" s="2">
        <v>3158</v>
      </c>
      <c r="F113" s="2">
        <v>2902</v>
      </c>
      <c r="G113" s="2">
        <v>3447</v>
      </c>
      <c r="H113" s="2">
        <v>2954</v>
      </c>
      <c r="I113" s="2">
        <v>3281</v>
      </c>
      <c r="J113" s="2">
        <v>3394</v>
      </c>
      <c r="K113" s="2">
        <v>3350</v>
      </c>
      <c r="L113" s="2">
        <v>3351</v>
      </c>
      <c r="M113" s="2">
        <v>2825</v>
      </c>
      <c r="N113" s="2">
        <v>2831</v>
      </c>
      <c r="O113" s="2">
        <v>3371</v>
      </c>
      <c r="P113" s="2">
        <v>38055</v>
      </c>
      <c r="Q113" s="2">
        <v>50</v>
      </c>
      <c r="R113" s="2">
        <v>1902750</v>
      </c>
      <c r="S113" s="4">
        <f>SUM($R$2:R113) / SUM($R:$R)</f>
        <v>0.8505793080384475</v>
      </c>
      <c r="T113" s="3" t="str">
        <f t="shared" si="6"/>
        <v>B</v>
      </c>
      <c r="U113" s="2">
        <f t="shared" si="7"/>
        <v>3171.25</v>
      </c>
      <c r="V113" s="2">
        <f t="shared" si="8"/>
        <v>233.11726467790643</v>
      </c>
      <c r="W113" s="2">
        <f t="shared" si="9"/>
        <v>7.350958287044744E-2</v>
      </c>
      <c r="X113" s="2" t="str">
        <f t="shared" si="10"/>
        <v>X</v>
      </c>
      <c r="Y113" s="2" t="str">
        <f t="shared" si="11"/>
        <v>BX</v>
      </c>
    </row>
    <row r="114" spans="1:25" x14ac:dyDescent="0.3">
      <c r="A114" s="2" t="s">
        <v>1155</v>
      </c>
      <c r="B114" s="2" t="s">
        <v>1156</v>
      </c>
      <c r="C114" s="2" t="s">
        <v>20</v>
      </c>
      <c r="D114" s="2">
        <v>3184</v>
      </c>
      <c r="E114" s="2">
        <v>3070</v>
      </c>
      <c r="F114" s="2">
        <v>3212</v>
      </c>
      <c r="G114" s="2">
        <v>2935</v>
      </c>
      <c r="H114" s="2">
        <v>3259</v>
      </c>
      <c r="I114" s="2">
        <v>3314</v>
      </c>
      <c r="J114" s="2">
        <v>3394</v>
      </c>
      <c r="K114" s="2">
        <v>2728</v>
      </c>
      <c r="L114" s="2">
        <v>3179</v>
      </c>
      <c r="M114" s="2">
        <v>3295</v>
      </c>
      <c r="N114" s="2">
        <v>3164</v>
      </c>
      <c r="O114" s="2">
        <v>3255</v>
      </c>
      <c r="P114" s="2">
        <v>37989</v>
      </c>
      <c r="Q114" s="2">
        <v>50</v>
      </c>
      <c r="R114" s="2">
        <v>1899450</v>
      </c>
      <c r="S114" s="4">
        <f>SUM($R$2:R114) / SUM($R:$R)</f>
        <v>0.85235070730537943</v>
      </c>
      <c r="T114" s="3" t="str">
        <f t="shared" si="6"/>
        <v>B</v>
      </c>
      <c r="U114" s="2">
        <f t="shared" si="7"/>
        <v>3165.75</v>
      </c>
      <c r="V114" s="2">
        <f t="shared" si="8"/>
        <v>181.94211117325702</v>
      </c>
      <c r="W114" s="2">
        <f t="shared" si="9"/>
        <v>5.7472040171604524E-2</v>
      </c>
      <c r="X114" s="2" t="str">
        <f t="shared" si="10"/>
        <v>X</v>
      </c>
      <c r="Y114" s="2" t="str">
        <f t="shared" si="11"/>
        <v>BX</v>
      </c>
    </row>
    <row r="115" spans="1:25" x14ac:dyDescent="0.3">
      <c r="A115" s="2" t="s">
        <v>1533</v>
      </c>
      <c r="B115" s="2" t="s">
        <v>1534</v>
      </c>
      <c r="C115" s="2" t="s">
        <v>20</v>
      </c>
      <c r="D115" s="2">
        <v>1363</v>
      </c>
      <c r="E115" s="2">
        <v>1518</v>
      </c>
      <c r="F115" s="2">
        <v>1476</v>
      </c>
      <c r="G115" s="2">
        <v>1613</v>
      </c>
      <c r="H115" s="2">
        <v>1819</v>
      </c>
      <c r="I115" s="2">
        <v>1680</v>
      </c>
      <c r="J115" s="2">
        <v>1446</v>
      </c>
      <c r="K115" s="2">
        <v>1495</v>
      </c>
      <c r="L115" s="2">
        <v>1510</v>
      </c>
      <c r="M115" s="2">
        <v>1959</v>
      </c>
      <c r="N115" s="2">
        <v>1624</v>
      </c>
      <c r="O115" s="2">
        <v>1379</v>
      </c>
      <c r="P115" s="2">
        <v>18882</v>
      </c>
      <c r="Q115" s="2">
        <v>100</v>
      </c>
      <c r="R115" s="2">
        <v>1888200</v>
      </c>
      <c r="S115" s="4">
        <f>SUM($R$2:R115) / SUM($R:$R)</f>
        <v>0.85411161498698251</v>
      </c>
      <c r="T115" s="3" t="str">
        <f t="shared" si="6"/>
        <v>B</v>
      </c>
      <c r="U115" s="2">
        <f t="shared" si="7"/>
        <v>1573.5</v>
      </c>
      <c r="V115" s="2">
        <f t="shared" si="8"/>
        <v>177.228922326721</v>
      </c>
      <c r="W115" s="2">
        <f t="shared" si="9"/>
        <v>0.11263356995660694</v>
      </c>
      <c r="X115" s="2" t="str">
        <f t="shared" si="10"/>
        <v>X</v>
      </c>
      <c r="Y115" s="2" t="str">
        <f t="shared" si="11"/>
        <v>BX</v>
      </c>
    </row>
    <row r="116" spans="1:25" x14ac:dyDescent="0.3">
      <c r="A116" s="2" t="s">
        <v>1021</v>
      </c>
      <c r="B116" s="2" t="s">
        <v>1022</v>
      </c>
      <c r="C116" s="2" t="s">
        <v>20</v>
      </c>
      <c r="D116" s="2">
        <v>1983</v>
      </c>
      <c r="E116" s="2">
        <v>1673</v>
      </c>
      <c r="F116" s="2">
        <v>1748</v>
      </c>
      <c r="G116" s="2">
        <v>1235</v>
      </c>
      <c r="H116" s="2">
        <v>1564</v>
      </c>
      <c r="I116" s="2">
        <v>1241</v>
      </c>
      <c r="J116" s="2">
        <v>1460</v>
      </c>
      <c r="K116" s="2">
        <v>1475</v>
      </c>
      <c r="L116" s="2">
        <v>1483</v>
      </c>
      <c r="M116" s="2">
        <v>1154</v>
      </c>
      <c r="N116" s="2">
        <v>1499</v>
      </c>
      <c r="O116" s="2">
        <v>1766</v>
      </c>
      <c r="P116" s="2">
        <v>18281</v>
      </c>
      <c r="Q116" s="2">
        <v>100</v>
      </c>
      <c r="R116" s="2">
        <v>1828100</v>
      </c>
      <c r="S116" s="4">
        <f>SUM($R$2:R116) / SUM($R:$R)</f>
        <v>0.8558164742882951</v>
      </c>
      <c r="T116" s="3" t="str">
        <f t="shared" si="6"/>
        <v>B</v>
      </c>
      <c r="U116" s="2">
        <f t="shared" si="7"/>
        <v>1523.4166666666667</v>
      </c>
      <c r="V116" s="2">
        <f t="shared" si="8"/>
        <v>243.55901220082688</v>
      </c>
      <c r="W116" s="2">
        <f t="shared" si="9"/>
        <v>0.15987681999944875</v>
      </c>
      <c r="X116" s="2" t="str">
        <f t="shared" si="10"/>
        <v>X</v>
      </c>
      <c r="Y116" s="2" t="str">
        <f t="shared" si="11"/>
        <v>BX</v>
      </c>
    </row>
    <row r="117" spans="1:25" x14ac:dyDescent="0.3">
      <c r="A117" s="2" t="s">
        <v>1627</v>
      </c>
      <c r="B117" s="2" t="s">
        <v>1628</v>
      </c>
      <c r="C117" s="2" t="s">
        <v>36</v>
      </c>
      <c r="D117" s="2">
        <v>152</v>
      </c>
      <c r="E117" s="2">
        <v>152</v>
      </c>
      <c r="F117" s="2">
        <v>166</v>
      </c>
      <c r="G117" s="2">
        <v>158</v>
      </c>
      <c r="H117" s="2">
        <v>179</v>
      </c>
      <c r="I117" s="2">
        <v>147</v>
      </c>
      <c r="J117" s="2">
        <v>136</v>
      </c>
      <c r="K117" s="2">
        <v>157</v>
      </c>
      <c r="L117" s="2">
        <v>142</v>
      </c>
      <c r="M117" s="2">
        <v>143</v>
      </c>
      <c r="N117" s="2">
        <v>151</v>
      </c>
      <c r="O117" s="2">
        <v>134</v>
      </c>
      <c r="P117" s="2">
        <v>1817</v>
      </c>
      <c r="Q117" s="2">
        <v>1000</v>
      </c>
      <c r="R117" s="2">
        <v>1817000</v>
      </c>
      <c r="S117" s="4">
        <f>SUM($R$2:R117) / SUM($R:$R)</f>
        <v>0.8575109818920833</v>
      </c>
      <c r="T117" s="3" t="str">
        <f t="shared" si="6"/>
        <v>B</v>
      </c>
      <c r="U117" s="2">
        <f t="shared" si="7"/>
        <v>151.41666666666666</v>
      </c>
      <c r="V117" s="2">
        <f t="shared" si="8"/>
        <v>12.681112177589394</v>
      </c>
      <c r="W117" s="2">
        <f t="shared" si="9"/>
        <v>8.3749777727612953E-2</v>
      </c>
      <c r="X117" s="2" t="str">
        <f t="shared" si="10"/>
        <v>X</v>
      </c>
      <c r="Y117" s="2" t="str">
        <f t="shared" si="11"/>
        <v>BX</v>
      </c>
    </row>
    <row r="118" spans="1:25" x14ac:dyDescent="0.3">
      <c r="A118" s="2" t="s">
        <v>963</v>
      </c>
      <c r="B118" s="2" t="s">
        <v>964</v>
      </c>
      <c r="C118" s="2" t="s">
        <v>20</v>
      </c>
      <c r="D118" s="2">
        <v>1646</v>
      </c>
      <c r="E118" s="2">
        <v>1373</v>
      </c>
      <c r="F118" s="2">
        <v>1524</v>
      </c>
      <c r="G118" s="2">
        <v>1506</v>
      </c>
      <c r="H118" s="2">
        <v>1751</v>
      </c>
      <c r="I118" s="2">
        <v>1385</v>
      </c>
      <c r="J118" s="2">
        <v>1387</v>
      </c>
      <c r="K118" s="2">
        <v>1109</v>
      </c>
      <c r="L118" s="2">
        <v>1652</v>
      </c>
      <c r="M118" s="2">
        <v>1389</v>
      </c>
      <c r="N118" s="2">
        <v>1300</v>
      </c>
      <c r="O118" s="2">
        <v>1936</v>
      </c>
      <c r="P118" s="2">
        <v>17958</v>
      </c>
      <c r="Q118" s="2">
        <v>100</v>
      </c>
      <c r="R118" s="2">
        <v>1795800</v>
      </c>
      <c r="S118" s="4">
        <f>SUM($R$2:R118) / SUM($R:$R)</f>
        <v>0.85918571868618498</v>
      </c>
      <c r="T118" s="3" t="str">
        <f t="shared" si="6"/>
        <v>B</v>
      </c>
      <c r="U118" s="2">
        <f t="shared" si="7"/>
        <v>1496.5</v>
      </c>
      <c r="V118" s="2">
        <f t="shared" si="8"/>
        <v>222.65076608079218</v>
      </c>
      <c r="W118" s="2">
        <f t="shared" si="9"/>
        <v>0.14878099971987449</v>
      </c>
      <c r="X118" s="2" t="str">
        <f t="shared" si="10"/>
        <v>X</v>
      </c>
      <c r="Y118" s="2" t="str">
        <f t="shared" si="11"/>
        <v>BX</v>
      </c>
    </row>
    <row r="119" spans="1:25" x14ac:dyDescent="0.3">
      <c r="A119" s="2" t="s">
        <v>541</v>
      </c>
      <c r="B119" s="2" t="s">
        <v>542</v>
      </c>
      <c r="C119" s="2" t="s">
        <v>20</v>
      </c>
      <c r="D119" s="2">
        <v>2697</v>
      </c>
      <c r="E119" s="2">
        <v>2663</v>
      </c>
      <c r="F119" s="2">
        <v>2740</v>
      </c>
      <c r="G119" s="2">
        <v>3121</v>
      </c>
      <c r="H119" s="2">
        <v>3163</v>
      </c>
      <c r="I119" s="2">
        <v>3144</v>
      </c>
      <c r="J119" s="2">
        <v>2832</v>
      </c>
      <c r="K119" s="2">
        <v>3005</v>
      </c>
      <c r="L119" s="2">
        <v>2747</v>
      </c>
      <c r="M119" s="2">
        <v>2609</v>
      </c>
      <c r="N119" s="2">
        <v>2994</v>
      </c>
      <c r="O119" s="2">
        <v>3030</v>
      </c>
      <c r="P119" s="2">
        <v>34745</v>
      </c>
      <c r="Q119" s="2">
        <v>50</v>
      </c>
      <c r="R119" s="2">
        <v>1737250</v>
      </c>
      <c r="S119" s="4">
        <f>SUM($R$2:R119) / SUM($R:$R)</f>
        <v>0.86080585260730813</v>
      </c>
      <c r="T119" s="3" t="str">
        <f t="shared" si="6"/>
        <v>B</v>
      </c>
      <c r="U119" s="2">
        <f t="shared" si="7"/>
        <v>2895.4166666666665</v>
      </c>
      <c r="V119" s="2">
        <f t="shared" si="8"/>
        <v>202.20307449030869</v>
      </c>
      <c r="W119" s="2">
        <f t="shared" si="9"/>
        <v>6.9835570409661957E-2</v>
      </c>
      <c r="X119" s="2" t="str">
        <f t="shared" si="10"/>
        <v>X</v>
      </c>
      <c r="Y119" s="2" t="str">
        <f t="shared" si="11"/>
        <v>BX</v>
      </c>
    </row>
    <row r="120" spans="1:25" x14ac:dyDescent="0.3">
      <c r="A120" s="2" t="s">
        <v>493</v>
      </c>
      <c r="B120" s="2" t="s">
        <v>494</v>
      </c>
      <c r="C120" s="2" t="s">
        <v>25</v>
      </c>
      <c r="D120" s="2">
        <v>244</v>
      </c>
      <c r="E120" s="2">
        <v>158</v>
      </c>
      <c r="F120" s="2">
        <v>316</v>
      </c>
      <c r="G120" s="2">
        <v>13</v>
      </c>
      <c r="H120" s="2">
        <v>403</v>
      </c>
      <c r="I120" s="2">
        <v>15</v>
      </c>
      <c r="J120" s="2">
        <v>481</v>
      </c>
      <c r="K120" s="2">
        <v>398</v>
      </c>
      <c r="L120" s="2">
        <v>399</v>
      </c>
      <c r="M120" s="2">
        <v>419</v>
      </c>
      <c r="N120" s="2">
        <v>279</v>
      </c>
      <c r="O120" s="2">
        <v>313</v>
      </c>
      <c r="P120" s="2">
        <v>3438</v>
      </c>
      <c r="Q120" s="2">
        <v>500</v>
      </c>
      <c r="R120" s="2">
        <v>1719000</v>
      </c>
      <c r="S120" s="4">
        <f>SUM($R$2:R120) / SUM($R:$R)</f>
        <v>0.86240896684556456</v>
      </c>
      <c r="T120" s="3" t="str">
        <f t="shared" si="6"/>
        <v>B</v>
      </c>
      <c r="U120" s="2">
        <f t="shared" si="7"/>
        <v>286.5</v>
      </c>
      <c r="V120" s="2">
        <f t="shared" si="8"/>
        <v>154.48124334512116</v>
      </c>
      <c r="W120" s="2">
        <f t="shared" si="9"/>
        <v>0.53920154745242987</v>
      </c>
      <c r="X120" s="2" t="str">
        <f t="shared" si="10"/>
        <v>Z</v>
      </c>
      <c r="Y120" s="2" t="str">
        <f t="shared" si="11"/>
        <v>BZ</v>
      </c>
    </row>
    <row r="121" spans="1:25" x14ac:dyDescent="0.3">
      <c r="A121" s="2" t="s">
        <v>337</v>
      </c>
      <c r="B121" s="2" t="s">
        <v>338</v>
      </c>
      <c r="C121" s="2" t="s">
        <v>20</v>
      </c>
      <c r="D121" s="2">
        <v>2753</v>
      </c>
      <c r="E121" s="2">
        <v>2588</v>
      </c>
      <c r="F121" s="2">
        <v>2764</v>
      </c>
      <c r="G121" s="2">
        <v>2963</v>
      </c>
      <c r="H121" s="2">
        <v>2724</v>
      </c>
      <c r="I121" s="2">
        <v>2851</v>
      </c>
      <c r="J121" s="2">
        <v>2684</v>
      </c>
      <c r="K121" s="2">
        <v>2710</v>
      </c>
      <c r="L121" s="2">
        <v>2765</v>
      </c>
      <c r="M121" s="2">
        <v>2957</v>
      </c>
      <c r="N121" s="2">
        <v>2680</v>
      </c>
      <c r="O121" s="2">
        <v>3265</v>
      </c>
      <c r="P121" s="2">
        <v>33704</v>
      </c>
      <c r="Q121" s="2">
        <v>50</v>
      </c>
      <c r="R121" s="2">
        <v>1685200</v>
      </c>
      <c r="S121" s="4">
        <f>SUM($R$2:R121) / SUM($R:$R)</f>
        <v>0.86398055969856602</v>
      </c>
      <c r="T121" s="3" t="str">
        <f t="shared" si="6"/>
        <v>B</v>
      </c>
      <c r="U121" s="2">
        <f t="shared" si="7"/>
        <v>2808.6666666666665</v>
      </c>
      <c r="V121" s="2">
        <f t="shared" si="8"/>
        <v>181.04461194730848</v>
      </c>
      <c r="W121" s="2">
        <f t="shared" si="9"/>
        <v>6.4459273183233495E-2</v>
      </c>
      <c r="X121" s="2" t="str">
        <f t="shared" si="10"/>
        <v>X</v>
      </c>
      <c r="Y121" s="2" t="str">
        <f t="shared" si="11"/>
        <v>BX</v>
      </c>
    </row>
    <row r="122" spans="1:25" x14ac:dyDescent="0.3">
      <c r="A122" s="2" t="s">
        <v>1635</v>
      </c>
      <c r="B122" s="2" t="s">
        <v>1636</v>
      </c>
      <c r="C122" s="2" t="s">
        <v>20</v>
      </c>
      <c r="D122" s="2">
        <v>2816</v>
      </c>
      <c r="E122" s="2">
        <v>2518</v>
      </c>
      <c r="F122" s="2">
        <v>2340</v>
      </c>
      <c r="G122" s="2">
        <v>2677</v>
      </c>
      <c r="H122" s="2">
        <v>2946</v>
      </c>
      <c r="I122" s="2">
        <v>2602</v>
      </c>
      <c r="J122" s="2">
        <v>2634</v>
      </c>
      <c r="K122" s="2">
        <v>2590</v>
      </c>
      <c r="L122" s="2">
        <v>2550</v>
      </c>
      <c r="M122" s="2">
        <v>2576</v>
      </c>
      <c r="N122" s="2">
        <v>2850</v>
      </c>
      <c r="O122" s="2">
        <v>2514</v>
      </c>
      <c r="P122" s="2">
        <v>31613</v>
      </c>
      <c r="Q122" s="2">
        <v>50</v>
      </c>
      <c r="R122" s="2">
        <v>1580650</v>
      </c>
      <c r="S122" s="4">
        <f>SUM($R$2:R122) / SUM($R:$R)</f>
        <v>0.86545465075191097</v>
      </c>
      <c r="T122" s="3" t="str">
        <f t="shared" si="6"/>
        <v>B</v>
      </c>
      <c r="U122" s="2">
        <f t="shared" si="7"/>
        <v>2634.4166666666665</v>
      </c>
      <c r="V122" s="2">
        <f t="shared" si="8"/>
        <v>166.96295633426831</v>
      </c>
      <c r="W122" s="2">
        <f t="shared" si="9"/>
        <v>6.3377581248575579E-2</v>
      </c>
      <c r="X122" s="2" t="str">
        <f t="shared" si="10"/>
        <v>X</v>
      </c>
      <c r="Y122" s="2" t="str">
        <f t="shared" si="11"/>
        <v>BX</v>
      </c>
    </row>
    <row r="123" spans="1:25" x14ac:dyDescent="0.3">
      <c r="A123" s="2" t="s">
        <v>827</v>
      </c>
      <c r="B123" s="2" t="s">
        <v>828</v>
      </c>
      <c r="C123" s="2" t="s">
        <v>20</v>
      </c>
      <c r="D123" s="2">
        <v>2862</v>
      </c>
      <c r="E123" s="2">
        <v>2574</v>
      </c>
      <c r="F123" s="2">
        <v>2136</v>
      </c>
      <c r="G123" s="2">
        <v>2836</v>
      </c>
      <c r="H123" s="2">
        <v>2416</v>
      </c>
      <c r="I123" s="2">
        <v>2963</v>
      </c>
      <c r="J123" s="2">
        <v>2538</v>
      </c>
      <c r="K123" s="2">
        <v>2695</v>
      </c>
      <c r="L123" s="2">
        <v>2911</v>
      </c>
      <c r="M123" s="2">
        <v>2562</v>
      </c>
      <c r="N123" s="2">
        <v>2124</v>
      </c>
      <c r="O123" s="2">
        <v>2805</v>
      </c>
      <c r="P123" s="2">
        <v>31422</v>
      </c>
      <c r="Q123" s="2">
        <v>50</v>
      </c>
      <c r="R123" s="2">
        <v>1571100</v>
      </c>
      <c r="S123" s="4">
        <f>SUM($R$2:R123) / SUM($R:$R)</f>
        <v>0.86691983561504327</v>
      </c>
      <c r="T123" s="3" t="str">
        <f t="shared" si="6"/>
        <v>B</v>
      </c>
      <c r="U123" s="2">
        <f t="shared" si="7"/>
        <v>2618.5</v>
      </c>
      <c r="V123" s="2">
        <f t="shared" si="8"/>
        <v>283.07804898681536</v>
      </c>
      <c r="W123" s="2">
        <f t="shared" si="9"/>
        <v>0.10810695015727148</v>
      </c>
      <c r="X123" s="2" t="str">
        <f t="shared" si="10"/>
        <v>X</v>
      </c>
      <c r="Y123" s="2" t="str">
        <f t="shared" si="11"/>
        <v>BX</v>
      </c>
    </row>
    <row r="124" spans="1:25" x14ac:dyDescent="0.3">
      <c r="A124" s="2" t="s">
        <v>695</v>
      </c>
      <c r="B124" s="2" t="s">
        <v>696</v>
      </c>
      <c r="C124" s="2" t="s">
        <v>41</v>
      </c>
      <c r="D124" s="2">
        <v>254</v>
      </c>
      <c r="E124" s="2">
        <v>287</v>
      </c>
      <c r="F124" s="2">
        <v>236</v>
      </c>
      <c r="G124" s="2">
        <v>260</v>
      </c>
      <c r="H124" s="2">
        <v>239</v>
      </c>
      <c r="I124" s="2">
        <v>236</v>
      </c>
      <c r="J124" s="2">
        <v>250</v>
      </c>
      <c r="K124" s="2">
        <v>233</v>
      </c>
      <c r="L124" s="2">
        <v>264</v>
      </c>
      <c r="M124" s="2">
        <v>238</v>
      </c>
      <c r="N124" s="2">
        <v>258</v>
      </c>
      <c r="O124" s="2">
        <v>263</v>
      </c>
      <c r="P124" s="2">
        <v>3018</v>
      </c>
      <c r="Q124" s="2">
        <v>500</v>
      </c>
      <c r="R124" s="2">
        <v>1509000</v>
      </c>
      <c r="S124" s="4">
        <f>SUM($R$2:R124) / SUM($R:$R)</f>
        <v>0.86832710692716009</v>
      </c>
      <c r="T124" s="3" t="str">
        <f t="shared" si="6"/>
        <v>B</v>
      </c>
      <c r="U124" s="2">
        <f t="shared" si="7"/>
        <v>251.5</v>
      </c>
      <c r="V124" s="2">
        <f t="shared" si="8"/>
        <v>16.048222784640501</v>
      </c>
      <c r="W124" s="2">
        <f t="shared" si="9"/>
        <v>6.3810030952844932E-2</v>
      </c>
      <c r="X124" s="2" t="str">
        <f t="shared" si="10"/>
        <v>X</v>
      </c>
      <c r="Y124" s="2" t="str">
        <f t="shared" si="11"/>
        <v>BX</v>
      </c>
    </row>
    <row r="125" spans="1:25" x14ac:dyDescent="0.3">
      <c r="A125" s="2" t="s">
        <v>1071</v>
      </c>
      <c r="B125" s="2" t="s">
        <v>1072</v>
      </c>
      <c r="C125" s="2" t="s">
        <v>20</v>
      </c>
      <c r="D125" s="2">
        <v>2415</v>
      </c>
      <c r="E125" s="2">
        <v>2729</v>
      </c>
      <c r="F125" s="2">
        <v>2530</v>
      </c>
      <c r="G125" s="2">
        <v>2101</v>
      </c>
      <c r="H125" s="2">
        <v>2348</v>
      </c>
      <c r="I125" s="2">
        <v>2496</v>
      </c>
      <c r="J125" s="2">
        <v>3059</v>
      </c>
      <c r="K125" s="2">
        <v>2959</v>
      </c>
      <c r="L125" s="2">
        <v>2172</v>
      </c>
      <c r="M125" s="2">
        <v>2541</v>
      </c>
      <c r="N125" s="2">
        <v>2386</v>
      </c>
      <c r="O125" s="2">
        <v>2422</v>
      </c>
      <c r="P125" s="2">
        <v>30158</v>
      </c>
      <c r="Q125" s="2">
        <v>50</v>
      </c>
      <c r="R125" s="2">
        <v>1507900</v>
      </c>
      <c r="S125" s="4">
        <f>SUM($R$2:R125) / SUM($R:$R)</f>
        <v>0.86973335239537819</v>
      </c>
      <c r="T125" s="3" t="str">
        <f t="shared" si="6"/>
        <v>B</v>
      </c>
      <c r="U125" s="2">
        <f t="shared" si="7"/>
        <v>2513.1666666666665</v>
      </c>
      <c r="V125" s="2">
        <f t="shared" si="8"/>
        <v>284.81471914636836</v>
      </c>
      <c r="W125" s="2">
        <f t="shared" si="9"/>
        <v>0.11332902147875921</v>
      </c>
      <c r="X125" s="2" t="str">
        <f t="shared" si="10"/>
        <v>X</v>
      </c>
      <c r="Y125" s="2" t="str">
        <f t="shared" si="11"/>
        <v>BX</v>
      </c>
    </row>
    <row r="126" spans="1:25" x14ac:dyDescent="0.3">
      <c r="A126" s="2" t="s">
        <v>111</v>
      </c>
      <c r="B126" s="2" t="s">
        <v>112</v>
      </c>
      <c r="C126" s="2" t="s">
        <v>20</v>
      </c>
      <c r="D126" s="2">
        <v>2130</v>
      </c>
      <c r="E126" s="2">
        <v>2437</v>
      </c>
      <c r="F126" s="2">
        <v>2216</v>
      </c>
      <c r="G126" s="2">
        <v>2691</v>
      </c>
      <c r="H126" s="2">
        <v>2284</v>
      </c>
      <c r="I126" s="2">
        <v>2608</v>
      </c>
      <c r="J126" s="2">
        <v>2705</v>
      </c>
      <c r="K126" s="2">
        <v>2640</v>
      </c>
      <c r="L126" s="2">
        <v>2471</v>
      </c>
      <c r="M126" s="2">
        <v>2424</v>
      </c>
      <c r="N126" s="2">
        <v>2578</v>
      </c>
      <c r="O126" s="2">
        <v>2626</v>
      </c>
      <c r="P126" s="2">
        <v>29810</v>
      </c>
      <c r="Q126" s="2">
        <v>50</v>
      </c>
      <c r="R126" s="2">
        <v>1490500</v>
      </c>
      <c r="S126" s="4">
        <f>SUM($R$2:R126) / SUM($R:$R)</f>
        <v>0.8711233708782874</v>
      </c>
      <c r="T126" s="3" t="str">
        <f t="shared" si="6"/>
        <v>B</v>
      </c>
      <c r="U126" s="2">
        <f t="shared" si="7"/>
        <v>2484.1666666666665</v>
      </c>
      <c r="V126" s="2">
        <f t="shared" si="8"/>
        <v>191.5296479937403</v>
      </c>
      <c r="W126" s="2">
        <f t="shared" si="9"/>
        <v>7.7100160212173224E-2</v>
      </c>
      <c r="X126" s="2" t="str">
        <f t="shared" si="10"/>
        <v>X</v>
      </c>
      <c r="Y126" s="2" t="str">
        <f t="shared" si="11"/>
        <v>BX</v>
      </c>
    </row>
    <row r="127" spans="1:25" x14ac:dyDescent="0.3">
      <c r="A127" s="2" t="s">
        <v>1575</v>
      </c>
      <c r="B127" s="2" t="s">
        <v>1576</v>
      </c>
      <c r="C127" s="2" t="s">
        <v>20</v>
      </c>
      <c r="D127" s="2">
        <v>2711</v>
      </c>
      <c r="E127" s="2">
        <v>2604</v>
      </c>
      <c r="F127" s="2">
        <v>2265</v>
      </c>
      <c r="G127" s="2">
        <v>2333</v>
      </c>
      <c r="H127" s="2">
        <v>2528</v>
      </c>
      <c r="I127" s="2">
        <v>2612</v>
      </c>
      <c r="J127" s="2">
        <v>2483</v>
      </c>
      <c r="K127" s="2">
        <v>2416</v>
      </c>
      <c r="L127" s="2">
        <v>2596</v>
      </c>
      <c r="M127" s="2">
        <v>2547</v>
      </c>
      <c r="N127" s="2">
        <v>2406</v>
      </c>
      <c r="O127" s="2">
        <v>2304</v>
      </c>
      <c r="P127" s="2">
        <v>29805</v>
      </c>
      <c r="Q127" s="2">
        <v>50</v>
      </c>
      <c r="R127" s="2">
        <v>1490250</v>
      </c>
      <c r="S127" s="4">
        <f>SUM($R$2:R127) / SUM($R:$R)</f>
        <v>0.87251315621485614</v>
      </c>
      <c r="T127" s="3" t="str">
        <f t="shared" si="6"/>
        <v>B</v>
      </c>
      <c r="U127" s="2">
        <f t="shared" si="7"/>
        <v>2483.75</v>
      </c>
      <c r="V127" s="2">
        <f t="shared" si="8"/>
        <v>139.68544207351289</v>
      </c>
      <c r="W127" s="2">
        <f t="shared" si="9"/>
        <v>5.6239735107604584E-2</v>
      </c>
      <c r="X127" s="2" t="str">
        <f t="shared" si="10"/>
        <v>X</v>
      </c>
      <c r="Y127" s="2" t="str">
        <f t="shared" si="11"/>
        <v>BX</v>
      </c>
    </row>
    <row r="128" spans="1:25" x14ac:dyDescent="0.3">
      <c r="A128" s="2" t="s">
        <v>1331</v>
      </c>
      <c r="B128" s="2" t="s">
        <v>1332</v>
      </c>
      <c r="C128" s="2" t="s">
        <v>20</v>
      </c>
      <c r="D128" s="2">
        <v>2348</v>
      </c>
      <c r="E128" s="2">
        <v>2852</v>
      </c>
      <c r="F128" s="2">
        <v>2556</v>
      </c>
      <c r="G128" s="2">
        <v>2499</v>
      </c>
      <c r="H128" s="2">
        <v>2139</v>
      </c>
      <c r="I128" s="2">
        <v>2503</v>
      </c>
      <c r="J128" s="2">
        <v>2542</v>
      </c>
      <c r="K128" s="2">
        <v>2495</v>
      </c>
      <c r="L128" s="2">
        <v>2590</v>
      </c>
      <c r="M128" s="2">
        <v>2452</v>
      </c>
      <c r="N128" s="2">
        <v>2169</v>
      </c>
      <c r="O128" s="2">
        <v>2364</v>
      </c>
      <c r="P128" s="2">
        <v>29509</v>
      </c>
      <c r="Q128" s="2">
        <v>50</v>
      </c>
      <c r="R128" s="2">
        <v>1475450</v>
      </c>
      <c r="S128" s="4">
        <f>SUM($R$2:R128) / SUM($R:$R)</f>
        <v>0.87388913928805878</v>
      </c>
      <c r="T128" s="3" t="str">
        <f t="shared" si="6"/>
        <v>B</v>
      </c>
      <c r="U128" s="2">
        <f t="shared" si="7"/>
        <v>2459.0833333333335</v>
      </c>
      <c r="V128" s="2">
        <f t="shared" si="8"/>
        <v>190.84380016287156</v>
      </c>
      <c r="W128" s="2">
        <f t="shared" si="9"/>
        <v>7.7607699412194878E-2</v>
      </c>
      <c r="X128" s="2" t="str">
        <f t="shared" si="10"/>
        <v>X</v>
      </c>
      <c r="Y128" s="2" t="str">
        <f t="shared" si="11"/>
        <v>BX</v>
      </c>
    </row>
    <row r="129" spans="1:25" x14ac:dyDescent="0.3">
      <c r="A129" s="2" t="s">
        <v>1645</v>
      </c>
      <c r="B129" s="2" t="s">
        <v>1646</v>
      </c>
      <c r="C129" s="2" t="s">
        <v>20</v>
      </c>
      <c r="D129" s="2">
        <v>2416</v>
      </c>
      <c r="E129" s="2">
        <v>2424</v>
      </c>
      <c r="F129" s="2">
        <v>2539</v>
      </c>
      <c r="G129" s="2">
        <v>2297</v>
      </c>
      <c r="H129" s="2">
        <v>2168</v>
      </c>
      <c r="I129" s="2">
        <v>2268</v>
      </c>
      <c r="J129" s="2">
        <v>2054</v>
      </c>
      <c r="K129" s="2">
        <v>2361</v>
      </c>
      <c r="L129" s="2">
        <v>2350</v>
      </c>
      <c r="M129" s="2">
        <v>2476</v>
      </c>
      <c r="N129" s="2">
        <v>2322</v>
      </c>
      <c r="O129" s="2">
        <v>2361</v>
      </c>
      <c r="P129" s="2">
        <v>28036</v>
      </c>
      <c r="Q129" s="2">
        <v>50</v>
      </c>
      <c r="R129" s="2">
        <v>1401800</v>
      </c>
      <c r="S129" s="4">
        <f>SUM($R$2:R129) / SUM($R:$R)</f>
        <v>0.8751964374493082</v>
      </c>
      <c r="T129" s="3" t="str">
        <f t="shared" si="6"/>
        <v>B</v>
      </c>
      <c r="U129" s="2">
        <f t="shared" si="7"/>
        <v>2336.3333333333335</v>
      </c>
      <c r="V129" s="2">
        <f t="shared" si="8"/>
        <v>131.59395767651984</v>
      </c>
      <c r="W129" s="2">
        <f t="shared" si="9"/>
        <v>5.632499258518469E-2</v>
      </c>
      <c r="X129" s="2" t="str">
        <f t="shared" si="10"/>
        <v>X</v>
      </c>
      <c r="Y129" s="2" t="str">
        <f t="shared" si="11"/>
        <v>BX</v>
      </c>
    </row>
    <row r="130" spans="1:25" x14ac:dyDescent="0.3">
      <c r="A130" s="2" t="s">
        <v>77</v>
      </c>
      <c r="B130" s="2" t="s">
        <v>78</v>
      </c>
      <c r="C130" s="2" t="s">
        <v>20</v>
      </c>
      <c r="D130" s="2">
        <v>1881</v>
      </c>
      <c r="E130" s="2">
        <v>2072</v>
      </c>
      <c r="F130" s="2">
        <v>2399</v>
      </c>
      <c r="G130" s="2">
        <v>2199</v>
      </c>
      <c r="H130" s="2">
        <v>2434</v>
      </c>
      <c r="I130" s="2">
        <v>2439</v>
      </c>
      <c r="J130" s="2">
        <v>2860</v>
      </c>
      <c r="K130" s="2">
        <v>2334</v>
      </c>
      <c r="L130" s="2">
        <v>2367</v>
      </c>
      <c r="M130" s="2">
        <v>2234</v>
      </c>
      <c r="N130" s="2">
        <v>2120</v>
      </c>
      <c r="O130" s="2">
        <v>2604</v>
      </c>
      <c r="P130" s="2">
        <v>27943</v>
      </c>
      <c r="Q130" s="2">
        <v>50</v>
      </c>
      <c r="R130" s="2">
        <v>1397150</v>
      </c>
      <c r="S130" s="4">
        <f>SUM($R$2:R130) / SUM($R:$R)</f>
        <v>0.87649939908862162</v>
      </c>
      <c r="T130" s="3" t="str">
        <f t="shared" si="6"/>
        <v>B</v>
      </c>
      <c r="U130" s="2">
        <f t="shared" si="7"/>
        <v>2328.5833333333335</v>
      </c>
      <c r="V130" s="2">
        <f t="shared" si="8"/>
        <v>256.4507602333091</v>
      </c>
      <c r="W130" s="2">
        <f t="shared" si="9"/>
        <v>0.11013166527572948</v>
      </c>
      <c r="X130" s="2" t="str">
        <f t="shared" si="10"/>
        <v>X</v>
      </c>
      <c r="Y130" s="2" t="str">
        <f t="shared" si="11"/>
        <v>BX</v>
      </c>
    </row>
    <row r="131" spans="1:25" x14ac:dyDescent="0.3">
      <c r="A131" s="2" t="s">
        <v>225</v>
      </c>
      <c r="B131" s="2" t="s">
        <v>226</v>
      </c>
      <c r="C131" s="2" t="s">
        <v>20</v>
      </c>
      <c r="D131" s="2">
        <v>944</v>
      </c>
      <c r="E131" s="2">
        <v>1004</v>
      </c>
      <c r="F131" s="2">
        <v>999</v>
      </c>
      <c r="G131" s="2">
        <v>1035</v>
      </c>
      <c r="H131" s="2">
        <v>1503</v>
      </c>
      <c r="I131" s="2">
        <v>1066</v>
      </c>
      <c r="J131" s="2">
        <v>1103</v>
      </c>
      <c r="K131" s="2">
        <v>1484</v>
      </c>
      <c r="L131" s="2">
        <v>1233</v>
      </c>
      <c r="M131" s="2">
        <v>1216</v>
      </c>
      <c r="N131" s="2">
        <v>1070</v>
      </c>
      <c r="O131" s="2">
        <v>848</v>
      </c>
      <c r="P131" s="2">
        <v>13505</v>
      </c>
      <c r="Q131" s="2">
        <v>100</v>
      </c>
      <c r="R131" s="2">
        <v>1350500</v>
      </c>
      <c r="S131" s="4">
        <f>SUM($R$2:R131) / SUM($R:$R)</f>
        <v>0.87775885562077127</v>
      </c>
      <c r="T131" s="3" t="str">
        <f t="shared" ref="T131:T194" si="12">IF(S131&lt;=0.7, "A", IF(S131&lt;=0.9, "B", "C"))</f>
        <v>B</v>
      </c>
      <c r="U131" s="2">
        <f t="shared" ref="U131:U194" si="13">AVERAGE(D131:O131)</f>
        <v>1125.4166666666667</v>
      </c>
      <c r="V131" s="2">
        <f t="shared" ref="V131:V194" si="14">_xlfn.STDEV.S(D131:O131)</f>
        <v>201.54063805565053</v>
      </c>
      <c r="W131" s="2">
        <f t="shared" ref="W131:W194" si="15">IF(U131=0,0,V131/U131)</f>
        <v>0.17908090756518372</v>
      </c>
      <c r="X131" s="2" t="str">
        <f t="shared" ref="X131:X194" si="16">(IF(W131&lt;=0.2, "X", IF(W131&lt;=0.5, "Y", "Z")))</f>
        <v>X</v>
      </c>
      <c r="Y131" s="2" t="str">
        <f t="shared" ref="Y131:Y194" si="17">T131&amp;X131</f>
        <v>BX</v>
      </c>
    </row>
    <row r="132" spans="1:25" x14ac:dyDescent="0.3">
      <c r="A132" s="2" t="s">
        <v>599</v>
      </c>
      <c r="B132" s="2" t="s">
        <v>600</v>
      </c>
      <c r="C132" s="2" t="s">
        <v>25</v>
      </c>
      <c r="D132" s="2">
        <v>231</v>
      </c>
      <c r="E132" s="2">
        <v>233</v>
      </c>
      <c r="F132" s="2">
        <v>323</v>
      </c>
      <c r="G132" s="2">
        <v>484</v>
      </c>
      <c r="H132" s="2">
        <v>302</v>
      </c>
      <c r="I132" s="2">
        <v>251</v>
      </c>
      <c r="J132" s="2">
        <v>215</v>
      </c>
      <c r="K132" s="2">
        <v>37</v>
      </c>
      <c r="L132" s="2">
        <v>101</v>
      </c>
      <c r="M132" s="2">
        <v>126</v>
      </c>
      <c r="N132" s="2">
        <v>255</v>
      </c>
      <c r="O132" s="2">
        <v>61</v>
      </c>
      <c r="P132" s="2">
        <v>2619</v>
      </c>
      <c r="Q132" s="2">
        <v>500</v>
      </c>
      <c r="R132" s="2">
        <v>1309500</v>
      </c>
      <c r="S132" s="4">
        <f>SUM($R$2:R132) / SUM($R:$R)</f>
        <v>0.87898007615305551</v>
      </c>
      <c r="T132" s="3" t="str">
        <f t="shared" si="12"/>
        <v>B</v>
      </c>
      <c r="U132" s="2">
        <f t="shared" si="13"/>
        <v>218.25</v>
      </c>
      <c r="V132" s="2">
        <f t="shared" si="14"/>
        <v>124.77625429689591</v>
      </c>
      <c r="W132" s="2">
        <f t="shared" si="15"/>
        <v>0.57171250536951168</v>
      </c>
      <c r="X132" s="2" t="str">
        <f t="shared" si="16"/>
        <v>Z</v>
      </c>
      <c r="Y132" s="2" t="str">
        <f t="shared" si="17"/>
        <v>BZ</v>
      </c>
    </row>
    <row r="133" spans="1:25" x14ac:dyDescent="0.3">
      <c r="A133" s="2" t="s">
        <v>95</v>
      </c>
      <c r="B133" s="2" t="s">
        <v>96</v>
      </c>
      <c r="C133" s="2" t="s">
        <v>20</v>
      </c>
      <c r="D133" s="2">
        <v>2574</v>
      </c>
      <c r="E133" s="2">
        <v>1779</v>
      </c>
      <c r="F133" s="2">
        <v>1994</v>
      </c>
      <c r="G133" s="2">
        <v>2135</v>
      </c>
      <c r="H133" s="2">
        <v>2258</v>
      </c>
      <c r="I133" s="2">
        <v>1984</v>
      </c>
      <c r="J133" s="2">
        <v>2394</v>
      </c>
      <c r="K133" s="2">
        <v>2243</v>
      </c>
      <c r="L133" s="2">
        <v>2376</v>
      </c>
      <c r="M133" s="2">
        <v>2439</v>
      </c>
      <c r="N133" s="2">
        <v>1987</v>
      </c>
      <c r="O133" s="2">
        <v>2001</v>
      </c>
      <c r="P133" s="2">
        <v>26164</v>
      </c>
      <c r="Q133" s="2">
        <v>50</v>
      </c>
      <c r="R133" s="2">
        <v>1308200</v>
      </c>
      <c r="S133" s="4">
        <f>SUM($R$2:R133) / SUM($R:$R)</f>
        <v>0.88020008432436847</v>
      </c>
      <c r="T133" s="3" t="str">
        <f t="shared" si="12"/>
        <v>B</v>
      </c>
      <c r="U133" s="2">
        <f t="shared" si="13"/>
        <v>2180.3333333333335</v>
      </c>
      <c r="V133" s="2">
        <f t="shared" si="14"/>
        <v>237.73718618880275</v>
      </c>
      <c r="W133" s="2">
        <f t="shared" si="15"/>
        <v>0.10903708279565941</v>
      </c>
      <c r="X133" s="2" t="str">
        <f t="shared" si="16"/>
        <v>X</v>
      </c>
      <c r="Y133" s="2" t="str">
        <f t="shared" si="17"/>
        <v>BX</v>
      </c>
    </row>
    <row r="134" spans="1:25" x14ac:dyDescent="0.3">
      <c r="A134" s="2" t="s">
        <v>1705</v>
      </c>
      <c r="B134" s="2" t="s">
        <v>1706</v>
      </c>
      <c r="C134" s="2" t="s">
        <v>20</v>
      </c>
      <c r="D134" s="2">
        <v>1195</v>
      </c>
      <c r="E134" s="2">
        <v>1000</v>
      </c>
      <c r="F134" s="2">
        <v>1238</v>
      </c>
      <c r="G134" s="2">
        <v>1135</v>
      </c>
      <c r="H134" s="2">
        <v>1078</v>
      </c>
      <c r="I134" s="2">
        <v>1083</v>
      </c>
      <c r="J134" s="2">
        <v>1071</v>
      </c>
      <c r="K134" s="2">
        <v>1227</v>
      </c>
      <c r="L134" s="2">
        <v>940</v>
      </c>
      <c r="M134" s="2">
        <v>826</v>
      </c>
      <c r="N134" s="2">
        <v>992</v>
      </c>
      <c r="O134" s="2">
        <v>1166</v>
      </c>
      <c r="P134" s="2">
        <v>12951</v>
      </c>
      <c r="Q134" s="2">
        <v>100</v>
      </c>
      <c r="R134" s="2">
        <v>1295100</v>
      </c>
      <c r="S134" s="4">
        <f>SUM($R$2:R134) / SUM($R:$R)</f>
        <v>0.88140787562743173</v>
      </c>
      <c r="T134" s="3" t="str">
        <f t="shared" si="12"/>
        <v>B</v>
      </c>
      <c r="U134" s="2">
        <f t="shared" si="13"/>
        <v>1079.25</v>
      </c>
      <c r="V134" s="2">
        <f t="shared" si="14"/>
        <v>123.79097117905872</v>
      </c>
      <c r="W134" s="2">
        <f t="shared" si="15"/>
        <v>0.11470092302900969</v>
      </c>
      <c r="X134" s="2" t="str">
        <f t="shared" si="16"/>
        <v>X</v>
      </c>
      <c r="Y134" s="2" t="str">
        <f t="shared" si="17"/>
        <v>BX</v>
      </c>
    </row>
    <row r="135" spans="1:25" x14ac:dyDescent="0.3">
      <c r="A135" s="2" t="s">
        <v>1369</v>
      </c>
      <c r="B135" s="2" t="s">
        <v>1370</v>
      </c>
      <c r="C135" s="2" t="s">
        <v>20</v>
      </c>
      <c r="D135" s="2">
        <v>2143</v>
      </c>
      <c r="E135" s="2">
        <v>2234</v>
      </c>
      <c r="F135" s="2">
        <v>2305</v>
      </c>
      <c r="G135" s="2">
        <v>2260</v>
      </c>
      <c r="H135" s="2">
        <v>1970</v>
      </c>
      <c r="I135" s="2">
        <v>2088</v>
      </c>
      <c r="J135" s="2">
        <v>2391</v>
      </c>
      <c r="K135" s="2">
        <v>1775</v>
      </c>
      <c r="L135" s="2">
        <v>2271</v>
      </c>
      <c r="M135" s="2">
        <v>2304</v>
      </c>
      <c r="N135" s="2">
        <v>1885</v>
      </c>
      <c r="O135" s="2">
        <v>1871</v>
      </c>
      <c r="P135" s="2">
        <v>25497</v>
      </c>
      <c r="Q135" s="2">
        <v>50</v>
      </c>
      <c r="R135" s="2">
        <v>1274850</v>
      </c>
      <c r="S135" s="4">
        <f>SUM($R$2:R135) / SUM($R:$R)</f>
        <v>0.88259678207690306</v>
      </c>
      <c r="T135" s="3" t="str">
        <f t="shared" si="12"/>
        <v>B</v>
      </c>
      <c r="U135" s="2">
        <f t="shared" si="13"/>
        <v>2124.75</v>
      </c>
      <c r="V135" s="2">
        <f t="shared" si="14"/>
        <v>203.81637234619706</v>
      </c>
      <c r="W135" s="2">
        <f t="shared" si="15"/>
        <v>9.5924872265535741E-2</v>
      </c>
      <c r="X135" s="2" t="str">
        <f t="shared" si="16"/>
        <v>X</v>
      </c>
      <c r="Y135" s="2" t="str">
        <f t="shared" si="17"/>
        <v>BX</v>
      </c>
    </row>
    <row r="136" spans="1:25" x14ac:dyDescent="0.3">
      <c r="A136" s="2" t="s">
        <v>195</v>
      </c>
      <c r="B136" s="2" t="s">
        <v>196</v>
      </c>
      <c r="C136" s="2" t="s">
        <v>20</v>
      </c>
      <c r="D136" s="2">
        <v>2091</v>
      </c>
      <c r="E136" s="2">
        <v>2013</v>
      </c>
      <c r="F136" s="2">
        <v>1971</v>
      </c>
      <c r="G136" s="2">
        <v>1823</v>
      </c>
      <c r="H136" s="2">
        <v>1790</v>
      </c>
      <c r="I136" s="2">
        <v>2012</v>
      </c>
      <c r="J136" s="2">
        <v>2012</v>
      </c>
      <c r="K136" s="2">
        <v>2150</v>
      </c>
      <c r="L136" s="2">
        <v>2303</v>
      </c>
      <c r="M136" s="2">
        <v>2379</v>
      </c>
      <c r="N136" s="2">
        <v>2013</v>
      </c>
      <c r="O136" s="2">
        <v>1836</v>
      </c>
      <c r="P136" s="2">
        <v>24393</v>
      </c>
      <c r="Q136" s="2">
        <v>50</v>
      </c>
      <c r="R136" s="2">
        <v>1219650</v>
      </c>
      <c r="S136" s="4">
        <f>SUM($R$2:R136) / SUM($R:$R)</f>
        <v>0.88373420981436046</v>
      </c>
      <c r="T136" s="3" t="str">
        <f t="shared" si="12"/>
        <v>B</v>
      </c>
      <c r="U136" s="2">
        <f t="shared" si="13"/>
        <v>2032.75</v>
      </c>
      <c r="V136" s="2">
        <f t="shared" si="14"/>
        <v>180.18986198905966</v>
      </c>
      <c r="W136" s="2">
        <f t="shared" si="15"/>
        <v>8.8643395394937721E-2</v>
      </c>
      <c r="X136" s="2" t="str">
        <f t="shared" si="16"/>
        <v>X</v>
      </c>
      <c r="Y136" s="2" t="str">
        <f t="shared" si="17"/>
        <v>BX</v>
      </c>
    </row>
    <row r="137" spans="1:25" x14ac:dyDescent="0.3">
      <c r="A137" s="2" t="s">
        <v>1089</v>
      </c>
      <c r="B137" s="2" t="s">
        <v>1090</v>
      </c>
      <c r="C137" s="2" t="s">
        <v>20</v>
      </c>
      <c r="D137" s="2">
        <v>2012</v>
      </c>
      <c r="E137" s="2">
        <v>2070</v>
      </c>
      <c r="F137" s="2">
        <v>2326</v>
      </c>
      <c r="G137" s="2">
        <v>2144</v>
      </c>
      <c r="H137" s="2">
        <v>1397</v>
      </c>
      <c r="I137" s="2">
        <v>2108</v>
      </c>
      <c r="J137" s="2">
        <v>1905</v>
      </c>
      <c r="K137" s="2">
        <v>2218</v>
      </c>
      <c r="L137" s="2">
        <v>2012</v>
      </c>
      <c r="M137" s="2">
        <v>2426</v>
      </c>
      <c r="N137" s="2">
        <v>1869</v>
      </c>
      <c r="O137" s="2">
        <v>1773</v>
      </c>
      <c r="P137" s="2">
        <v>24260</v>
      </c>
      <c r="Q137" s="2">
        <v>50</v>
      </c>
      <c r="R137" s="2">
        <v>1213000</v>
      </c>
      <c r="S137" s="4">
        <f>SUM($R$2:R137) / SUM($R:$R)</f>
        <v>0.88486543585915689</v>
      </c>
      <c r="T137" s="3" t="str">
        <f t="shared" si="12"/>
        <v>B</v>
      </c>
      <c r="U137" s="2">
        <f t="shared" si="13"/>
        <v>2021.6666666666667</v>
      </c>
      <c r="V137" s="2">
        <f t="shared" si="14"/>
        <v>271.11799958130683</v>
      </c>
      <c r="W137" s="2">
        <f t="shared" si="15"/>
        <v>0.13410618281020947</v>
      </c>
      <c r="X137" s="2" t="str">
        <f t="shared" si="16"/>
        <v>X</v>
      </c>
      <c r="Y137" s="2" t="str">
        <f t="shared" si="17"/>
        <v>BX</v>
      </c>
    </row>
    <row r="138" spans="1:25" x14ac:dyDescent="0.3">
      <c r="A138" s="2" t="s">
        <v>91</v>
      </c>
      <c r="B138" s="2" t="s">
        <v>92</v>
      </c>
      <c r="C138" s="2" t="s">
        <v>25</v>
      </c>
      <c r="D138" s="2">
        <v>803</v>
      </c>
      <c r="E138" s="2">
        <v>919</v>
      </c>
      <c r="F138" s="2">
        <v>824</v>
      </c>
      <c r="G138" s="2">
        <v>1240</v>
      </c>
      <c r="H138" s="2">
        <v>1246</v>
      </c>
      <c r="I138" s="2">
        <v>1022</v>
      </c>
      <c r="J138" s="2">
        <v>1222</v>
      </c>
      <c r="K138" s="2">
        <v>810</v>
      </c>
      <c r="L138" s="2">
        <v>1258</v>
      </c>
      <c r="M138" s="2">
        <v>1212</v>
      </c>
      <c r="N138" s="2">
        <v>677</v>
      </c>
      <c r="O138" s="2">
        <v>789</v>
      </c>
      <c r="P138" s="2">
        <v>12022</v>
      </c>
      <c r="Q138" s="2">
        <v>100</v>
      </c>
      <c r="R138" s="2">
        <v>1202200</v>
      </c>
      <c r="S138" s="4">
        <f>SUM($R$2:R138) / SUM($R:$R)</f>
        <v>0.8859865899820375</v>
      </c>
      <c r="T138" s="3" t="str">
        <f t="shared" si="12"/>
        <v>B</v>
      </c>
      <c r="U138" s="2">
        <f t="shared" si="13"/>
        <v>1001.8333333333334</v>
      </c>
      <c r="V138" s="2">
        <f t="shared" si="14"/>
        <v>221.69751437214586</v>
      </c>
      <c r="W138" s="2">
        <f t="shared" si="15"/>
        <v>0.22129181271550077</v>
      </c>
      <c r="X138" s="2" t="str">
        <f t="shared" si="16"/>
        <v>Y</v>
      </c>
      <c r="Y138" s="2" t="str">
        <f t="shared" si="17"/>
        <v>BY</v>
      </c>
    </row>
    <row r="139" spans="1:25" x14ac:dyDescent="0.3">
      <c r="A139" s="2" t="s">
        <v>1923</v>
      </c>
      <c r="B139" s="2" t="s">
        <v>1924</v>
      </c>
      <c r="C139" s="2" t="s">
        <v>41</v>
      </c>
      <c r="D139" s="2">
        <v>191</v>
      </c>
      <c r="E139" s="2">
        <v>191</v>
      </c>
      <c r="F139" s="2">
        <v>193</v>
      </c>
      <c r="G139" s="2">
        <v>208</v>
      </c>
      <c r="H139" s="2">
        <v>196</v>
      </c>
      <c r="I139" s="2">
        <v>179</v>
      </c>
      <c r="J139" s="2">
        <v>202</v>
      </c>
      <c r="K139" s="2">
        <v>202</v>
      </c>
      <c r="L139" s="2">
        <v>206</v>
      </c>
      <c r="M139" s="2">
        <v>193</v>
      </c>
      <c r="N139" s="2">
        <v>197</v>
      </c>
      <c r="O139" s="2">
        <v>221</v>
      </c>
      <c r="P139" s="2">
        <v>2379</v>
      </c>
      <c r="Q139" s="2">
        <v>500</v>
      </c>
      <c r="R139" s="2">
        <v>1189500</v>
      </c>
      <c r="S139" s="4">
        <f>SUM($R$2:R139) / SUM($R:$R)</f>
        <v>0.88709590027081342</v>
      </c>
      <c r="T139" s="3" t="str">
        <f t="shared" si="12"/>
        <v>B</v>
      </c>
      <c r="U139" s="2">
        <f t="shared" si="13"/>
        <v>198.25</v>
      </c>
      <c r="V139" s="2">
        <f t="shared" si="14"/>
        <v>10.609815352690253</v>
      </c>
      <c r="W139" s="2">
        <f t="shared" si="15"/>
        <v>5.351735360751704E-2</v>
      </c>
      <c r="X139" s="2" t="str">
        <f t="shared" si="16"/>
        <v>X</v>
      </c>
      <c r="Y139" s="2" t="str">
        <f t="shared" si="17"/>
        <v>BX</v>
      </c>
    </row>
    <row r="140" spans="1:25" x14ac:dyDescent="0.3">
      <c r="A140" s="2" t="s">
        <v>1977</v>
      </c>
      <c r="B140" s="2" t="s">
        <v>1978</v>
      </c>
      <c r="C140" s="2" t="s">
        <v>20</v>
      </c>
      <c r="D140" s="2">
        <v>1862</v>
      </c>
      <c r="E140" s="2">
        <v>2000</v>
      </c>
      <c r="F140" s="2">
        <v>2023</v>
      </c>
      <c r="G140" s="2">
        <v>2120</v>
      </c>
      <c r="H140" s="2">
        <v>1942</v>
      </c>
      <c r="I140" s="2">
        <v>1777</v>
      </c>
      <c r="J140" s="2">
        <v>1857</v>
      </c>
      <c r="K140" s="2">
        <v>2208</v>
      </c>
      <c r="L140" s="2">
        <v>1604</v>
      </c>
      <c r="M140" s="2">
        <v>1888</v>
      </c>
      <c r="N140" s="2">
        <v>2222</v>
      </c>
      <c r="O140" s="2">
        <v>2245</v>
      </c>
      <c r="P140" s="2">
        <v>23748</v>
      </c>
      <c r="Q140" s="2">
        <v>50</v>
      </c>
      <c r="R140" s="2">
        <v>1187400</v>
      </c>
      <c r="S140" s="4">
        <f>SUM($R$2:R140) / SUM($R:$R)</f>
        <v>0.88820325213032802</v>
      </c>
      <c r="T140" s="3" t="str">
        <f t="shared" si="12"/>
        <v>B</v>
      </c>
      <c r="U140" s="2">
        <f t="shared" si="13"/>
        <v>1979</v>
      </c>
      <c r="V140" s="2">
        <f t="shared" si="14"/>
        <v>196.36607742590459</v>
      </c>
      <c r="W140" s="2">
        <f t="shared" si="15"/>
        <v>9.9224900164681454E-2</v>
      </c>
      <c r="X140" s="2" t="str">
        <f t="shared" si="16"/>
        <v>X</v>
      </c>
      <c r="Y140" s="2" t="str">
        <f t="shared" si="17"/>
        <v>BX</v>
      </c>
    </row>
    <row r="141" spans="1:25" x14ac:dyDescent="0.3">
      <c r="A141" s="2" t="s">
        <v>1837</v>
      </c>
      <c r="B141" s="2" t="s">
        <v>1838</v>
      </c>
      <c r="C141" s="2" t="s">
        <v>25</v>
      </c>
      <c r="D141" s="2">
        <v>959</v>
      </c>
      <c r="E141" s="2">
        <v>936</v>
      </c>
      <c r="F141" s="2">
        <v>780</v>
      </c>
      <c r="G141" s="2">
        <v>1085</v>
      </c>
      <c r="H141" s="2">
        <v>1274</v>
      </c>
      <c r="I141" s="2">
        <v>1005</v>
      </c>
      <c r="J141" s="2">
        <v>713</v>
      </c>
      <c r="K141" s="2">
        <v>778</v>
      </c>
      <c r="L141" s="2">
        <v>951</v>
      </c>
      <c r="M141" s="2">
        <v>1143</v>
      </c>
      <c r="N141" s="2">
        <v>1148</v>
      </c>
      <c r="O141" s="2">
        <v>799</v>
      </c>
      <c r="P141" s="2">
        <v>11571</v>
      </c>
      <c r="Q141" s="2">
        <v>100</v>
      </c>
      <c r="R141" s="2">
        <v>1157100</v>
      </c>
      <c r="S141" s="4">
        <f>SUM($R$2:R141) / SUM($R:$R)</f>
        <v>0.88928234665335681</v>
      </c>
      <c r="T141" s="3" t="str">
        <f t="shared" si="12"/>
        <v>B</v>
      </c>
      <c r="U141" s="2">
        <f t="shared" si="13"/>
        <v>964.25</v>
      </c>
      <c r="V141" s="2">
        <f t="shared" si="14"/>
        <v>175.28528694155085</v>
      </c>
      <c r="W141" s="2">
        <f t="shared" si="15"/>
        <v>0.1817840673492879</v>
      </c>
      <c r="X141" s="2" t="str">
        <f t="shared" si="16"/>
        <v>X</v>
      </c>
      <c r="Y141" s="2" t="str">
        <f t="shared" si="17"/>
        <v>BX</v>
      </c>
    </row>
    <row r="142" spans="1:25" x14ac:dyDescent="0.3">
      <c r="A142" s="2" t="s">
        <v>281</v>
      </c>
      <c r="B142" s="2" t="s">
        <v>282</v>
      </c>
      <c r="C142" s="2" t="s">
        <v>20</v>
      </c>
      <c r="D142" s="2">
        <v>1439</v>
      </c>
      <c r="E142" s="2">
        <v>2100</v>
      </c>
      <c r="F142" s="2">
        <v>1883</v>
      </c>
      <c r="G142" s="2">
        <v>1764</v>
      </c>
      <c r="H142" s="2">
        <v>1910</v>
      </c>
      <c r="I142" s="2">
        <v>2112</v>
      </c>
      <c r="J142" s="2">
        <v>1715</v>
      </c>
      <c r="K142" s="2">
        <v>1932</v>
      </c>
      <c r="L142" s="2">
        <v>1876</v>
      </c>
      <c r="M142" s="2">
        <v>1700</v>
      </c>
      <c r="N142" s="2">
        <v>2009</v>
      </c>
      <c r="O142" s="2">
        <v>1794</v>
      </c>
      <c r="P142" s="2">
        <v>22234</v>
      </c>
      <c r="Q142" s="2">
        <v>50</v>
      </c>
      <c r="R142" s="2">
        <v>1111700</v>
      </c>
      <c r="S142" s="4">
        <f>SUM($R$2:R142) / SUM($R:$R)</f>
        <v>0.89031910180092488</v>
      </c>
      <c r="T142" s="3" t="str">
        <f t="shared" si="12"/>
        <v>B</v>
      </c>
      <c r="U142" s="2">
        <f t="shared" si="13"/>
        <v>1852.8333333333333</v>
      </c>
      <c r="V142" s="2">
        <f t="shared" si="14"/>
        <v>187.9544593455521</v>
      </c>
      <c r="W142" s="2">
        <f t="shared" si="15"/>
        <v>0.10144164397529123</v>
      </c>
      <c r="X142" s="2" t="str">
        <f t="shared" si="16"/>
        <v>X</v>
      </c>
      <c r="Y142" s="2" t="str">
        <f t="shared" si="17"/>
        <v>BX</v>
      </c>
    </row>
    <row r="143" spans="1:25" x14ac:dyDescent="0.3">
      <c r="A143" s="2" t="s">
        <v>1129</v>
      </c>
      <c r="B143" s="2" t="s">
        <v>1130</v>
      </c>
      <c r="C143" s="2" t="s">
        <v>25</v>
      </c>
      <c r="D143" s="2">
        <v>796</v>
      </c>
      <c r="E143" s="2">
        <v>906</v>
      </c>
      <c r="F143" s="2">
        <v>969</v>
      </c>
      <c r="G143" s="2">
        <v>1073</v>
      </c>
      <c r="H143" s="2">
        <v>980</v>
      </c>
      <c r="I143" s="2">
        <v>960</v>
      </c>
      <c r="J143" s="2">
        <v>897</v>
      </c>
      <c r="K143" s="2">
        <v>870</v>
      </c>
      <c r="L143" s="2">
        <v>640</v>
      </c>
      <c r="M143" s="2">
        <v>819</v>
      </c>
      <c r="N143" s="2">
        <v>1143</v>
      </c>
      <c r="O143" s="2">
        <v>898</v>
      </c>
      <c r="P143" s="2">
        <v>10951</v>
      </c>
      <c r="Q143" s="2">
        <v>100</v>
      </c>
      <c r="R143" s="2">
        <v>1095100</v>
      </c>
      <c r="S143" s="4">
        <f>SUM($R$2:R143) / SUM($R:$R)</f>
        <v>0.89134037603147442</v>
      </c>
      <c r="T143" s="3" t="str">
        <f t="shared" si="12"/>
        <v>B</v>
      </c>
      <c r="U143" s="2">
        <f t="shared" si="13"/>
        <v>912.58333333333337</v>
      </c>
      <c r="V143" s="2">
        <f t="shared" si="14"/>
        <v>130.65044155603846</v>
      </c>
      <c r="W143" s="2">
        <f t="shared" si="15"/>
        <v>0.14316549161468919</v>
      </c>
      <c r="X143" s="2" t="str">
        <f t="shared" si="16"/>
        <v>X</v>
      </c>
      <c r="Y143" s="2" t="str">
        <f t="shared" si="17"/>
        <v>BX</v>
      </c>
    </row>
    <row r="144" spans="1:25" x14ac:dyDescent="0.3">
      <c r="A144" s="2" t="s">
        <v>363</v>
      </c>
      <c r="B144" s="2" t="s">
        <v>364</v>
      </c>
      <c r="C144" s="2" t="s">
        <v>41</v>
      </c>
      <c r="D144" s="2">
        <v>158</v>
      </c>
      <c r="E144" s="2">
        <v>178</v>
      </c>
      <c r="F144" s="2">
        <v>173</v>
      </c>
      <c r="G144" s="2">
        <v>174</v>
      </c>
      <c r="H144" s="2">
        <v>162</v>
      </c>
      <c r="I144" s="2">
        <v>179</v>
      </c>
      <c r="J144" s="2">
        <v>185</v>
      </c>
      <c r="K144" s="2">
        <v>190</v>
      </c>
      <c r="L144" s="2">
        <v>175</v>
      </c>
      <c r="M144" s="2">
        <v>180</v>
      </c>
      <c r="N144" s="2">
        <v>197</v>
      </c>
      <c r="O144" s="2">
        <v>201</v>
      </c>
      <c r="P144" s="2">
        <v>2152</v>
      </c>
      <c r="Q144" s="2">
        <v>500</v>
      </c>
      <c r="R144" s="2">
        <v>1076000</v>
      </c>
      <c r="S144" s="4">
        <f>SUM($R$2:R144) / SUM($R:$R)</f>
        <v>0.89234383788159877</v>
      </c>
      <c r="T144" s="3" t="str">
        <f t="shared" si="12"/>
        <v>B</v>
      </c>
      <c r="U144" s="2">
        <f t="shared" si="13"/>
        <v>179.33333333333334</v>
      </c>
      <c r="V144" s="2">
        <f t="shared" si="14"/>
        <v>12.694546669791528</v>
      </c>
      <c r="W144" s="2">
        <f t="shared" si="15"/>
        <v>7.0787434961662787E-2</v>
      </c>
      <c r="X144" s="2" t="str">
        <f t="shared" si="16"/>
        <v>X</v>
      </c>
      <c r="Y144" s="2" t="str">
        <f t="shared" si="17"/>
        <v>BX</v>
      </c>
    </row>
    <row r="145" spans="1:25" x14ac:dyDescent="0.3">
      <c r="A145" s="2" t="s">
        <v>907</v>
      </c>
      <c r="B145" s="2" t="s">
        <v>908</v>
      </c>
      <c r="C145" s="2" t="s">
        <v>20</v>
      </c>
      <c r="D145" s="2">
        <v>2278</v>
      </c>
      <c r="E145" s="2">
        <v>1672</v>
      </c>
      <c r="F145" s="2">
        <v>1781</v>
      </c>
      <c r="G145" s="2">
        <v>2063</v>
      </c>
      <c r="H145" s="2">
        <v>1259</v>
      </c>
      <c r="I145" s="2">
        <v>1619</v>
      </c>
      <c r="J145" s="2">
        <v>1408</v>
      </c>
      <c r="K145" s="2">
        <v>1524</v>
      </c>
      <c r="L145" s="2">
        <v>2063</v>
      </c>
      <c r="M145" s="2">
        <v>1698</v>
      </c>
      <c r="N145" s="2">
        <v>1672</v>
      </c>
      <c r="O145" s="2">
        <v>2106</v>
      </c>
      <c r="P145" s="2">
        <v>21143</v>
      </c>
      <c r="Q145" s="2">
        <v>50</v>
      </c>
      <c r="R145" s="2">
        <v>1057150</v>
      </c>
      <c r="S145" s="4">
        <f>SUM($R$2:R145) / SUM($R:$R)</f>
        <v>0.8933297204976387</v>
      </c>
      <c r="T145" s="3" t="str">
        <f t="shared" si="12"/>
        <v>B</v>
      </c>
      <c r="U145" s="2">
        <f t="shared" si="13"/>
        <v>1761.9166666666667</v>
      </c>
      <c r="V145" s="2">
        <f t="shared" si="14"/>
        <v>307.75860030323412</v>
      </c>
      <c r="W145" s="2">
        <f t="shared" si="15"/>
        <v>0.17467261995170077</v>
      </c>
      <c r="X145" s="2" t="str">
        <f t="shared" si="16"/>
        <v>X</v>
      </c>
      <c r="Y145" s="2" t="str">
        <f t="shared" si="17"/>
        <v>BX</v>
      </c>
    </row>
    <row r="146" spans="1:25" x14ac:dyDescent="0.3">
      <c r="A146" s="2" t="s">
        <v>279</v>
      </c>
      <c r="B146" s="2" t="s">
        <v>280</v>
      </c>
      <c r="C146" s="2" t="s">
        <v>25</v>
      </c>
      <c r="D146" s="2">
        <v>941</v>
      </c>
      <c r="E146" s="2">
        <v>946</v>
      </c>
      <c r="F146" s="2">
        <v>1038</v>
      </c>
      <c r="G146" s="2">
        <v>769</v>
      </c>
      <c r="H146" s="2">
        <v>710</v>
      </c>
      <c r="I146" s="2">
        <v>757</v>
      </c>
      <c r="J146" s="2">
        <v>618</v>
      </c>
      <c r="K146" s="2">
        <v>892</v>
      </c>
      <c r="L146" s="2">
        <v>715</v>
      </c>
      <c r="M146" s="2">
        <v>1012</v>
      </c>
      <c r="N146" s="2">
        <v>1059</v>
      </c>
      <c r="O146" s="2">
        <v>1057</v>
      </c>
      <c r="P146" s="2">
        <v>10514</v>
      </c>
      <c r="Q146" s="2">
        <v>100</v>
      </c>
      <c r="R146" s="2">
        <v>1051400</v>
      </c>
      <c r="S146" s="4">
        <f>SUM($R$2:R146) / SUM($R:$R)</f>
        <v>0.89431024074784393</v>
      </c>
      <c r="T146" s="3" t="str">
        <f t="shared" si="12"/>
        <v>B</v>
      </c>
      <c r="U146" s="2">
        <f t="shared" si="13"/>
        <v>876.16666666666663</v>
      </c>
      <c r="V146" s="2">
        <f t="shared" si="14"/>
        <v>155.51137539996174</v>
      </c>
      <c r="W146" s="2">
        <f t="shared" si="15"/>
        <v>0.177490631995391</v>
      </c>
      <c r="X146" s="2" t="str">
        <f t="shared" si="16"/>
        <v>X</v>
      </c>
      <c r="Y146" s="2" t="str">
        <f t="shared" si="17"/>
        <v>BX</v>
      </c>
    </row>
    <row r="147" spans="1:25" x14ac:dyDescent="0.3">
      <c r="A147" s="2" t="s">
        <v>877</v>
      </c>
      <c r="B147" s="2" t="s">
        <v>878</v>
      </c>
      <c r="C147" s="2" t="s">
        <v>20</v>
      </c>
      <c r="D147" s="2">
        <v>1785</v>
      </c>
      <c r="E147" s="2">
        <v>1610</v>
      </c>
      <c r="F147" s="2">
        <v>1597</v>
      </c>
      <c r="G147" s="2">
        <v>1667</v>
      </c>
      <c r="H147" s="2">
        <v>1886</v>
      </c>
      <c r="I147" s="2">
        <v>1795</v>
      </c>
      <c r="J147" s="2">
        <v>1588</v>
      </c>
      <c r="K147" s="2">
        <v>2046</v>
      </c>
      <c r="L147" s="2">
        <v>1413</v>
      </c>
      <c r="M147" s="2">
        <v>1778</v>
      </c>
      <c r="N147" s="2">
        <v>1166</v>
      </c>
      <c r="O147" s="2">
        <v>1721</v>
      </c>
      <c r="P147" s="2">
        <v>20052</v>
      </c>
      <c r="Q147" s="2">
        <v>50</v>
      </c>
      <c r="R147" s="2">
        <v>1002600</v>
      </c>
      <c r="S147" s="4">
        <f>SUM($R$2:R147) / SUM($R:$R)</f>
        <v>0.89524525083235573</v>
      </c>
      <c r="T147" s="3" t="str">
        <f t="shared" si="12"/>
        <v>B</v>
      </c>
      <c r="U147" s="2">
        <f t="shared" si="13"/>
        <v>1671</v>
      </c>
      <c r="V147" s="2">
        <f t="shared" si="14"/>
        <v>227.00861016910591</v>
      </c>
      <c r="W147" s="2">
        <f t="shared" si="15"/>
        <v>0.13585195102878869</v>
      </c>
      <c r="X147" s="2" t="str">
        <f t="shared" si="16"/>
        <v>X</v>
      </c>
      <c r="Y147" s="2" t="str">
        <f t="shared" si="17"/>
        <v>BX</v>
      </c>
    </row>
    <row r="148" spans="1:25" x14ac:dyDescent="0.3">
      <c r="A148" s="2" t="s">
        <v>603</v>
      </c>
      <c r="B148" s="2" t="s">
        <v>604</v>
      </c>
      <c r="C148" s="2" t="s">
        <v>20</v>
      </c>
      <c r="D148" s="2">
        <v>1821</v>
      </c>
      <c r="E148" s="2">
        <v>1804</v>
      </c>
      <c r="F148" s="2">
        <v>1920</v>
      </c>
      <c r="G148" s="2">
        <v>1581</v>
      </c>
      <c r="H148" s="2">
        <v>1653</v>
      </c>
      <c r="I148" s="2">
        <v>1407</v>
      </c>
      <c r="J148" s="2">
        <v>1336</v>
      </c>
      <c r="K148" s="2">
        <v>1465</v>
      </c>
      <c r="L148" s="2">
        <v>1408</v>
      </c>
      <c r="M148" s="2">
        <v>1564</v>
      </c>
      <c r="N148" s="2">
        <v>1939</v>
      </c>
      <c r="O148" s="2">
        <v>2088</v>
      </c>
      <c r="P148" s="2">
        <v>19986</v>
      </c>
      <c r="Q148" s="2">
        <v>50</v>
      </c>
      <c r="R148" s="2">
        <v>999300</v>
      </c>
      <c r="S148" s="4">
        <f>SUM($R$2:R148) / SUM($R:$R)</f>
        <v>0.89617718338517105</v>
      </c>
      <c r="T148" s="3" t="str">
        <f t="shared" si="12"/>
        <v>B</v>
      </c>
      <c r="U148" s="2">
        <f t="shared" si="13"/>
        <v>1665.5</v>
      </c>
      <c r="V148" s="2">
        <f t="shared" si="14"/>
        <v>245.12316013866098</v>
      </c>
      <c r="W148" s="2">
        <f t="shared" si="15"/>
        <v>0.1471769199271456</v>
      </c>
      <c r="X148" s="2" t="str">
        <f t="shared" si="16"/>
        <v>X</v>
      </c>
      <c r="Y148" s="2" t="str">
        <f t="shared" si="17"/>
        <v>BX</v>
      </c>
    </row>
    <row r="149" spans="1:25" x14ac:dyDescent="0.3">
      <c r="A149" s="2" t="s">
        <v>115</v>
      </c>
      <c r="B149" s="2" t="s">
        <v>116</v>
      </c>
      <c r="C149" s="2" t="s">
        <v>25</v>
      </c>
      <c r="D149" s="2">
        <v>734</v>
      </c>
      <c r="E149" s="2">
        <v>1086</v>
      </c>
      <c r="F149" s="2">
        <v>877</v>
      </c>
      <c r="G149" s="2">
        <v>774</v>
      </c>
      <c r="H149" s="2">
        <v>559</v>
      </c>
      <c r="I149" s="2">
        <v>813</v>
      </c>
      <c r="J149" s="2">
        <v>730</v>
      </c>
      <c r="K149" s="2">
        <v>808</v>
      </c>
      <c r="L149" s="2">
        <v>596</v>
      </c>
      <c r="M149" s="2">
        <v>786</v>
      </c>
      <c r="N149" s="2">
        <v>1107</v>
      </c>
      <c r="O149" s="2">
        <v>906</v>
      </c>
      <c r="P149" s="2">
        <v>9776</v>
      </c>
      <c r="Q149" s="2">
        <v>100</v>
      </c>
      <c r="R149" s="2">
        <v>977600</v>
      </c>
      <c r="S149" s="4">
        <f>SUM($R$2:R149) / SUM($R:$R)</f>
        <v>0.89708887883561872</v>
      </c>
      <c r="T149" s="3" t="str">
        <f t="shared" si="12"/>
        <v>B</v>
      </c>
      <c r="U149" s="2">
        <f t="shared" si="13"/>
        <v>814.66666666666663</v>
      </c>
      <c r="V149" s="2">
        <f t="shared" si="14"/>
        <v>165.33345552292658</v>
      </c>
      <c r="W149" s="2">
        <f t="shared" si="15"/>
        <v>0.20294614016725851</v>
      </c>
      <c r="X149" s="2" t="str">
        <f t="shared" si="16"/>
        <v>Y</v>
      </c>
      <c r="Y149" s="2" t="str">
        <f t="shared" si="17"/>
        <v>BY</v>
      </c>
    </row>
    <row r="150" spans="1:25" x14ac:dyDescent="0.3">
      <c r="A150" s="2" t="s">
        <v>809</v>
      </c>
      <c r="B150" s="2" t="s">
        <v>810</v>
      </c>
      <c r="C150" s="2" t="s">
        <v>20</v>
      </c>
      <c r="D150" s="2">
        <v>1289</v>
      </c>
      <c r="E150" s="2">
        <v>1664</v>
      </c>
      <c r="F150" s="2">
        <v>1643</v>
      </c>
      <c r="G150" s="2">
        <v>1589</v>
      </c>
      <c r="H150" s="2">
        <v>1662</v>
      </c>
      <c r="I150" s="2">
        <v>1642</v>
      </c>
      <c r="J150" s="2">
        <v>1655</v>
      </c>
      <c r="K150" s="2">
        <v>1850</v>
      </c>
      <c r="L150" s="2">
        <v>1446</v>
      </c>
      <c r="M150" s="2">
        <v>1683</v>
      </c>
      <c r="N150" s="2">
        <v>1885</v>
      </c>
      <c r="O150" s="2">
        <v>1517</v>
      </c>
      <c r="P150" s="2">
        <v>19525</v>
      </c>
      <c r="Q150" s="2">
        <v>50</v>
      </c>
      <c r="R150" s="2">
        <v>976250</v>
      </c>
      <c r="S150" s="4">
        <f>SUM($R$2:R150) / SUM($R:$R)</f>
        <v>0.89799931529582677</v>
      </c>
      <c r="T150" s="3" t="str">
        <f t="shared" si="12"/>
        <v>B</v>
      </c>
      <c r="U150" s="2">
        <f t="shared" si="13"/>
        <v>1627.0833333333333</v>
      </c>
      <c r="V150" s="2">
        <f t="shared" si="14"/>
        <v>160.63423066272659</v>
      </c>
      <c r="W150" s="2">
        <f t="shared" si="15"/>
        <v>9.8725263403468336E-2</v>
      </c>
      <c r="X150" s="2" t="str">
        <f t="shared" si="16"/>
        <v>X</v>
      </c>
      <c r="Y150" s="2" t="str">
        <f t="shared" si="17"/>
        <v>BX</v>
      </c>
    </row>
    <row r="151" spans="1:25" x14ac:dyDescent="0.3">
      <c r="A151" s="2" t="s">
        <v>1495</v>
      </c>
      <c r="B151" s="2" t="s">
        <v>1496</v>
      </c>
      <c r="C151" s="2" t="s">
        <v>20</v>
      </c>
      <c r="D151" s="2">
        <v>1677</v>
      </c>
      <c r="E151" s="2">
        <v>1263</v>
      </c>
      <c r="F151" s="2">
        <v>1196</v>
      </c>
      <c r="G151" s="2">
        <v>1534</v>
      </c>
      <c r="H151" s="2">
        <v>1639</v>
      </c>
      <c r="I151" s="2">
        <v>1506</v>
      </c>
      <c r="J151" s="2">
        <v>1669</v>
      </c>
      <c r="K151" s="2">
        <v>1745</v>
      </c>
      <c r="L151" s="2">
        <v>1884</v>
      </c>
      <c r="M151" s="2">
        <v>1781</v>
      </c>
      <c r="N151" s="2">
        <v>1295</v>
      </c>
      <c r="O151" s="2">
        <v>1732</v>
      </c>
      <c r="P151" s="2">
        <v>18921</v>
      </c>
      <c r="Q151" s="2">
        <v>50</v>
      </c>
      <c r="R151" s="2">
        <v>946050</v>
      </c>
      <c r="S151" s="4">
        <f>SUM($R$2:R151) / SUM($R:$R)</f>
        <v>0.89888158767808535</v>
      </c>
      <c r="T151" s="3" t="str">
        <f t="shared" si="12"/>
        <v>B</v>
      </c>
      <c r="U151" s="2">
        <f t="shared" si="13"/>
        <v>1576.75</v>
      </c>
      <c r="V151" s="2">
        <f t="shared" si="14"/>
        <v>221.68615202578621</v>
      </c>
      <c r="W151" s="2">
        <f t="shared" si="15"/>
        <v>0.14059689362662833</v>
      </c>
      <c r="X151" s="2" t="str">
        <f t="shared" si="16"/>
        <v>X</v>
      </c>
      <c r="Y151" s="2" t="str">
        <f t="shared" si="17"/>
        <v>BX</v>
      </c>
    </row>
    <row r="152" spans="1:25" x14ac:dyDescent="0.3">
      <c r="A152" s="2" t="s">
        <v>235</v>
      </c>
      <c r="B152" s="2" t="s">
        <v>236</v>
      </c>
      <c r="C152" s="2" t="s">
        <v>20</v>
      </c>
      <c r="D152" s="2">
        <v>1450</v>
      </c>
      <c r="E152" s="2">
        <v>1596</v>
      </c>
      <c r="F152" s="2">
        <v>1694</v>
      </c>
      <c r="G152" s="2">
        <v>1678</v>
      </c>
      <c r="H152" s="2">
        <v>1404</v>
      </c>
      <c r="I152" s="2">
        <v>1495</v>
      </c>
      <c r="J152" s="2">
        <v>1304</v>
      </c>
      <c r="K152" s="2">
        <v>1712</v>
      </c>
      <c r="L152" s="2">
        <v>1697</v>
      </c>
      <c r="M152" s="2">
        <v>1301</v>
      </c>
      <c r="N152" s="2">
        <v>1735</v>
      </c>
      <c r="O152" s="2">
        <v>1734</v>
      </c>
      <c r="P152" s="2">
        <v>18800</v>
      </c>
      <c r="Q152" s="2">
        <v>50</v>
      </c>
      <c r="R152" s="2">
        <v>940000</v>
      </c>
      <c r="S152" s="4">
        <f>SUM($R$2:R152) / SUM($R:$R)</f>
        <v>0.89975821791890032</v>
      </c>
      <c r="T152" s="3" t="str">
        <f t="shared" si="12"/>
        <v>B</v>
      </c>
      <c r="U152" s="2">
        <f t="shared" si="13"/>
        <v>1566.6666666666667</v>
      </c>
      <c r="V152" s="2">
        <f t="shared" si="14"/>
        <v>167.52060027098645</v>
      </c>
      <c r="W152" s="2">
        <f t="shared" si="15"/>
        <v>0.10692804272616156</v>
      </c>
      <c r="X152" s="2" t="str">
        <f t="shared" si="16"/>
        <v>X</v>
      </c>
      <c r="Y152" s="2" t="str">
        <f t="shared" si="17"/>
        <v>BX</v>
      </c>
    </row>
    <row r="153" spans="1:25" x14ac:dyDescent="0.3">
      <c r="A153" s="2" t="s">
        <v>965</v>
      </c>
      <c r="B153" s="2" t="s">
        <v>966</v>
      </c>
      <c r="C153" s="2" t="s">
        <v>20</v>
      </c>
      <c r="D153" s="2">
        <v>1826</v>
      </c>
      <c r="E153" s="2">
        <v>1480</v>
      </c>
      <c r="F153" s="2">
        <v>1600</v>
      </c>
      <c r="G153" s="2">
        <v>1365</v>
      </c>
      <c r="H153" s="2">
        <v>1218</v>
      </c>
      <c r="I153" s="2">
        <v>1307</v>
      </c>
      <c r="J153" s="2">
        <v>1389</v>
      </c>
      <c r="K153" s="2">
        <v>1551</v>
      </c>
      <c r="L153" s="2">
        <v>1536</v>
      </c>
      <c r="M153" s="2">
        <v>1683</v>
      </c>
      <c r="N153" s="2">
        <v>1259</v>
      </c>
      <c r="O153" s="2">
        <v>1315</v>
      </c>
      <c r="P153" s="2">
        <v>17529</v>
      </c>
      <c r="Q153" s="2">
        <v>50</v>
      </c>
      <c r="R153" s="2">
        <v>876450</v>
      </c>
      <c r="S153" s="4">
        <f>SUM($R$2:R153) / SUM($R:$R)</f>
        <v>0.90057558235992408</v>
      </c>
      <c r="T153" s="3" t="str">
        <f t="shared" si="12"/>
        <v>C</v>
      </c>
      <c r="U153" s="2">
        <f t="shared" si="13"/>
        <v>1460.75</v>
      </c>
      <c r="V153" s="2">
        <f t="shared" si="14"/>
        <v>184.68652803159097</v>
      </c>
      <c r="W153" s="2">
        <f t="shared" si="15"/>
        <v>0.12643267364818825</v>
      </c>
      <c r="X153" s="2" t="str">
        <f t="shared" si="16"/>
        <v>X</v>
      </c>
      <c r="Y153" s="2" t="str">
        <f t="shared" si="17"/>
        <v>CX</v>
      </c>
    </row>
    <row r="154" spans="1:25" x14ac:dyDescent="0.3">
      <c r="A154" s="2" t="s">
        <v>271</v>
      </c>
      <c r="B154" s="2" t="s">
        <v>272</v>
      </c>
      <c r="C154" s="2" t="s">
        <v>25</v>
      </c>
      <c r="D154" s="2">
        <v>503</v>
      </c>
      <c r="E154" s="2">
        <v>883</v>
      </c>
      <c r="F154" s="2">
        <v>678</v>
      </c>
      <c r="G154" s="2">
        <v>497</v>
      </c>
      <c r="H154" s="2">
        <v>684</v>
      </c>
      <c r="I154" s="2">
        <v>676</v>
      </c>
      <c r="J154" s="2">
        <v>796</v>
      </c>
      <c r="K154" s="2">
        <v>774</v>
      </c>
      <c r="L154" s="2">
        <v>901</v>
      </c>
      <c r="M154" s="2">
        <v>629</v>
      </c>
      <c r="N154" s="2">
        <v>654</v>
      </c>
      <c r="O154" s="2">
        <v>796</v>
      </c>
      <c r="P154" s="2">
        <v>8471</v>
      </c>
      <c r="Q154" s="2">
        <v>100</v>
      </c>
      <c r="R154" s="2">
        <v>847100</v>
      </c>
      <c r="S154" s="4">
        <f>SUM($R$2:R154) / SUM($R:$R)</f>
        <v>0.9013655754205564</v>
      </c>
      <c r="T154" s="3" t="str">
        <f t="shared" si="12"/>
        <v>C</v>
      </c>
      <c r="U154" s="2">
        <f t="shared" si="13"/>
        <v>705.91666666666663</v>
      </c>
      <c r="V154" s="2">
        <f t="shared" si="14"/>
        <v>129.98913124728648</v>
      </c>
      <c r="W154" s="2">
        <f t="shared" si="15"/>
        <v>0.18414231790431329</v>
      </c>
      <c r="X154" s="2" t="str">
        <f t="shared" si="16"/>
        <v>X</v>
      </c>
      <c r="Y154" s="2" t="str">
        <f t="shared" si="17"/>
        <v>CX</v>
      </c>
    </row>
    <row r="155" spans="1:25" x14ac:dyDescent="0.3">
      <c r="A155" s="2" t="s">
        <v>401</v>
      </c>
      <c r="B155" s="2" t="s">
        <v>402</v>
      </c>
      <c r="C155" s="2" t="s">
        <v>20</v>
      </c>
      <c r="D155" s="2">
        <v>1520</v>
      </c>
      <c r="E155" s="2">
        <v>1165</v>
      </c>
      <c r="F155" s="2">
        <v>1367</v>
      </c>
      <c r="G155" s="2">
        <v>1279</v>
      </c>
      <c r="H155" s="2">
        <v>1338</v>
      </c>
      <c r="I155" s="2">
        <v>1102</v>
      </c>
      <c r="J155" s="2">
        <v>1354</v>
      </c>
      <c r="K155" s="2">
        <v>1304</v>
      </c>
      <c r="L155" s="2">
        <v>1263</v>
      </c>
      <c r="M155" s="2">
        <v>1389</v>
      </c>
      <c r="N155" s="2">
        <v>1284</v>
      </c>
      <c r="O155" s="2">
        <v>1573</v>
      </c>
      <c r="P155" s="2">
        <v>15938</v>
      </c>
      <c r="Q155" s="2">
        <v>50</v>
      </c>
      <c r="R155" s="2">
        <v>796900</v>
      </c>
      <c r="S155" s="4">
        <f>SUM($R$2:R155) / SUM($R:$R)</f>
        <v>0.90210875269598767</v>
      </c>
      <c r="T155" s="3" t="str">
        <f t="shared" si="12"/>
        <v>C</v>
      </c>
      <c r="U155" s="2">
        <f t="shared" si="13"/>
        <v>1328.1666666666667</v>
      </c>
      <c r="V155" s="2">
        <f t="shared" si="14"/>
        <v>131.31837324424617</v>
      </c>
      <c r="W155" s="2">
        <f t="shared" si="15"/>
        <v>9.8871908578927969E-2</v>
      </c>
      <c r="X155" s="2" t="str">
        <f t="shared" si="16"/>
        <v>X</v>
      </c>
      <c r="Y155" s="2" t="str">
        <f t="shared" si="17"/>
        <v>CX</v>
      </c>
    </row>
    <row r="156" spans="1:25" x14ac:dyDescent="0.3">
      <c r="A156" s="2" t="s">
        <v>1647</v>
      </c>
      <c r="B156" s="2" t="s">
        <v>1648</v>
      </c>
      <c r="C156" s="2" t="s">
        <v>25</v>
      </c>
      <c r="D156" s="2">
        <v>895</v>
      </c>
      <c r="E156" s="2">
        <v>473</v>
      </c>
      <c r="F156" s="2">
        <v>609</v>
      </c>
      <c r="G156" s="2">
        <v>450</v>
      </c>
      <c r="H156" s="2">
        <v>567</v>
      </c>
      <c r="I156" s="2">
        <v>963</v>
      </c>
      <c r="J156" s="2">
        <v>820</v>
      </c>
      <c r="K156" s="2">
        <v>793</v>
      </c>
      <c r="L156" s="2">
        <v>695</v>
      </c>
      <c r="M156" s="2">
        <v>456</v>
      </c>
      <c r="N156" s="2">
        <v>371</v>
      </c>
      <c r="O156" s="2">
        <v>849</v>
      </c>
      <c r="P156" s="2">
        <v>7941</v>
      </c>
      <c r="Q156" s="2">
        <v>100</v>
      </c>
      <c r="R156" s="2">
        <v>794100</v>
      </c>
      <c r="S156" s="4">
        <f>SUM($R$2:R156) / SUM($R:$R)</f>
        <v>0.90284931873240382</v>
      </c>
      <c r="T156" s="3" t="str">
        <f t="shared" si="12"/>
        <v>C</v>
      </c>
      <c r="U156" s="2">
        <f t="shared" si="13"/>
        <v>661.75</v>
      </c>
      <c r="V156" s="2">
        <f t="shared" si="14"/>
        <v>200.61003555065824</v>
      </c>
      <c r="W156" s="2">
        <f t="shared" si="15"/>
        <v>0.30315079040522591</v>
      </c>
      <c r="X156" s="2" t="str">
        <f t="shared" si="16"/>
        <v>Y</v>
      </c>
      <c r="Y156" s="2" t="str">
        <f t="shared" si="17"/>
        <v>CY</v>
      </c>
    </row>
    <row r="157" spans="1:25" x14ac:dyDescent="0.3">
      <c r="A157" s="2" t="s">
        <v>1503</v>
      </c>
      <c r="B157" s="2" t="s">
        <v>1504</v>
      </c>
      <c r="C157" s="2" t="s">
        <v>20</v>
      </c>
      <c r="D157" s="2">
        <v>1043</v>
      </c>
      <c r="E157" s="2">
        <v>1431</v>
      </c>
      <c r="F157" s="2">
        <v>1292</v>
      </c>
      <c r="G157" s="2">
        <v>1223</v>
      </c>
      <c r="H157" s="2">
        <v>1531</v>
      </c>
      <c r="I157" s="2">
        <v>947</v>
      </c>
      <c r="J157" s="2">
        <v>1274</v>
      </c>
      <c r="K157" s="2">
        <v>1509</v>
      </c>
      <c r="L157" s="2">
        <v>980</v>
      </c>
      <c r="M157" s="2">
        <v>1488</v>
      </c>
      <c r="N157" s="2">
        <v>1366</v>
      </c>
      <c r="O157" s="2">
        <v>1186</v>
      </c>
      <c r="P157" s="2">
        <v>15270</v>
      </c>
      <c r="Q157" s="2">
        <v>50</v>
      </c>
      <c r="R157" s="2">
        <v>763500</v>
      </c>
      <c r="S157" s="4">
        <f>SUM($R$2:R157) / SUM($R:$R)</f>
        <v>0.90356134765672536</v>
      </c>
      <c r="T157" s="3" t="str">
        <f t="shared" si="12"/>
        <v>C</v>
      </c>
      <c r="U157" s="2">
        <f t="shared" si="13"/>
        <v>1272.5</v>
      </c>
      <c r="V157" s="2">
        <f t="shared" si="14"/>
        <v>203.94986014838415</v>
      </c>
      <c r="W157" s="2">
        <f t="shared" si="15"/>
        <v>0.16027493921287556</v>
      </c>
      <c r="X157" s="2" t="str">
        <f t="shared" si="16"/>
        <v>X</v>
      </c>
      <c r="Y157" s="2" t="str">
        <f t="shared" si="17"/>
        <v>CX</v>
      </c>
    </row>
    <row r="158" spans="1:25" x14ac:dyDescent="0.3">
      <c r="A158" s="2" t="s">
        <v>863</v>
      </c>
      <c r="B158" s="2" t="s">
        <v>864</v>
      </c>
      <c r="C158" s="2" t="s">
        <v>41</v>
      </c>
      <c r="D158" s="2">
        <v>116</v>
      </c>
      <c r="E158" s="2">
        <v>107</v>
      </c>
      <c r="F158" s="2">
        <v>115</v>
      </c>
      <c r="G158" s="2">
        <v>95</v>
      </c>
      <c r="H158" s="2">
        <v>99</v>
      </c>
      <c r="I158" s="2">
        <v>115</v>
      </c>
      <c r="J158" s="2">
        <v>121</v>
      </c>
      <c r="K158" s="2">
        <v>108</v>
      </c>
      <c r="L158" s="2">
        <v>112</v>
      </c>
      <c r="M158" s="2">
        <v>108</v>
      </c>
      <c r="N158" s="2">
        <v>102</v>
      </c>
      <c r="O158" s="2">
        <v>91</v>
      </c>
      <c r="P158" s="2">
        <v>1289</v>
      </c>
      <c r="Q158" s="2">
        <v>500</v>
      </c>
      <c r="R158" s="2">
        <v>644500</v>
      </c>
      <c r="S158" s="4">
        <f>SUM($R$2:R158) / SUM($R:$R)</f>
        <v>0.90416239892290118</v>
      </c>
      <c r="T158" s="3" t="str">
        <f t="shared" si="12"/>
        <v>C</v>
      </c>
      <c r="U158" s="2">
        <f t="shared" si="13"/>
        <v>107.41666666666667</v>
      </c>
      <c r="V158" s="2">
        <f t="shared" si="14"/>
        <v>9.1399058413026761</v>
      </c>
      <c r="W158" s="2">
        <f t="shared" si="15"/>
        <v>8.5088339872484181E-2</v>
      </c>
      <c r="X158" s="2" t="str">
        <f t="shared" si="16"/>
        <v>X</v>
      </c>
      <c r="Y158" s="2" t="str">
        <f t="shared" si="17"/>
        <v>CX</v>
      </c>
    </row>
    <row r="159" spans="1:25" x14ac:dyDescent="0.3">
      <c r="A159" s="2" t="s">
        <v>1255</v>
      </c>
      <c r="B159" s="2" t="s">
        <v>1256</v>
      </c>
      <c r="C159" s="2" t="s">
        <v>20</v>
      </c>
      <c r="D159" s="2">
        <v>1192</v>
      </c>
      <c r="E159" s="2">
        <v>964</v>
      </c>
      <c r="F159" s="2">
        <v>1006</v>
      </c>
      <c r="G159" s="2">
        <v>727</v>
      </c>
      <c r="H159" s="2">
        <v>1201</v>
      </c>
      <c r="I159" s="2">
        <v>712</v>
      </c>
      <c r="J159" s="2">
        <v>1184</v>
      </c>
      <c r="K159" s="2">
        <v>1198</v>
      </c>
      <c r="L159" s="2">
        <v>1120</v>
      </c>
      <c r="M159" s="2">
        <v>790</v>
      </c>
      <c r="N159" s="2">
        <v>1170</v>
      </c>
      <c r="O159" s="2">
        <v>1421</v>
      </c>
      <c r="P159" s="2">
        <v>12685</v>
      </c>
      <c r="Q159" s="2">
        <v>50</v>
      </c>
      <c r="R159" s="2">
        <v>634250</v>
      </c>
      <c r="S159" s="4">
        <f>SUM($R$2:R159) / SUM($R:$R)</f>
        <v>0.90475389118911065</v>
      </c>
      <c r="T159" s="3" t="str">
        <f t="shared" si="12"/>
        <v>C</v>
      </c>
      <c r="U159" s="2">
        <f t="shared" si="13"/>
        <v>1057.0833333333333</v>
      </c>
      <c r="V159" s="2">
        <f t="shared" si="14"/>
        <v>220.46828604476221</v>
      </c>
      <c r="W159" s="2">
        <f t="shared" si="15"/>
        <v>0.20856282479599106</v>
      </c>
      <c r="X159" s="2" t="str">
        <f t="shared" si="16"/>
        <v>Y</v>
      </c>
      <c r="Y159" s="2" t="str">
        <f t="shared" si="17"/>
        <v>CY</v>
      </c>
    </row>
    <row r="160" spans="1:25" x14ac:dyDescent="0.3">
      <c r="A160" s="2" t="s">
        <v>515</v>
      </c>
      <c r="B160" s="2" t="s">
        <v>516</v>
      </c>
      <c r="C160" s="2" t="s">
        <v>25</v>
      </c>
      <c r="D160" s="2">
        <v>459</v>
      </c>
      <c r="E160" s="2">
        <v>400</v>
      </c>
      <c r="F160" s="2">
        <v>704</v>
      </c>
      <c r="G160" s="2">
        <v>764</v>
      </c>
      <c r="H160" s="2">
        <v>712</v>
      </c>
      <c r="I160" s="2">
        <v>617</v>
      </c>
      <c r="J160" s="2">
        <v>355</v>
      </c>
      <c r="K160" s="2">
        <v>439</v>
      </c>
      <c r="L160" s="2">
        <v>476</v>
      </c>
      <c r="M160" s="2">
        <v>229</v>
      </c>
      <c r="N160" s="2">
        <v>557</v>
      </c>
      <c r="O160" s="2">
        <v>444</v>
      </c>
      <c r="P160" s="2">
        <v>6156</v>
      </c>
      <c r="Q160" s="2">
        <v>100</v>
      </c>
      <c r="R160" s="2">
        <v>615600</v>
      </c>
      <c r="S160" s="4">
        <f>SUM($R$2:R160) / SUM($R:$R)</f>
        <v>0.90532799073830827</v>
      </c>
      <c r="T160" s="3" t="str">
        <f t="shared" si="12"/>
        <v>C</v>
      </c>
      <c r="U160" s="2">
        <f t="shared" si="13"/>
        <v>513</v>
      </c>
      <c r="V160" s="2">
        <f t="shared" si="14"/>
        <v>160.89126763127948</v>
      </c>
      <c r="W160" s="2">
        <f t="shared" si="15"/>
        <v>0.3136282020102914</v>
      </c>
      <c r="X160" s="2" t="str">
        <f t="shared" si="16"/>
        <v>Y</v>
      </c>
      <c r="Y160" s="2" t="str">
        <f t="shared" si="17"/>
        <v>CY</v>
      </c>
    </row>
    <row r="161" spans="1:25" x14ac:dyDescent="0.3">
      <c r="A161" s="2" t="s">
        <v>1343</v>
      </c>
      <c r="B161" s="2" t="s">
        <v>1344</v>
      </c>
      <c r="C161" s="2" t="s">
        <v>25</v>
      </c>
      <c r="D161" s="2">
        <v>929</v>
      </c>
      <c r="E161" s="2">
        <v>1183</v>
      </c>
      <c r="F161" s="2">
        <v>1228</v>
      </c>
      <c r="G161" s="2">
        <v>787</v>
      </c>
      <c r="H161" s="2">
        <v>933</v>
      </c>
      <c r="I161" s="2">
        <v>777</v>
      </c>
      <c r="J161" s="2">
        <v>940</v>
      </c>
      <c r="K161" s="2">
        <v>1072</v>
      </c>
      <c r="L161" s="2">
        <v>1211</v>
      </c>
      <c r="M161" s="2">
        <v>1011</v>
      </c>
      <c r="N161" s="2">
        <v>941</v>
      </c>
      <c r="O161" s="2">
        <v>1228</v>
      </c>
      <c r="P161" s="2">
        <v>12240</v>
      </c>
      <c r="Q161" s="2">
        <v>50</v>
      </c>
      <c r="R161" s="2">
        <v>612000</v>
      </c>
      <c r="S161" s="4">
        <f>SUM($R$2:R161) / SUM($R:$R)</f>
        <v>0.90589873298020052</v>
      </c>
      <c r="T161" s="3" t="str">
        <f t="shared" si="12"/>
        <v>C</v>
      </c>
      <c r="U161" s="2">
        <f t="shared" si="13"/>
        <v>1020</v>
      </c>
      <c r="V161" s="2">
        <f t="shared" si="14"/>
        <v>163.53815234595038</v>
      </c>
      <c r="W161" s="2">
        <f t="shared" si="15"/>
        <v>0.16033152190779448</v>
      </c>
      <c r="X161" s="2" t="str">
        <f t="shared" si="16"/>
        <v>X</v>
      </c>
      <c r="Y161" s="2" t="str">
        <f t="shared" si="17"/>
        <v>CX</v>
      </c>
    </row>
    <row r="162" spans="1:25" x14ac:dyDescent="0.3">
      <c r="A162" s="2" t="s">
        <v>2001</v>
      </c>
      <c r="B162" s="2" t="s">
        <v>2002</v>
      </c>
      <c r="C162" s="2" t="s">
        <v>20</v>
      </c>
      <c r="D162" s="2">
        <v>4815</v>
      </c>
      <c r="E162" s="2">
        <v>5067</v>
      </c>
      <c r="F162" s="2">
        <v>4966</v>
      </c>
      <c r="G162" s="2">
        <v>5089</v>
      </c>
      <c r="H162" s="2">
        <v>4878</v>
      </c>
      <c r="I162" s="2">
        <v>4726</v>
      </c>
      <c r="J162" s="2">
        <v>4969</v>
      </c>
      <c r="K162" s="2">
        <v>4904</v>
      </c>
      <c r="L162" s="2">
        <v>5240</v>
      </c>
      <c r="M162" s="2">
        <v>4963</v>
      </c>
      <c r="N162" s="2">
        <v>4968</v>
      </c>
      <c r="O162" s="2">
        <v>5054</v>
      </c>
      <c r="P162" s="2">
        <v>59639</v>
      </c>
      <c r="Q162" s="2">
        <v>10</v>
      </c>
      <c r="R162" s="2">
        <v>596390</v>
      </c>
      <c r="S162" s="4">
        <f>SUM($R$2:R162) / SUM($R:$R)</f>
        <v>0.90645491756458318</v>
      </c>
      <c r="T162" s="3" t="str">
        <f t="shared" si="12"/>
        <v>C</v>
      </c>
      <c r="U162" s="2">
        <f t="shared" si="13"/>
        <v>4969.916666666667</v>
      </c>
      <c r="V162" s="2">
        <f t="shared" si="14"/>
        <v>134.83219087803067</v>
      </c>
      <c r="W162" s="2">
        <f t="shared" si="15"/>
        <v>2.7129668346826202E-2</v>
      </c>
      <c r="X162" s="2" t="str">
        <f t="shared" si="16"/>
        <v>X</v>
      </c>
      <c r="Y162" s="2" t="str">
        <f t="shared" si="17"/>
        <v>CX</v>
      </c>
    </row>
    <row r="163" spans="1:25" x14ac:dyDescent="0.3">
      <c r="A163" s="2" t="s">
        <v>1077</v>
      </c>
      <c r="B163" s="2" t="s">
        <v>1078</v>
      </c>
      <c r="C163" s="2" t="s">
        <v>20</v>
      </c>
      <c r="D163" s="2">
        <v>4476</v>
      </c>
      <c r="E163" s="2">
        <v>5066</v>
      </c>
      <c r="F163" s="2">
        <v>5208</v>
      </c>
      <c r="G163" s="2">
        <v>4874</v>
      </c>
      <c r="H163" s="2">
        <v>5384</v>
      </c>
      <c r="I163" s="2">
        <v>4876</v>
      </c>
      <c r="J163" s="2">
        <v>4927</v>
      </c>
      <c r="K163" s="2">
        <v>5090</v>
      </c>
      <c r="L163" s="2">
        <v>4979</v>
      </c>
      <c r="M163" s="2">
        <v>4720</v>
      </c>
      <c r="N163" s="2">
        <v>4805</v>
      </c>
      <c r="O163" s="2">
        <v>4898</v>
      </c>
      <c r="P163" s="2">
        <v>59303</v>
      </c>
      <c r="Q163" s="2">
        <v>10</v>
      </c>
      <c r="R163" s="2">
        <v>593030</v>
      </c>
      <c r="S163" s="4">
        <f>SUM($R$2:R163) / SUM($R:$R)</f>
        <v>0.9070079686621475</v>
      </c>
      <c r="T163" s="3" t="str">
        <f t="shared" si="12"/>
        <v>C</v>
      </c>
      <c r="U163" s="2">
        <f t="shared" si="13"/>
        <v>4941.916666666667</v>
      </c>
      <c r="V163" s="2">
        <f t="shared" si="14"/>
        <v>233.76735067674494</v>
      </c>
      <c r="W163" s="2">
        <f t="shared" si="15"/>
        <v>4.7302973005091467E-2</v>
      </c>
      <c r="X163" s="2" t="str">
        <f t="shared" si="16"/>
        <v>X</v>
      </c>
      <c r="Y163" s="2" t="str">
        <f t="shared" si="17"/>
        <v>CX</v>
      </c>
    </row>
    <row r="164" spans="1:25" x14ac:dyDescent="0.3">
      <c r="A164" s="2" t="s">
        <v>1285</v>
      </c>
      <c r="B164" s="2" t="s">
        <v>1286</v>
      </c>
      <c r="C164" s="2" t="s">
        <v>20</v>
      </c>
      <c r="D164" s="2">
        <v>4869</v>
      </c>
      <c r="E164" s="2">
        <v>5171</v>
      </c>
      <c r="F164" s="2">
        <v>4997</v>
      </c>
      <c r="G164" s="2">
        <v>5186</v>
      </c>
      <c r="H164" s="2">
        <v>4993</v>
      </c>
      <c r="I164" s="2">
        <v>4702</v>
      </c>
      <c r="J164" s="2">
        <v>4887</v>
      </c>
      <c r="K164" s="2">
        <v>4851</v>
      </c>
      <c r="L164" s="2">
        <v>4865</v>
      </c>
      <c r="M164" s="2">
        <v>4669</v>
      </c>
      <c r="N164" s="2">
        <v>4819</v>
      </c>
      <c r="O164" s="2">
        <v>4809</v>
      </c>
      <c r="P164" s="2">
        <v>58818</v>
      </c>
      <c r="Q164" s="2">
        <v>10</v>
      </c>
      <c r="R164" s="2">
        <v>588180</v>
      </c>
      <c r="S164" s="4">
        <f>SUM($R$2:R164) / SUM($R:$R)</f>
        <v>0.90755649672070349</v>
      </c>
      <c r="T164" s="3" t="str">
        <f t="shared" si="12"/>
        <v>C</v>
      </c>
      <c r="U164" s="2">
        <f t="shared" si="13"/>
        <v>4901.5</v>
      </c>
      <c r="V164" s="2">
        <f t="shared" si="14"/>
        <v>161.08467564381388</v>
      </c>
      <c r="W164" s="2">
        <f t="shared" si="15"/>
        <v>3.2864363081467687E-2</v>
      </c>
      <c r="X164" s="2" t="str">
        <f t="shared" si="16"/>
        <v>X</v>
      </c>
      <c r="Y164" s="2" t="str">
        <f t="shared" si="17"/>
        <v>CX</v>
      </c>
    </row>
    <row r="165" spans="1:25" x14ac:dyDescent="0.3">
      <c r="A165" s="2" t="s">
        <v>375</v>
      </c>
      <c r="B165" s="2" t="s">
        <v>376</v>
      </c>
      <c r="C165" s="2" t="s">
        <v>20</v>
      </c>
      <c r="D165" s="2">
        <v>5214</v>
      </c>
      <c r="E165" s="2">
        <v>4788</v>
      </c>
      <c r="F165" s="2">
        <v>4879</v>
      </c>
      <c r="G165" s="2">
        <v>4769</v>
      </c>
      <c r="H165" s="2">
        <v>5085</v>
      </c>
      <c r="I165" s="2">
        <v>4879</v>
      </c>
      <c r="J165" s="2">
        <v>4878</v>
      </c>
      <c r="K165" s="2">
        <v>4885</v>
      </c>
      <c r="L165" s="2">
        <v>4591</v>
      </c>
      <c r="M165" s="2">
        <v>5006</v>
      </c>
      <c r="N165" s="2">
        <v>4900</v>
      </c>
      <c r="O165" s="2">
        <v>4860</v>
      </c>
      <c r="P165" s="2">
        <v>58734</v>
      </c>
      <c r="Q165" s="2">
        <v>10</v>
      </c>
      <c r="R165" s="2">
        <v>587340</v>
      </c>
      <c r="S165" s="4">
        <f>SUM($R$2:R165) / SUM($R:$R)</f>
        <v>0.90810424140755486</v>
      </c>
      <c r="T165" s="3" t="str">
        <f t="shared" si="12"/>
        <v>C</v>
      </c>
      <c r="U165" s="2">
        <f t="shared" si="13"/>
        <v>4894.5</v>
      </c>
      <c r="V165" s="2">
        <f t="shared" si="14"/>
        <v>157.26960059950324</v>
      </c>
      <c r="W165" s="2">
        <f t="shared" si="15"/>
        <v>3.2131903279089435E-2</v>
      </c>
      <c r="X165" s="2" t="str">
        <f t="shared" si="16"/>
        <v>X</v>
      </c>
      <c r="Y165" s="2" t="str">
        <f t="shared" si="17"/>
        <v>CX</v>
      </c>
    </row>
    <row r="166" spans="1:25" x14ac:dyDescent="0.3">
      <c r="A166" s="2" t="s">
        <v>1087</v>
      </c>
      <c r="B166" s="2" t="s">
        <v>1088</v>
      </c>
      <c r="C166" s="2" t="s">
        <v>36</v>
      </c>
      <c r="D166" s="2">
        <v>520</v>
      </c>
      <c r="E166" s="2">
        <v>471</v>
      </c>
      <c r="F166" s="2">
        <v>472</v>
      </c>
      <c r="G166" s="2">
        <v>465</v>
      </c>
      <c r="H166" s="2">
        <v>498</v>
      </c>
      <c r="I166" s="2">
        <v>493</v>
      </c>
      <c r="J166" s="2">
        <v>502</v>
      </c>
      <c r="K166" s="2">
        <v>492</v>
      </c>
      <c r="L166" s="2">
        <v>491</v>
      </c>
      <c r="M166" s="2">
        <v>470</v>
      </c>
      <c r="N166" s="2">
        <v>469</v>
      </c>
      <c r="O166" s="2">
        <v>500</v>
      </c>
      <c r="P166" s="2">
        <v>5843</v>
      </c>
      <c r="Q166" s="2">
        <v>100</v>
      </c>
      <c r="R166" s="2">
        <v>584300</v>
      </c>
      <c r="S166" s="4">
        <f>SUM($R$2:R166) / SUM($R:$R)</f>
        <v>0.90864915103490396</v>
      </c>
      <c r="T166" s="3" t="str">
        <f t="shared" si="12"/>
        <v>C</v>
      </c>
      <c r="U166" s="2">
        <f t="shared" si="13"/>
        <v>486.91666666666669</v>
      </c>
      <c r="V166" s="2">
        <f t="shared" si="14"/>
        <v>17.21235461856255</v>
      </c>
      <c r="W166" s="2">
        <f t="shared" si="15"/>
        <v>3.5349692867148827E-2</v>
      </c>
      <c r="X166" s="2" t="str">
        <f t="shared" si="16"/>
        <v>X</v>
      </c>
      <c r="Y166" s="2" t="str">
        <f t="shared" si="17"/>
        <v>CX</v>
      </c>
    </row>
    <row r="167" spans="1:25" x14ac:dyDescent="0.3">
      <c r="A167" s="2" t="s">
        <v>50</v>
      </c>
      <c r="B167" s="2" t="s">
        <v>51</v>
      </c>
      <c r="C167" s="2" t="s">
        <v>36</v>
      </c>
      <c r="D167" s="2">
        <v>490</v>
      </c>
      <c r="E167" s="2">
        <v>487</v>
      </c>
      <c r="F167" s="2">
        <v>507</v>
      </c>
      <c r="G167" s="2">
        <v>487</v>
      </c>
      <c r="H167" s="2">
        <v>497</v>
      </c>
      <c r="I167" s="2">
        <v>490</v>
      </c>
      <c r="J167" s="2">
        <v>465</v>
      </c>
      <c r="K167" s="2">
        <v>456</v>
      </c>
      <c r="L167" s="2">
        <v>474</v>
      </c>
      <c r="M167" s="2">
        <v>517</v>
      </c>
      <c r="N167" s="2">
        <v>473</v>
      </c>
      <c r="O167" s="2">
        <v>469</v>
      </c>
      <c r="P167" s="2">
        <v>5812</v>
      </c>
      <c r="Q167" s="2">
        <v>100</v>
      </c>
      <c r="R167" s="2">
        <v>581200</v>
      </c>
      <c r="S167" s="4">
        <f>SUM($R$2:R167) / SUM($R:$R)</f>
        <v>0.90919116964762914</v>
      </c>
      <c r="T167" s="3" t="str">
        <f t="shared" si="12"/>
        <v>C</v>
      </c>
      <c r="U167" s="2">
        <f t="shared" si="13"/>
        <v>484.33333333333331</v>
      </c>
      <c r="V167" s="2">
        <f t="shared" si="14"/>
        <v>17.752507291971892</v>
      </c>
      <c r="W167" s="2">
        <f t="shared" si="15"/>
        <v>3.6653490623479473E-2</v>
      </c>
      <c r="X167" s="2" t="str">
        <f t="shared" si="16"/>
        <v>X</v>
      </c>
      <c r="Y167" s="2" t="str">
        <f t="shared" si="17"/>
        <v>CX</v>
      </c>
    </row>
    <row r="168" spans="1:25" x14ac:dyDescent="0.3">
      <c r="A168" s="2" t="s">
        <v>227</v>
      </c>
      <c r="B168" s="2" t="s">
        <v>228</v>
      </c>
      <c r="C168" s="2" t="s">
        <v>25</v>
      </c>
      <c r="D168" s="2">
        <v>258</v>
      </c>
      <c r="E168" s="2">
        <v>527</v>
      </c>
      <c r="F168" s="2">
        <v>640</v>
      </c>
      <c r="G168" s="2">
        <v>448</v>
      </c>
      <c r="H168" s="2">
        <v>729</v>
      </c>
      <c r="I168" s="2">
        <v>813</v>
      </c>
      <c r="J168" s="2">
        <v>393</v>
      </c>
      <c r="K168" s="2">
        <v>221</v>
      </c>
      <c r="L168" s="2">
        <v>588</v>
      </c>
      <c r="M168" s="2">
        <v>428</v>
      </c>
      <c r="N168" s="2">
        <v>252</v>
      </c>
      <c r="O168" s="2">
        <v>507</v>
      </c>
      <c r="P168" s="2">
        <v>5804</v>
      </c>
      <c r="Q168" s="2">
        <v>100</v>
      </c>
      <c r="R168" s="2">
        <v>580400</v>
      </c>
      <c r="S168" s="4">
        <f>SUM($R$2:R168) / SUM($R:$R)</f>
        <v>0.90973244219206428</v>
      </c>
      <c r="T168" s="3" t="str">
        <f t="shared" si="12"/>
        <v>C</v>
      </c>
      <c r="U168" s="2">
        <f t="shared" si="13"/>
        <v>483.66666666666669</v>
      </c>
      <c r="V168" s="2">
        <f t="shared" si="14"/>
        <v>188.9147635278616</v>
      </c>
      <c r="W168" s="2">
        <f t="shared" si="15"/>
        <v>0.39058875987841818</v>
      </c>
      <c r="X168" s="2" t="str">
        <f t="shared" si="16"/>
        <v>Y</v>
      </c>
      <c r="Y168" s="2" t="str">
        <f t="shared" si="17"/>
        <v>CY</v>
      </c>
    </row>
    <row r="169" spans="1:25" x14ac:dyDescent="0.3">
      <c r="A169" s="2" t="s">
        <v>591</v>
      </c>
      <c r="B169" s="2" t="s">
        <v>592</v>
      </c>
      <c r="C169" s="2" t="s">
        <v>20</v>
      </c>
      <c r="D169" s="2">
        <v>4763</v>
      </c>
      <c r="E169" s="2">
        <v>4972</v>
      </c>
      <c r="F169" s="2">
        <v>4664</v>
      </c>
      <c r="G169" s="2">
        <v>4657</v>
      </c>
      <c r="H169" s="2">
        <v>4784</v>
      </c>
      <c r="I169" s="2">
        <v>5156</v>
      </c>
      <c r="J169" s="2">
        <v>4913</v>
      </c>
      <c r="K169" s="2">
        <v>4545</v>
      </c>
      <c r="L169" s="2">
        <v>4662</v>
      </c>
      <c r="M169" s="2">
        <v>5010</v>
      </c>
      <c r="N169" s="2">
        <v>4920</v>
      </c>
      <c r="O169" s="2">
        <v>4768</v>
      </c>
      <c r="P169" s="2">
        <v>57814</v>
      </c>
      <c r="Q169" s="2">
        <v>10</v>
      </c>
      <c r="R169" s="2">
        <v>578140</v>
      </c>
      <c r="S169" s="4">
        <f>SUM($R$2:R169) / SUM($R:$R)</f>
        <v>0.91027160709358002</v>
      </c>
      <c r="T169" s="3" t="str">
        <f t="shared" si="12"/>
        <v>C</v>
      </c>
      <c r="U169" s="2">
        <f t="shared" si="13"/>
        <v>4817.833333333333</v>
      </c>
      <c r="V169" s="2">
        <f t="shared" si="14"/>
        <v>178.23265353991334</v>
      </c>
      <c r="W169" s="2">
        <f t="shared" si="15"/>
        <v>3.6994358502766805E-2</v>
      </c>
      <c r="X169" s="2" t="str">
        <f t="shared" si="16"/>
        <v>X</v>
      </c>
      <c r="Y169" s="2" t="str">
        <f t="shared" si="17"/>
        <v>CX</v>
      </c>
    </row>
    <row r="170" spans="1:25" x14ac:dyDescent="0.3">
      <c r="A170" s="2" t="s">
        <v>639</v>
      </c>
      <c r="B170" s="2" t="s">
        <v>640</v>
      </c>
      <c r="C170" s="2" t="s">
        <v>20</v>
      </c>
      <c r="D170" s="2">
        <v>4760</v>
      </c>
      <c r="E170" s="2">
        <v>4681</v>
      </c>
      <c r="F170" s="2">
        <v>5224</v>
      </c>
      <c r="G170" s="2">
        <v>4789</v>
      </c>
      <c r="H170" s="2">
        <v>4436</v>
      </c>
      <c r="I170" s="2">
        <v>4922</v>
      </c>
      <c r="J170" s="2">
        <v>5136</v>
      </c>
      <c r="K170" s="2">
        <v>4646</v>
      </c>
      <c r="L170" s="2">
        <v>4584</v>
      </c>
      <c r="M170" s="2">
        <v>4969</v>
      </c>
      <c r="N170" s="2">
        <v>4685</v>
      </c>
      <c r="O170" s="2">
        <v>4674</v>
      </c>
      <c r="P170" s="2">
        <v>57506</v>
      </c>
      <c r="Q170" s="2">
        <v>10</v>
      </c>
      <c r="R170" s="2">
        <v>575060</v>
      </c>
      <c r="S170" s="4">
        <f>SUM($R$2:R170) / SUM($R:$R)</f>
        <v>0.91080789963217901</v>
      </c>
      <c r="T170" s="3" t="str">
        <f t="shared" si="12"/>
        <v>C</v>
      </c>
      <c r="U170" s="2">
        <f t="shared" si="13"/>
        <v>4792.166666666667</v>
      </c>
      <c r="V170" s="2">
        <f t="shared" si="14"/>
        <v>230.26302483477585</v>
      </c>
      <c r="W170" s="2">
        <f t="shared" si="15"/>
        <v>4.8049878239093485E-2</v>
      </c>
      <c r="X170" s="2" t="str">
        <f t="shared" si="16"/>
        <v>X</v>
      </c>
      <c r="Y170" s="2" t="str">
        <f t="shared" si="17"/>
        <v>CX</v>
      </c>
    </row>
    <row r="171" spans="1:25" x14ac:dyDescent="0.3">
      <c r="A171" s="2" t="s">
        <v>715</v>
      </c>
      <c r="B171" s="2" t="s">
        <v>716</v>
      </c>
      <c r="C171" s="2" t="s">
        <v>25</v>
      </c>
      <c r="D171" s="2">
        <v>859</v>
      </c>
      <c r="E171" s="2">
        <v>672</v>
      </c>
      <c r="F171" s="2">
        <v>1179</v>
      </c>
      <c r="G171" s="2">
        <v>1138</v>
      </c>
      <c r="H171" s="2">
        <v>1195</v>
      </c>
      <c r="I171" s="2">
        <v>753</v>
      </c>
      <c r="J171" s="2">
        <v>749</v>
      </c>
      <c r="K171" s="2">
        <v>943</v>
      </c>
      <c r="L171" s="2">
        <v>815</v>
      </c>
      <c r="M171" s="2">
        <v>1201</v>
      </c>
      <c r="N171" s="2">
        <v>840</v>
      </c>
      <c r="O171" s="2">
        <v>1146</v>
      </c>
      <c r="P171" s="2">
        <v>11490</v>
      </c>
      <c r="Q171" s="2">
        <v>50</v>
      </c>
      <c r="R171" s="2">
        <v>574500</v>
      </c>
      <c r="S171" s="4">
        <f>SUM($R$2:R171) / SUM($R:$R)</f>
        <v>0.911343669922975</v>
      </c>
      <c r="T171" s="3" t="str">
        <f t="shared" si="12"/>
        <v>C</v>
      </c>
      <c r="U171" s="2">
        <f t="shared" si="13"/>
        <v>957.5</v>
      </c>
      <c r="V171" s="2">
        <f t="shared" si="14"/>
        <v>200.83937498771138</v>
      </c>
      <c r="W171" s="2">
        <f t="shared" si="15"/>
        <v>0.2097539164362521</v>
      </c>
      <c r="X171" s="2" t="str">
        <f t="shared" si="16"/>
        <v>Y</v>
      </c>
      <c r="Y171" s="2" t="str">
        <f t="shared" si="17"/>
        <v>CY</v>
      </c>
    </row>
    <row r="172" spans="1:25" x14ac:dyDescent="0.3">
      <c r="A172" s="2" t="s">
        <v>1911</v>
      </c>
      <c r="B172" s="2" t="s">
        <v>1912</v>
      </c>
      <c r="C172" s="2" t="s">
        <v>25</v>
      </c>
      <c r="D172" s="2">
        <v>421</v>
      </c>
      <c r="E172" s="2">
        <v>452</v>
      </c>
      <c r="F172" s="2">
        <v>748</v>
      </c>
      <c r="G172" s="2">
        <v>666</v>
      </c>
      <c r="H172" s="2">
        <v>285</v>
      </c>
      <c r="I172" s="2">
        <v>584</v>
      </c>
      <c r="J172" s="2">
        <v>226</v>
      </c>
      <c r="K172" s="2">
        <v>666</v>
      </c>
      <c r="L172" s="2">
        <v>556</v>
      </c>
      <c r="M172" s="2">
        <v>460</v>
      </c>
      <c r="N172" s="2">
        <v>181</v>
      </c>
      <c r="O172" s="2">
        <v>477</v>
      </c>
      <c r="P172" s="2">
        <v>5722</v>
      </c>
      <c r="Q172" s="2">
        <v>100</v>
      </c>
      <c r="R172" s="2">
        <v>572200</v>
      </c>
      <c r="S172" s="4">
        <f>SUM($R$2:R172) / SUM($R:$R)</f>
        <v>0.91187729526743699</v>
      </c>
      <c r="T172" s="3" t="str">
        <f t="shared" si="12"/>
        <v>C</v>
      </c>
      <c r="U172" s="2">
        <f t="shared" si="13"/>
        <v>476.83333333333331</v>
      </c>
      <c r="V172" s="2">
        <f t="shared" si="14"/>
        <v>179.4191807590326</v>
      </c>
      <c r="W172" s="2">
        <f t="shared" si="15"/>
        <v>0.3762723119728052</v>
      </c>
      <c r="X172" s="2" t="str">
        <f t="shared" si="16"/>
        <v>Y</v>
      </c>
      <c r="Y172" s="2" t="str">
        <f t="shared" si="17"/>
        <v>CY</v>
      </c>
    </row>
    <row r="173" spans="1:25" x14ac:dyDescent="0.3">
      <c r="A173" s="2" t="s">
        <v>1235</v>
      </c>
      <c r="B173" s="2" t="s">
        <v>1236</v>
      </c>
      <c r="C173" s="2" t="s">
        <v>41</v>
      </c>
      <c r="D173" s="2">
        <v>488</v>
      </c>
      <c r="E173" s="2">
        <v>496</v>
      </c>
      <c r="F173" s="2">
        <v>483</v>
      </c>
      <c r="G173" s="2">
        <v>490</v>
      </c>
      <c r="H173" s="2">
        <v>482</v>
      </c>
      <c r="I173" s="2">
        <v>479</v>
      </c>
      <c r="J173" s="2">
        <v>465</v>
      </c>
      <c r="K173" s="2">
        <v>474</v>
      </c>
      <c r="L173" s="2">
        <v>450</v>
      </c>
      <c r="M173" s="2">
        <v>455</v>
      </c>
      <c r="N173" s="2">
        <v>473</v>
      </c>
      <c r="O173" s="2">
        <v>480</v>
      </c>
      <c r="P173" s="2">
        <v>5715</v>
      </c>
      <c r="Q173" s="2">
        <v>100</v>
      </c>
      <c r="R173" s="2">
        <v>571500</v>
      </c>
      <c r="S173" s="4">
        <f>SUM($R$2:R173) / SUM($R:$R)</f>
        <v>0.91241026780214529</v>
      </c>
      <c r="T173" s="3" t="str">
        <f t="shared" si="12"/>
        <v>C</v>
      </c>
      <c r="U173" s="2">
        <f t="shared" si="13"/>
        <v>476.25</v>
      </c>
      <c r="V173" s="2">
        <f t="shared" si="14"/>
        <v>13.817808009297936</v>
      </c>
      <c r="W173" s="2">
        <f t="shared" si="15"/>
        <v>2.9013770098263381E-2</v>
      </c>
      <c r="X173" s="2" t="str">
        <f t="shared" si="16"/>
        <v>X</v>
      </c>
      <c r="Y173" s="2" t="str">
        <f t="shared" si="17"/>
        <v>CX</v>
      </c>
    </row>
    <row r="174" spans="1:25" x14ac:dyDescent="0.3">
      <c r="A174" s="2" t="s">
        <v>1203</v>
      </c>
      <c r="B174" s="2" t="s">
        <v>1204</v>
      </c>
      <c r="C174" s="2" t="s">
        <v>20</v>
      </c>
      <c r="D174" s="2">
        <v>4750</v>
      </c>
      <c r="E174" s="2">
        <v>4723</v>
      </c>
      <c r="F174" s="2">
        <v>4947</v>
      </c>
      <c r="G174" s="2">
        <v>4801</v>
      </c>
      <c r="H174" s="2">
        <v>4752</v>
      </c>
      <c r="I174" s="2">
        <v>4473</v>
      </c>
      <c r="J174" s="2">
        <v>4860</v>
      </c>
      <c r="K174" s="2">
        <v>4535</v>
      </c>
      <c r="L174" s="2">
        <v>4972</v>
      </c>
      <c r="M174" s="2">
        <v>4706</v>
      </c>
      <c r="N174" s="2">
        <v>4870</v>
      </c>
      <c r="O174" s="2">
        <v>4687</v>
      </c>
      <c r="P174" s="2">
        <v>57076</v>
      </c>
      <c r="Q174" s="2">
        <v>10</v>
      </c>
      <c r="R174" s="2">
        <v>570760</v>
      </c>
      <c r="S174" s="4">
        <f>SUM($R$2:R174) / SUM($R:$R)</f>
        <v>0.91294255022368531</v>
      </c>
      <c r="T174" s="3" t="str">
        <f t="shared" si="12"/>
        <v>C</v>
      </c>
      <c r="U174" s="2">
        <f t="shared" si="13"/>
        <v>4756.333333333333</v>
      </c>
      <c r="V174" s="2">
        <f t="shared" si="14"/>
        <v>149.63733936866603</v>
      </c>
      <c r="W174" s="2">
        <f t="shared" si="15"/>
        <v>3.1460650228186851E-2</v>
      </c>
      <c r="X174" s="2" t="str">
        <f t="shared" si="16"/>
        <v>X</v>
      </c>
      <c r="Y174" s="2" t="str">
        <f t="shared" si="17"/>
        <v>CX</v>
      </c>
    </row>
    <row r="175" spans="1:25" x14ac:dyDescent="0.3">
      <c r="A175" s="2" t="s">
        <v>533</v>
      </c>
      <c r="B175" s="2" t="s">
        <v>534</v>
      </c>
      <c r="C175" s="2" t="s">
        <v>25</v>
      </c>
      <c r="D175" s="2">
        <v>594</v>
      </c>
      <c r="E175" s="2">
        <v>300</v>
      </c>
      <c r="F175" s="2">
        <v>398</v>
      </c>
      <c r="G175" s="2">
        <v>523</v>
      </c>
      <c r="H175" s="2">
        <v>300</v>
      </c>
      <c r="I175" s="2">
        <v>474</v>
      </c>
      <c r="J175" s="2">
        <v>409</v>
      </c>
      <c r="K175" s="2">
        <v>681</v>
      </c>
      <c r="L175" s="2">
        <v>588</v>
      </c>
      <c r="M175" s="2">
        <v>652</v>
      </c>
      <c r="N175" s="2">
        <v>276</v>
      </c>
      <c r="O175" s="2">
        <v>504</v>
      </c>
      <c r="P175" s="2">
        <v>5699</v>
      </c>
      <c r="Q175" s="2">
        <v>100</v>
      </c>
      <c r="R175" s="2">
        <v>569900</v>
      </c>
      <c r="S175" s="4">
        <f>SUM($R$2:R175) / SUM($R:$R)</f>
        <v>0.91347403062181343</v>
      </c>
      <c r="T175" s="3" t="str">
        <f t="shared" si="12"/>
        <v>C</v>
      </c>
      <c r="U175" s="2">
        <f t="shared" si="13"/>
        <v>474.91666666666669</v>
      </c>
      <c r="V175" s="2">
        <f t="shared" si="14"/>
        <v>139.79755384342764</v>
      </c>
      <c r="W175" s="2">
        <f t="shared" si="15"/>
        <v>0.2943622821760189</v>
      </c>
      <c r="X175" s="2" t="str">
        <f t="shared" si="16"/>
        <v>Y</v>
      </c>
      <c r="Y175" s="2" t="str">
        <f t="shared" si="17"/>
        <v>CY</v>
      </c>
    </row>
    <row r="176" spans="1:25" x14ac:dyDescent="0.3">
      <c r="A176" s="2" t="s">
        <v>119</v>
      </c>
      <c r="B176" s="2" t="s">
        <v>120</v>
      </c>
      <c r="C176" s="2" t="s">
        <v>25</v>
      </c>
      <c r="D176" s="2">
        <v>822</v>
      </c>
      <c r="E176" s="2">
        <v>729</v>
      </c>
      <c r="F176" s="2">
        <v>1175</v>
      </c>
      <c r="G176" s="2">
        <v>1199</v>
      </c>
      <c r="H176" s="2">
        <v>948</v>
      </c>
      <c r="I176" s="2">
        <v>1087</v>
      </c>
      <c r="J176" s="2">
        <v>768</v>
      </c>
      <c r="K176" s="2">
        <v>751</v>
      </c>
      <c r="L176" s="2">
        <v>1073</v>
      </c>
      <c r="M176" s="2">
        <v>728</v>
      </c>
      <c r="N176" s="2">
        <v>1039</v>
      </c>
      <c r="O176" s="2">
        <v>849</v>
      </c>
      <c r="P176" s="2">
        <v>11168</v>
      </c>
      <c r="Q176" s="2">
        <v>50</v>
      </c>
      <c r="R176" s="2">
        <v>558400</v>
      </c>
      <c r="S176" s="4">
        <f>SUM($R$2:R176) / SUM($R:$R)</f>
        <v>0.91399478628827202</v>
      </c>
      <c r="T176" s="3" t="str">
        <f t="shared" si="12"/>
        <v>C</v>
      </c>
      <c r="U176" s="2">
        <f t="shared" si="13"/>
        <v>930.66666666666663</v>
      </c>
      <c r="V176" s="2">
        <f t="shared" si="14"/>
        <v>177.71239959467351</v>
      </c>
      <c r="W176" s="2">
        <f t="shared" si="15"/>
        <v>0.190951718762185</v>
      </c>
      <c r="X176" s="2" t="str">
        <f t="shared" si="16"/>
        <v>X</v>
      </c>
      <c r="Y176" s="2" t="str">
        <f t="shared" si="17"/>
        <v>CX</v>
      </c>
    </row>
    <row r="177" spans="1:25" x14ac:dyDescent="0.3">
      <c r="A177" s="2" t="s">
        <v>789</v>
      </c>
      <c r="B177" s="2" t="s">
        <v>790</v>
      </c>
      <c r="C177" s="2" t="s">
        <v>20</v>
      </c>
      <c r="D177" s="2">
        <v>4581</v>
      </c>
      <c r="E177" s="2">
        <v>4430</v>
      </c>
      <c r="F177" s="2">
        <v>4863</v>
      </c>
      <c r="G177" s="2">
        <v>4836</v>
      </c>
      <c r="H177" s="2">
        <v>4458</v>
      </c>
      <c r="I177" s="2">
        <v>4690</v>
      </c>
      <c r="J177" s="2">
        <v>4528</v>
      </c>
      <c r="K177" s="2">
        <v>4464</v>
      </c>
      <c r="L177" s="2">
        <v>4742</v>
      </c>
      <c r="M177" s="2">
        <v>4600</v>
      </c>
      <c r="N177" s="2">
        <v>4869</v>
      </c>
      <c r="O177" s="2">
        <v>4591</v>
      </c>
      <c r="P177" s="2">
        <v>55652</v>
      </c>
      <c r="Q177" s="2">
        <v>10</v>
      </c>
      <c r="R177" s="2">
        <v>556520</v>
      </c>
      <c r="S177" s="4">
        <f>SUM($R$2:R177) / SUM($R:$R)</f>
        <v>0.91451378869424904</v>
      </c>
      <c r="T177" s="3" t="str">
        <f t="shared" si="12"/>
        <v>C</v>
      </c>
      <c r="U177" s="2">
        <f t="shared" si="13"/>
        <v>4637.666666666667</v>
      </c>
      <c r="V177" s="2">
        <f t="shared" si="14"/>
        <v>160.01439329199752</v>
      </c>
      <c r="W177" s="2">
        <f t="shared" si="15"/>
        <v>3.4503211376122514E-2</v>
      </c>
      <c r="X177" s="2" t="str">
        <f t="shared" si="16"/>
        <v>X</v>
      </c>
      <c r="Y177" s="2" t="str">
        <f t="shared" si="17"/>
        <v>CX</v>
      </c>
    </row>
    <row r="178" spans="1:25" x14ac:dyDescent="0.3">
      <c r="A178" s="2" t="s">
        <v>1173</v>
      </c>
      <c r="B178" s="2" t="s">
        <v>1174</v>
      </c>
      <c r="C178" s="2" t="s">
        <v>41</v>
      </c>
      <c r="D178" s="2">
        <v>451</v>
      </c>
      <c r="E178" s="2">
        <v>470</v>
      </c>
      <c r="F178" s="2">
        <v>456</v>
      </c>
      <c r="G178" s="2">
        <v>500</v>
      </c>
      <c r="H178" s="2">
        <v>469</v>
      </c>
      <c r="I178" s="2">
        <v>467</v>
      </c>
      <c r="J178" s="2">
        <v>451</v>
      </c>
      <c r="K178" s="2">
        <v>468</v>
      </c>
      <c r="L178" s="2">
        <v>492</v>
      </c>
      <c r="M178" s="2">
        <v>436</v>
      </c>
      <c r="N178" s="2">
        <v>443</v>
      </c>
      <c r="O178" s="2">
        <v>459</v>
      </c>
      <c r="P178" s="2">
        <v>5562</v>
      </c>
      <c r="Q178" s="2">
        <v>100</v>
      </c>
      <c r="R178" s="2">
        <v>556200</v>
      </c>
      <c r="S178" s="4">
        <f>SUM($R$2:R178) / SUM($R:$R)</f>
        <v>0.91503249267290998</v>
      </c>
      <c r="T178" s="3" t="str">
        <f t="shared" si="12"/>
        <v>C</v>
      </c>
      <c r="U178" s="2">
        <f t="shared" si="13"/>
        <v>463.5</v>
      </c>
      <c r="V178" s="2">
        <f t="shared" si="14"/>
        <v>18.62305511504978</v>
      </c>
      <c r="W178" s="2">
        <f t="shared" si="15"/>
        <v>4.0179191186730918E-2</v>
      </c>
      <c r="X178" s="2" t="str">
        <f t="shared" si="16"/>
        <v>X</v>
      </c>
      <c r="Y178" s="2" t="str">
        <f t="shared" si="17"/>
        <v>CX</v>
      </c>
    </row>
    <row r="179" spans="1:25" x14ac:dyDescent="0.3">
      <c r="A179" s="2" t="s">
        <v>1915</v>
      </c>
      <c r="B179" s="2" t="s">
        <v>1916</v>
      </c>
      <c r="C179" s="2" t="s">
        <v>20</v>
      </c>
      <c r="D179" s="2">
        <v>4776</v>
      </c>
      <c r="E179" s="2">
        <v>4573</v>
      </c>
      <c r="F179" s="2">
        <v>4617</v>
      </c>
      <c r="G179" s="2">
        <v>4590</v>
      </c>
      <c r="H179" s="2">
        <v>4420</v>
      </c>
      <c r="I179" s="2">
        <v>4659</v>
      </c>
      <c r="J179" s="2">
        <v>4707</v>
      </c>
      <c r="K179" s="2">
        <v>4610</v>
      </c>
      <c r="L179" s="2">
        <v>4644</v>
      </c>
      <c r="M179" s="2">
        <v>4319</v>
      </c>
      <c r="N179" s="2">
        <v>4591</v>
      </c>
      <c r="O179" s="2">
        <v>5009</v>
      </c>
      <c r="P179" s="2">
        <v>55515</v>
      </c>
      <c r="Q179" s="2">
        <v>10</v>
      </c>
      <c r="R179" s="2">
        <v>555150</v>
      </c>
      <c r="S179" s="4">
        <f>SUM($R$2:R179) / SUM($R:$R)</f>
        <v>0.91555021743694021</v>
      </c>
      <c r="T179" s="3" t="str">
        <f t="shared" si="12"/>
        <v>C</v>
      </c>
      <c r="U179" s="2">
        <f t="shared" si="13"/>
        <v>4626.25</v>
      </c>
      <c r="V179" s="2">
        <f t="shared" si="14"/>
        <v>170.43107111087463</v>
      </c>
      <c r="W179" s="2">
        <f t="shared" si="15"/>
        <v>3.6840004563280113E-2</v>
      </c>
      <c r="X179" s="2" t="str">
        <f t="shared" si="16"/>
        <v>X</v>
      </c>
      <c r="Y179" s="2" t="str">
        <f t="shared" si="17"/>
        <v>CX</v>
      </c>
    </row>
    <row r="180" spans="1:25" x14ac:dyDescent="0.3">
      <c r="A180" s="2" t="s">
        <v>699</v>
      </c>
      <c r="B180" s="2" t="s">
        <v>700</v>
      </c>
      <c r="C180" s="2" t="s">
        <v>41</v>
      </c>
      <c r="D180" s="2">
        <v>501</v>
      </c>
      <c r="E180" s="2">
        <v>461</v>
      </c>
      <c r="F180" s="2">
        <v>513</v>
      </c>
      <c r="G180" s="2">
        <v>457</v>
      </c>
      <c r="H180" s="2">
        <v>450</v>
      </c>
      <c r="I180" s="2">
        <v>443</v>
      </c>
      <c r="J180" s="2">
        <v>454</v>
      </c>
      <c r="K180" s="2">
        <v>474</v>
      </c>
      <c r="L180" s="2">
        <v>486</v>
      </c>
      <c r="M180" s="2">
        <v>453</v>
      </c>
      <c r="N180" s="2">
        <v>426</v>
      </c>
      <c r="O180" s="2">
        <v>433</v>
      </c>
      <c r="P180" s="2">
        <v>5551</v>
      </c>
      <c r="Q180" s="2">
        <v>100</v>
      </c>
      <c r="R180" s="2">
        <v>555100</v>
      </c>
      <c r="S180" s="4">
        <f>SUM($R$2:R180) / SUM($R:$R)</f>
        <v>0.91606789557170232</v>
      </c>
      <c r="T180" s="3" t="str">
        <f t="shared" si="12"/>
        <v>C</v>
      </c>
      <c r="U180" s="2">
        <f t="shared" si="13"/>
        <v>462.58333333333331</v>
      </c>
      <c r="V180" s="2">
        <f t="shared" si="14"/>
        <v>26.373052132581826</v>
      </c>
      <c r="W180" s="2">
        <f t="shared" si="15"/>
        <v>5.7012542891547814E-2</v>
      </c>
      <c r="X180" s="2" t="str">
        <f t="shared" si="16"/>
        <v>X</v>
      </c>
      <c r="Y180" s="2" t="str">
        <f t="shared" si="17"/>
        <v>CX</v>
      </c>
    </row>
    <row r="181" spans="1:25" x14ac:dyDescent="0.3">
      <c r="A181" s="2" t="s">
        <v>1107</v>
      </c>
      <c r="B181" s="2" t="s">
        <v>1108</v>
      </c>
      <c r="C181" s="2" t="s">
        <v>20</v>
      </c>
      <c r="D181" s="2">
        <v>4679</v>
      </c>
      <c r="E181" s="2">
        <v>4346</v>
      </c>
      <c r="F181" s="2">
        <v>4493</v>
      </c>
      <c r="G181" s="2">
        <v>4836</v>
      </c>
      <c r="H181" s="2">
        <v>4481</v>
      </c>
      <c r="I181" s="2">
        <v>4669</v>
      </c>
      <c r="J181" s="2">
        <v>4885</v>
      </c>
      <c r="K181" s="2">
        <v>4534</v>
      </c>
      <c r="L181" s="2">
        <v>4567</v>
      </c>
      <c r="M181" s="2">
        <v>4717</v>
      </c>
      <c r="N181" s="2">
        <v>4342</v>
      </c>
      <c r="O181" s="2">
        <v>4766</v>
      </c>
      <c r="P181" s="2">
        <v>55315</v>
      </c>
      <c r="Q181" s="2">
        <v>10</v>
      </c>
      <c r="R181" s="2">
        <v>553150</v>
      </c>
      <c r="S181" s="4">
        <f>SUM($R$2:R181) / SUM($R:$R)</f>
        <v>0.91658375516500745</v>
      </c>
      <c r="T181" s="3" t="str">
        <f t="shared" si="12"/>
        <v>C</v>
      </c>
      <c r="U181" s="2">
        <f t="shared" si="13"/>
        <v>4609.583333333333</v>
      </c>
      <c r="V181" s="2">
        <f t="shared" si="14"/>
        <v>178.42770796515032</v>
      </c>
      <c r="W181" s="2">
        <f t="shared" si="15"/>
        <v>3.8707990519421566E-2</v>
      </c>
      <c r="X181" s="2" t="str">
        <f t="shared" si="16"/>
        <v>X</v>
      </c>
      <c r="Y181" s="2" t="str">
        <f t="shared" si="17"/>
        <v>CX</v>
      </c>
    </row>
    <row r="182" spans="1:25" x14ac:dyDescent="0.3">
      <c r="A182" s="2" t="s">
        <v>1541</v>
      </c>
      <c r="B182" s="2" t="s">
        <v>1542</v>
      </c>
      <c r="C182" s="2" t="s">
        <v>20</v>
      </c>
      <c r="D182" s="2">
        <v>4419</v>
      </c>
      <c r="E182" s="2">
        <v>4346</v>
      </c>
      <c r="F182" s="2">
        <v>4592</v>
      </c>
      <c r="G182" s="2">
        <v>4721</v>
      </c>
      <c r="H182" s="2">
        <v>4570</v>
      </c>
      <c r="I182" s="2">
        <v>4302</v>
      </c>
      <c r="J182" s="2">
        <v>4953</v>
      </c>
      <c r="K182" s="2">
        <v>4818</v>
      </c>
      <c r="L182" s="2">
        <v>4652</v>
      </c>
      <c r="M182" s="2">
        <v>4423</v>
      </c>
      <c r="N182" s="2">
        <v>4407</v>
      </c>
      <c r="O182" s="2">
        <v>4870</v>
      </c>
      <c r="P182" s="2">
        <v>55073</v>
      </c>
      <c r="Q182" s="2">
        <v>10</v>
      </c>
      <c r="R182" s="2">
        <v>550730</v>
      </c>
      <c r="S182" s="4">
        <f>SUM($R$2:R182) / SUM($R:$R)</f>
        <v>0.91709735790173519</v>
      </c>
      <c r="T182" s="3" t="str">
        <f t="shared" si="12"/>
        <v>C</v>
      </c>
      <c r="U182" s="2">
        <f t="shared" si="13"/>
        <v>4589.416666666667</v>
      </c>
      <c r="V182" s="2">
        <f t="shared" si="14"/>
        <v>216.72288897590076</v>
      </c>
      <c r="W182" s="2">
        <f t="shared" si="15"/>
        <v>4.7222317064819587E-2</v>
      </c>
      <c r="X182" s="2" t="str">
        <f t="shared" si="16"/>
        <v>X</v>
      </c>
      <c r="Y182" s="2" t="str">
        <f t="shared" si="17"/>
        <v>CX</v>
      </c>
    </row>
    <row r="183" spans="1:25" x14ac:dyDescent="0.3">
      <c r="A183" s="2" t="s">
        <v>887</v>
      </c>
      <c r="B183" s="2" t="s">
        <v>888</v>
      </c>
      <c r="C183" s="2" t="s">
        <v>20</v>
      </c>
      <c r="D183" s="2">
        <v>4457</v>
      </c>
      <c r="E183" s="2">
        <v>4330</v>
      </c>
      <c r="F183" s="2">
        <v>4470</v>
      </c>
      <c r="G183" s="2">
        <v>4554</v>
      </c>
      <c r="H183" s="2">
        <v>4218</v>
      </c>
      <c r="I183" s="2">
        <v>4407</v>
      </c>
      <c r="J183" s="2">
        <v>4622</v>
      </c>
      <c r="K183" s="2">
        <v>4391</v>
      </c>
      <c r="L183" s="2">
        <v>4634</v>
      </c>
      <c r="M183" s="2">
        <v>4884</v>
      </c>
      <c r="N183" s="2">
        <v>4773</v>
      </c>
      <c r="O183" s="2">
        <v>4614</v>
      </c>
      <c r="P183" s="2">
        <v>54354</v>
      </c>
      <c r="Q183" s="2">
        <v>10</v>
      </c>
      <c r="R183" s="2">
        <v>543540</v>
      </c>
      <c r="S183" s="4">
        <f>SUM($R$2:R183) / SUM($R:$R)</f>
        <v>0.91760425534970602</v>
      </c>
      <c r="T183" s="3" t="str">
        <f t="shared" si="12"/>
        <v>C</v>
      </c>
      <c r="U183" s="2">
        <f t="shared" si="13"/>
        <v>4529.5</v>
      </c>
      <c r="V183" s="2">
        <f t="shared" si="14"/>
        <v>188.77523913133024</v>
      </c>
      <c r="W183" s="2">
        <f t="shared" si="15"/>
        <v>4.1676838311365545E-2</v>
      </c>
      <c r="X183" s="2" t="str">
        <f t="shared" si="16"/>
        <v>X</v>
      </c>
      <c r="Y183" s="2" t="str">
        <f t="shared" si="17"/>
        <v>CX</v>
      </c>
    </row>
    <row r="184" spans="1:25" x14ac:dyDescent="0.3">
      <c r="A184" s="2" t="s">
        <v>219</v>
      </c>
      <c r="B184" s="2" t="s">
        <v>220</v>
      </c>
      <c r="C184" s="2" t="s">
        <v>20</v>
      </c>
      <c r="D184" s="2">
        <v>4708</v>
      </c>
      <c r="E184" s="2">
        <v>4490</v>
      </c>
      <c r="F184" s="2">
        <v>4114</v>
      </c>
      <c r="G184" s="2">
        <v>4660</v>
      </c>
      <c r="H184" s="2">
        <v>4199</v>
      </c>
      <c r="I184" s="2">
        <v>4482</v>
      </c>
      <c r="J184" s="2">
        <v>4714</v>
      </c>
      <c r="K184" s="2">
        <v>4624</v>
      </c>
      <c r="L184" s="2">
        <v>4188</v>
      </c>
      <c r="M184" s="2">
        <v>4421</v>
      </c>
      <c r="N184" s="2">
        <v>4475</v>
      </c>
      <c r="O184" s="2">
        <v>4768</v>
      </c>
      <c r="P184" s="2">
        <v>53843</v>
      </c>
      <c r="Q184" s="2">
        <v>10</v>
      </c>
      <c r="R184" s="2">
        <v>538430</v>
      </c>
      <c r="S184" s="4">
        <f>SUM($R$2:R184) / SUM($R:$R)</f>
        <v>0.91810638728647409</v>
      </c>
      <c r="T184" s="3" t="str">
        <f t="shared" si="12"/>
        <v>C</v>
      </c>
      <c r="U184" s="2">
        <f t="shared" si="13"/>
        <v>4486.916666666667</v>
      </c>
      <c r="V184" s="2">
        <f t="shared" si="14"/>
        <v>222.39132517962906</v>
      </c>
      <c r="W184" s="2">
        <f t="shared" si="15"/>
        <v>4.9564398383365502E-2</v>
      </c>
      <c r="X184" s="2" t="str">
        <f t="shared" si="16"/>
        <v>X</v>
      </c>
      <c r="Y184" s="2" t="str">
        <f t="shared" si="17"/>
        <v>CX</v>
      </c>
    </row>
    <row r="185" spans="1:25" x14ac:dyDescent="0.3">
      <c r="A185" s="2" t="s">
        <v>18</v>
      </c>
      <c r="B185" s="2" t="s">
        <v>19</v>
      </c>
      <c r="C185" s="2" t="s">
        <v>20</v>
      </c>
      <c r="D185" s="2">
        <v>4516</v>
      </c>
      <c r="E185" s="2">
        <v>4069</v>
      </c>
      <c r="F185" s="2">
        <v>4664</v>
      </c>
      <c r="G185" s="2">
        <v>4653</v>
      </c>
      <c r="H185" s="2">
        <v>4508</v>
      </c>
      <c r="I185" s="2">
        <v>4125</v>
      </c>
      <c r="J185" s="2">
        <v>4669</v>
      </c>
      <c r="K185" s="2">
        <v>4210</v>
      </c>
      <c r="L185" s="2">
        <v>4824</v>
      </c>
      <c r="M185" s="2">
        <v>4497</v>
      </c>
      <c r="N185" s="2">
        <v>4259</v>
      </c>
      <c r="O185" s="2">
        <v>4782</v>
      </c>
      <c r="P185" s="2">
        <v>53776</v>
      </c>
      <c r="Q185" s="2">
        <v>10</v>
      </c>
      <c r="R185" s="2">
        <v>537760</v>
      </c>
      <c r="S185" s="4">
        <f>SUM($R$2:R185) / SUM($R:$R)</f>
        <v>0.91860789439104928</v>
      </c>
      <c r="T185" s="3" t="str">
        <f t="shared" si="12"/>
        <v>C</v>
      </c>
      <c r="U185" s="2">
        <f t="shared" si="13"/>
        <v>4481.333333333333</v>
      </c>
      <c r="V185" s="2">
        <f t="shared" si="14"/>
        <v>257.27252382474018</v>
      </c>
      <c r="W185" s="2">
        <f t="shared" si="15"/>
        <v>5.7409816384574576E-2</v>
      </c>
      <c r="X185" s="2" t="str">
        <f t="shared" si="16"/>
        <v>X</v>
      </c>
      <c r="Y185" s="2" t="str">
        <f t="shared" si="17"/>
        <v>CX</v>
      </c>
    </row>
    <row r="186" spans="1:25" x14ac:dyDescent="0.3">
      <c r="A186" s="2" t="s">
        <v>597</v>
      </c>
      <c r="B186" s="2" t="s">
        <v>598</v>
      </c>
      <c r="C186" s="2" t="s">
        <v>25</v>
      </c>
      <c r="D186" s="2">
        <v>983</v>
      </c>
      <c r="E186" s="2">
        <v>1081</v>
      </c>
      <c r="F186" s="2">
        <v>927</v>
      </c>
      <c r="G186" s="2">
        <v>752</v>
      </c>
      <c r="H186" s="2">
        <v>1170</v>
      </c>
      <c r="I186" s="2">
        <v>654</v>
      </c>
      <c r="J186" s="2">
        <v>739</v>
      </c>
      <c r="K186" s="2">
        <v>1153</v>
      </c>
      <c r="L186" s="2">
        <v>653</v>
      </c>
      <c r="M186" s="2">
        <v>744</v>
      </c>
      <c r="N186" s="2">
        <v>1163</v>
      </c>
      <c r="O186" s="2">
        <v>666</v>
      </c>
      <c r="P186" s="2">
        <v>10685</v>
      </c>
      <c r="Q186" s="2">
        <v>50</v>
      </c>
      <c r="R186" s="2">
        <v>534250</v>
      </c>
      <c r="S186" s="4">
        <f>SUM($R$2:R186) / SUM($R:$R)</f>
        <v>0.91910612812100179</v>
      </c>
      <c r="T186" s="3" t="str">
        <f t="shared" si="12"/>
        <v>C</v>
      </c>
      <c r="U186" s="2">
        <f t="shared" si="13"/>
        <v>890.41666666666663</v>
      </c>
      <c r="V186" s="2">
        <f t="shared" si="14"/>
        <v>211.87408710807165</v>
      </c>
      <c r="W186" s="2">
        <f t="shared" si="15"/>
        <v>0.23794937251257461</v>
      </c>
      <c r="X186" s="2" t="str">
        <f t="shared" si="16"/>
        <v>Y</v>
      </c>
      <c r="Y186" s="2" t="str">
        <f t="shared" si="17"/>
        <v>CY</v>
      </c>
    </row>
    <row r="187" spans="1:25" x14ac:dyDescent="0.3">
      <c r="A187" s="2" t="s">
        <v>315</v>
      </c>
      <c r="B187" s="2" t="s">
        <v>316</v>
      </c>
      <c r="C187" s="2" t="s">
        <v>20</v>
      </c>
      <c r="D187" s="2">
        <v>4215</v>
      </c>
      <c r="E187" s="2">
        <v>4896</v>
      </c>
      <c r="F187" s="2">
        <v>4536</v>
      </c>
      <c r="G187" s="2">
        <v>4629</v>
      </c>
      <c r="H187" s="2">
        <v>4373</v>
      </c>
      <c r="I187" s="2">
        <v>4948</v>
      </c>
      <c r="J187" s="2">
        <v>4446</v>
      </c>
      <c r="K187" s="2">
        <v>4077</v>
      </c>
      <c r="L187" s="2">
        <v>4552</v>
      </c>
      <c r="M187" s="2">
        <v>4211</v>
      </c>
      <c r="N187" s="2">
        <v>4274</v>
      </c>
      <c r="O187" s="2">
        <v>4200</v>
      </c>
      <c r="P187" s="2">
        <v>53357</v>
      </c>
      <c r="Q187" s="2">
        <v>10</v>
      </c>
      <c r="R187" s="2">
        <v>533570</v>
      </c>
      <c r="S187" s="4">
        <f>SUM($R$2:R187) / SUM($R:$R)</f>
        <v>0.91960372769290788</v>
      </c>
      <c r="T187" s="3" t="str">
        <f t="shared" si="12"/>
        <v>C</v>
      </c>
      <c r="U187" s="2">
        <f t="shared" si="13"/>
        <v>4446.416666666667</v>
      </c>
      <c r="V187" s="2">
        <f t="shared" si="14"/>
        <v>277.57110746071845</v>
      </c>
      <c r="W187" s="2">
        <f t="shared" si="15"/>
        <v>6.2425797730918553E-2</v>
      </c>
      <c r="X187" s="2" t="str">
        <f t="shared" si="16"/>
        <v>X</v>
      </c>
      <c r="Y187" s="2" t="str">
        <f t="shared" si="17"/>
        <v>CX</v>
      </c>
    </row>
    <row r="188" spans="1:25" x14ac:dyDescent="0.3">
      <c r="A188" s="2" t="s">
        <v>157</v>
      </c>
      <c r="B188" s="2" t="s">
        <v>158</v>
      </c>
      <c r="C188" s="2" t="s">
        <v>25</v>
      </c>
      <c r="D188" s="2">
        <v>1022</v>
      </c>
      <c r="E188" s="2">
        <v>1119</v>
      </c>
      <c r="F188" s="2">
        <v>744</v>
      </c>
      <c r="G188" s="2">
        <v>872</v>
      </c>
      <c r="H188" s="2">
        <v>858</v>
      </c>
      <c r="I188" s="2">
        <v>697</v>
      </c>
      <c r="J188" s="2">
        <v>847</v>
      </c>
      <c r="K188" s="2">
        <v>879</v>
      </c>
      <c r="L188" s="2">
        <v>827</v>
      </c>
      <c r="M188" s="2">
        <v>735</v>
      </c>
      <c r="N188" s="2">
        <v>834</v>
      </c>
      <c r="O188" s="2">
        <v>1219</v>
      </c>
      <c r="P188" s="2">
        <v>10653</v>
      </c>
      <c r="Q188" s="2">
        <v>50</v>
      </c>
      <c r="R188" s="2">
        <v>532650</v>
      </c>
      <c r="S188" s="4">
        <f>SUM($R$2:R188) / SUM($R:$R)</f>
        <v>0.92010046928628031</v>
      </c>
      <c r="T188" s="3" t="str">
        <f t="shared" si="12"/>
        <v>C</v>
      </c>
      <c r="U188" s="2">
        <f t="shared" si="13"/>
        <v>887.75</v>
      </c>
      <c r="V188" s="2">
        <f t="shared" si="14"/>
        <v>156.97661956772126</v>
      </c>
      <c r="W188" s="2">
        <f t="shared" si="15"/>
        <v>0.17682525437084906</v>
      </c>
      <c r="X188" s="2" t="str">
        <f t="shared" si="16"/>
        <v>X</v>
      </c>
      <c r="Y188" s="2" t="str">
        <f t="shared" si="17"/>
        <v>CX</v>
      </c>
    </row>
    <row r="189" spans="1:25" x14ac:dyDescent="0.3">
      <c r="A189" s="2" t="s">
        <v>667</v>
      </c>
      <c r="B189" s="2" t="s">
        <v>668</v>
      </c>
      <c r="C189" s="2" t="s">
        <v>20</v>
      </c>
      <c r="D189" s="2">
        <v>4131</v>
      </c>
      <c r="E189" s="2">
        <v>4217</v>
      </c>
      <c r="F189" s="2">
        <v>4408</v>
      </c>
      <c r="G189" s="2">
        <v>5003</v>
      </c>
      <c r="H189" s="2">
        <v>4471</v>
      </c>
      <c r="I189" s="2">
        <v>4496</v>
      </c>
      <c r="J189" s="2">
        <v>4079</v>
      </c>
      <c r="K189" s="2">
        <v>4289</v>
      </c>
      <c r="L189" s="2">
        <v>4338</v>
      </c>
      <c r="M189" s="2">
        <v>4681</v>
      </c>
      <c r="N189" s="2">
        <v>4277</v>
      </c>
      <c r="O189" s="2">
        <v>4420</v>
      </c>
      <c r="P189" s="2">
        <v>52810</v>
      </c>
      <c r="Q189" s="2">
        <v>10</v>
      </c>
      <c r="R189" s="2">
        <v>528100</v>
      </c>
      <c r="S189" s="4">
        <f>SUM($R$2:R189) / SUM($R:$R)</f>
        <v>0.92059296761625309</v>
      </c>
      <c r="T189" s="3" t="str">
        <f t="shared" si="12"/>
        <v>C</v>
      </c>
      <c r="U189" s="2">
        <f t="shared" si="13"/>
        <v>4400.833333333333</v>
      </c>
      <c r="V189" s="2">
        <f t="shared" si="14"/>
        <v>251.80578133782296</v>
      </c>
      <c r="W189" s="2">
        <f t="shared" si="15"/>
        <v>5.7217749972616472E-2</v>
      </c>
      <c r="X189" s="2" t="str">
        <f t="shared" si="16"/>
        <v>X</v>
      </c>
      <c r="Y189" s="2" t="str">
        <f t="shared" si="17"/>
        <v>CX</v>
      </c>
    </row>
    <row r="190" spans="1:25" x14ac:dyDescent="0.3">
      <c r="A190" s="2" t="s">
        <v>1177</v>
      </c>
      <c r="B190" s="2" t="s">
        <v>1178</v>
      </c>
      <c r="C190" s="2" t="s">
        <v>20</v>
      </c>
      <c r="D190" s="2">
        <v>4464</v>
      </c>
      <c r="E190" s="2">
        <v>3966</v>
      </c>
      <c r="F190" s="2">
        <v>4222</v>
      </c>
      <c r="G190" s="2">
        <v>4529</v>
      </c>
      <c r="H190" s="2">
        <v>4546</v>
      </c>
      <c r="I190" s="2">
        <v>4449</v>
      </c>
      <c r="J190" s="2">
        <v>4333</v>
      </c>
      <c r="K190" s="2">
        <v>4288</v>
      </c>
      <c r="L190" s="2">
        <v>4174</v>
      </c>
      <c r="M190" s="2">
        <v>4507</v>
      </c>
      <c r="N190" s="2">
        <v>4448</v>
      </c>
      <c r="O190" s="2">
        <v>4883</v>
      </c>
      <c r="P190" s="2">
        <v>52809</v>
      </c>
      <c r="Q190" s="2">
        <v>10</v>
      </c>
      <c r="R190" s="2">
        <v>528090</v>
      </c>
      <c r="S190" s="4">
        <f>SUM($R$2:R190) / SUM($R:$R)</f>
        <v>0.92108545662037222</v>
      </c>
      <c r="T190" s="3" t="str">
        <f t="shared" si="12"/>
        <v>C</v>
      </c>
      <c r="U190" s="2">
        <f t="shared" si="13"/>
        <v>4400.75</v>
      </c>
      <c r="V190" s="2">
        <f t="shared" si="14"/>
        <v>229.55257864732508</v>
      </c>
      <c r="W190" s="2">
        <f t="shared" si="15"/>
        <v>5.2162149326211459E-2</v>
      </c>
      <c r="X190" s="2" t="str">
        <f t="shared" si="16"/>
        <v>X</v>
      </c>
      <c r="Y190" s="2" t="str">
        <f t="shared" si="17"/>
        <v>CX</v>
      </c>
    </row>
    <row r="191" spans="1:25" x14ac:dyDescent="0.3">
      <c r="A191" s="2" t="s">
        <v>1153</v>
      </c>
      <c r="B191" s="2" t="s">
        <v>1154</v>
      </c>
      <c r="C191" s="2" t="s">
        <v>20</v>
      </c>
      <c r="D191" s="2">
        <v>4537</v>
      </c>
      <c r="E191" s="2">
        <v>4504</v>
      </c>
      <c r="F191" s="2">
        <v>4420</v>
      </c>
      <c r="G191" s="2">
        <v>4449</v>
      </c>
      <c r="H191" s="2">
        <v>4780</v>
      </c>
      <c r="I191" s="2">
        <v>4236</v>
      </c>
      <c r="J191" s="2">
        <v>4430</v>
      </c>
      <c r="K191" s="2">
        <v>4267</v>
      </c>
      <c r="L191" s="2">
        <v>4396</v>
      </c>
      <c r="M191" s="2">
        <v>4034</v>
      </c>
      <c r="N191" s="2">
        <v>4126</v>
      </c>
      <c r="O191" s="2">
        <v>4267</v>
      </c>
      <c r="P191" s="2">
        <v>52446</v>
      </c>
      <c r="Q191" s="2">
        <v>10</v>
      </c>
      <c r="R191" s="2">
        <v>524460</v>
      </c>
      <c r="S191" s="4">
        <f>SUM($R$2:R191) / SUM($R:$R)</f>
        <v>0.92157456033962526</v>
      </c>
      <c r="T191" s="3" t="str">
        <f t="shared" si="12"/>
        <v>C</v>
      </c>
      <c r="U191" s="2">
        <f t="shared" si="13"/>
        <v>4370.5</v>
      </c>
      <c r="V191" s="2">
        <f t="shared" si="14"/>
        <v>199.67359728954014</v>
      </c>
      <c r="W191" s="2">
        <f t="shared" si="15"/>
        <v>4.5686671385319788E-2</v>
      </c>
      <c r="X191" s="2" t="str">
        <f t="shared" si="16"/>
        <v>X</v>
      </c>
      <c r="Y191" s="2" t="str">
        <f t="shared" si="17"/>
        <v>CX</v>
      </c>
    </row>
    <row r="192" spans="1:25" x14ac:dyDescent="0.3">
      <c r="A192" s="2" t="s">
        <v>335</v>
      </c>
      <c r="B192" s="2" t="s">
        <v>336</v>
      </c>
      <c r="C192" s="2" t="s">
        <v>20</v>
      </c>
      <c r="D192" s="2">
        <v>4420</v>
      </c>
      <c r="E192" s="2">
        <v>4525</v>
      </c>
      <c r="F192" s="2">
        <v>3938</v>
      </c>
      <c r="G192" s="2">
        <v>4375</v>
      </c>
      <c r="H192" s="2">
        <v>4477</v>
      </c>
      <c r="I192" s="2">
        <v>4216</v>
      </c>
      <c r="J192" s="2">
        <v>4435</v>
      </c>
      <c r="K192" s="2">
        <v>4532</v>
      </c>
      <c r="L192" s="2">
        <v>4391</v>
      </c>
      <c r="M192" s="2">
        <v>4406</v>
      </c>
      <c r="N192" s="2">
        <v>4498</v>
      </c>
      <c r="O192" s="2">
        <v>4201</v>
      </c>
      <c r="P192" s="2">
        <v>52414</v>
      </c>
      <c r="Q192" s="2">
        <v>10</v>
      </c>
      <c r="R192" s="2">
        <v>524140</v>
      </c>
      <c r="S192" s="4">
        <f>SUM($R$2:R192) / SUM($R:$R)</f>
        <v>0.92206336563156222</v>
      </c>
      <c r="T192" s="3" t="str">
        <f t="shared" si="12"/>
        <v>C</v>
      </c>
      <c r="U192" s="2">
        <f t="shared" si="13"/>
        <v>4367.833333333333</v>
      </c>
      <c r="V192" s="2">
        <f t="shared" si="14"/>
        <v>172.00255459695586</v>
      </c>
      <c r="W192" s="2">
        <f t="shared" si="15"/>
        <v>3.9379376791763086E-2</v>
      </c>
      <c r="X192" s="2" t="str">
        <f t="shared" si="16"/>
        <v>X</v>
      </c>
      <c r="Y192" s="2" t="str">
        <f t="shared" si="17"/>
        <v>CX</v>
      </c>
    </row>
    <row r="193" spans="1:25" x14ac:dyDescent="0.3">
      <c r="A193" s="2" t="s">
        <v>1409</v>
      </c>
      <c r="B193" s="2" t="s">
        <v>1410</v>
      </c>
      <c r="C193" s="2" t="s">
        <v>20</v>
      </c>
      <c r="D193" s="2">
        <v>4176</v>
      </c>
      <c r="E193" s="2">
        <v>3853</v>
      </c>
      <c r="F193" s="2">
        <v>4488</v>
      </c>
      <c r="G193" s="2">
        <v>4318</v>
      </c>
      <c r="H193" s="2">
        <v>4238</v>
      </c>
      <c r="I193" s="2">
        <v>4568</v>
      </c>
      <c r="J193" s="2">
        <v>4291</v>
      </c>
      <c r="K193" s="2">
        <v>4630</v>
      </c>
      <c r="L193" s="2">
        <v>4356</v>
      </c>
      <c r="M193" s="2">
        <v>4459</v>
      </c>
      <c r="N193" s="2">
        <v>4314</v>
      </c>
      <c r="O193" s="2">
        <v>4721</v>
      </c>
      <c r="P193" s="2">
        <v>52412</v>
      </c>
      <c r="Q193" s="2">
        <v>10</v>
      </c>
      <c r="R193" s="2">
        <v>524120</v>
      </c>
      <c r="S193" s="4">
        <f>SUM($R$2:R193) / SUM($R:$R)</f>
        <v>0.92255215227179188</v>
      </c>
      <c r="T193" s="3" t="str">
        <f t="shared" si="12"/>
        <v>C</v>
      </c>
      <c r="U193" s="2">
        <f t="shared" si="13"/>
        <v>4367.666666666667</v>
      </c>
      <c r="V193" s="2">
        <f t="shared" si="14"/>
        <v>230.88971524531061</v>
      </c>
      <c r="W193" s="2">
        <f t="shared" si="15"/>
        <v>5.2863401185677464E-2</v>
      </c>
      <c r="X193" s="2" t="str">
        <f t="shared" si="16"/>
        <v>X</v>
      </c>
      <c r="Y193" s="2" t="str">
        <f t="shared" si="17"/>
        <v>CX</v>
      </c>
    </row>
    <row r="194" spans="1:25" x14ac:dyDescent="0.3">
      <c r="A194" s="2" t="s">
        <v>257</v>
      </c>
      <c r="B194" s="2" t="s">
        <v>258</v>
      </c>
      <c r="C194" s="2" t="s">
        <v>20</v>
      </c>
      <c r="D194" s="2">
        <v>4459</v>
      </c>
      <c r="E194" s="2">
        <v>4665</v>
      </c>
      <c r="F194" s="2">
        <v>4334</v>
      </c>
      <c r="G194" s="2">
        <v>4494</v>
      </c>
      <c r="H194" s="2">
        <v>4528</v>
      </c>
      <c r="I194" s="2">
        <v>4418</v>
      </c>
      <c r="J194" s="2">
        <v>4052</v>
      </c>
      <c r="K194" s="2">
        <v>4327</v>
      </c>
      <c r="L194" s="2">
        <v>4209</v>
      </c>
      <c r="M194" s="2">
        <v>4185</v>
      </c>
      <c r="N194" s="2">
        <v>4276</v>
      </c>
      <c r="O194" s="2">
        <v>4456</v>
      </c>
      <c r="P194" s="2">
        <v>52403</v>
      </c>
      <c r="Q194" s="2">
        <v>10</v>
      </c>
      <c r="R194" s="2">
        <v>524030</v>
      </c>
      <c r="S194" s="4">
        <f>SUM($R$2:R194) / SUM($R:$R)</f>
        <v>0.92304085497933908</v>
      </c>
      <c r="T194" s="3" t="str">
        <f t="shared" si="12"/>
        <v>C</v>
      </c>
      <c r="U194" s="2">
        <f t="shared" si="13"/>
        <v>4366.916666666667</v>
      </c>
      <c r="V194" s="2">
        <f t="shared" si="14"/>
        <v>170.05959294175426</v>
      </c>
      <c r="W194" s="2">
        <f t="shared" si="15"/>
        <v>3.8942715403718318E-2</v>
      </c>
      <c r="X194" s="2" t="str">
        <f t="shared" si="16"/>
        <v>X</v>
      </c>
      <c r="Y194" s="2" t="str">
        <f t="shared" si="17"/>
        <v>CX</v>
      </c>
    </row>
    <row r="195" spans="1:25" x14ac:dyDescent="0.3">
      <c r="A195" s="2" t="s">
        <v>455</v>
      </c>
      <c r="B195" s="2" t="s">
        <v>456</v>
      </c>
      <c r="C195" s="2" t="s">
        <v>20</v>
      </c>
      <c r="D195" s="2">
        <v>4115</v>
      </c>
      <c r="E195" s="2">
        <v>4125</v>
      </c>
      <c r="F195" s="2">
        <v>4670</v>
      </c>
      <c r="G195" s="2">
        <v>4338</v>
      </c>
      <c r="H195" s="2">
        <v>4743</v>
      </c>
      <c r="I195" s="2">
        <v>4373</v>
      </c>
      <c r="J195" s="2">
        <v>4398</v>
      </c>
      <c r="K195" s="2">
        <v>4252</v>
      </c>
      <c r="L195" s="2">
        <v>4300</v>
      </c>
      <c r="M195" s="2">
        <v>4401</v>
      </c>
      <c r="N195" s="2">
        <v>4395</v>
      </c>
      <c r="O195" s="2">
        <v>4260</v>
      </c>
      <c r="P195" s="2">
        <v>52370</v>
      </c>
      <c r="Q195" s="2">
        <v>10</v>
      </c>
      <c r="R195" s="2">
        <v>523700</v>
      </c>
      <c r="S195" s="4">
        <f>SUM($R$2:R195) / SUM($R:$R)</f>
        <v>0.92352924993371655</v>
      </c>
      <c r="T195" s="3" t="str">
        <f t="shared" ref="T195:T258" si="18">IF(S195&lt;=0.7, "A", IF(S195&lt;=0.9, "B", "C"))</f>
        <v>C</v>
      </c>
      <c r="U195" s="2">
        <f t="shared" ref="U195:U258" si="19">AVERAGE(D195:O195)</f>
        <v>4364.166666666667</v>
      </c>
      <c r="V195" s="2">
        <f t="shared" ref="V195:V258" si="20">_xlfn.STDEV.S(D195:O195)</f>
        <v>187.83398537167349</v>
      </c>
      <c r="W195" s="2">
        <f t="shared" ref="W195:W258" si="21">IF(U195=0,0,V195/U195)</f>
        <v>4.3040057751767842E-2</v>
      </c>
      <c r="X195" s="2" t="str">
        <f t="shared" ref="X195:X258" si="22">(IF(W195&lt;=0.2, "X", IF(W195&lt;=0.5, "Y", "Z")))</f>
        <v>X</v>
      </c>
      <c r="Y195" s="2" t="str">
        <f t="shared" ref="Y195:Y258" si="23">T195&amp;X195</f>
        <v>CX</v>
      </c>
    </row>
    <row r="196" spans="1:25" x14ac:dyDescent="0.3">
      <c r="A196" s="2" t="s">
        <v>419</v>
      </c>
      <c r="B196" s="2" t="s">
        <v>420</v>
      </c>
      <c r="C196" s="2" t="s">
        <v>25</v>
      </c>
      <c r="D196" s="2">
        <v>615</v>
      </c>
      <c r="E196" s="2">
        <v>288</v>
      </c>
      <c r="F196" s="2">
        <v>281</v>
      </c>
      <c r="G196" s="2">
        <v>441</v>
      </c>
      <c r="H196" s="2">
        <v>274</v>
      </c>
      <c r="I196" s="2">
        <v>260</v>
      </c>
      <c r="J196" s="2">
        <v>381</v>
      </c>
      <c r="K196" s="2">
        <v>613</v>
      </c>
      <c r="L196" s="2">
        <v>560</v>
      </c>
      <c r="M196" s="2">
        <v>373</v>
      </c>
      <c r="N196" s="2">
        <v>544</v>
      </c>
      <c r="O196" s="2">
        <v>604</v>
      </c>
      <c r="P196" s="2">
        <v>5234</v>
      </c>
      <c r="Q196" s="2">
        <v>100</v>
      </c>
      <c r="R196" s="2">
        <v>523400</v>
      </c>
      <c r="S196" s="4">
        <f>SUM($R$2:R196) / SUM($R:$R)</f>
        <v>0.92401736511248522</v>
      </c>
      <c r="T196" s="3" t="str">
        <f t="shared" si="18"/>
        <v>C</v>
      </c>
      <c r="U196" s="2">
        <f t="shared" si="19"/>
        <v>436.16666666666669</v>
      </c>
      <c r="V196" s="2">
        <f t="shared" si="20"/>
        <v>144.22257630187966</v>
      </c>
      <c r="W196" s="2">
        <f t="shared" si="21"/>
        <v>0.33065932663785935</v>
      </c>
      <c r="X196" s="2" t="str">
        <f t="shared" si="22"/>
        <v>Y</v>
      </c>
      <c r="Y196" s="2" t="str">
        <f t="shared" si="23"/>
        <v>CY</v>
      </c>
    </row>
    <row r="197" spans="1:25" x14ac:dyDescent="0.3">
      <c r="A197" s="2" t="s">
        <v>1761</v>
      </c>
      <c r="B197" s="2" t="s">
        <v>1762</v>
      </c>
      <c r="C197" s="2" t="s">
        <v>25</v>
      </c>
      <c r="D197" s="2">
        <v>1069</v>
      </c>
      <c r="E197" s="2">
        <v>883</v>
      </c>
      <c r="F197" s="2">
        <v>954</v>
      </c>
      <c r="G197" s="2">
        <v>954</v>
      </c>
      <c r="H197" s="2">
        <v>1010</v>
      </c>
      <c r="I197" s="2">
        <v>689</v>
      </c>
      <c r="J197" s="2">
        <v>1080</v>
      </c>
      <c r="K197" s="2">
        <v>528</v>
      </c>
      <c r="L197" s="2">
        <v>635</v>
      </c>
      <c r="M197" s="2">
        <v>1005</v>
      </c>
      <c r="N197" s="2">
        <v>1071</v>
      </c>
      <c r="O197" s="2">
        <v>565</v>
      </c>
      <c r="P197" s="2">
        <v>10443</v>
      </c>
      <c r="Q197" s="2">
        <v>50</v>
      </c>
      <c r="R197" s="2">
        <v>522150</v>
      </c>
      <c r="S197" s="4">
        <f>SUM($R$2:R197) / SUM($R:$R)</f>
        <v>0.92450431455955062</v>
      </c>
      <c r="T197" s="3" t="str">
        <f t="shared" si="18"/>
        <v>C</v>
      </c>
      <c r="U197" s="2">
        <f t="shared" si="19"/>
        <v>870.25</v>
      </c>
      <c r="V197" s="2">
        <f t="shared" si="20"/>
        <v>207.6234025169785</v>
      </c>
      <c r="W197" s="2">
        <f t="shared" si="21"/>
        <v>0.23857903190689858</v>
      </c>
      <c r="X197" s="2" t="str">
        <f t="shared" si="22"/>
        <v>Y</v>
      </c>
      <c r="Y197" s="2" t="str">
        <f t="shared" si="23"/>
        <v>CY</v>
      </c>
    </row>
    <row r="198" spans="1:25" x14ac:dyDescent="0.3">
      <c r="A198" s="2" t="s">
        <v>1049</v>
      </c>
      <c r="B198" s="2" t="s">
        <v>1050</v>
      </c>
      <c r="C198" s="2" t="s">
        <v>41</v>
      </c>
      <c r="D198" s="2">
        <v>455</v>
      </c>
      <c r="E198" s="2">
        <v>445</v>
      </c>
      <c r="F198" s="2">
        <v>427</v>
      </c>
      <c r="G198" s="2">
        <v>435</v>
      </c>
      <c r="H198" s="2">
        <v>433</v>
      </c>
      <c r="I198" s="2">
        <v>426</v>
      </c>
      <c r="J198" s="2">
        <v>444</v>
      </c>
      <c r="K198" s="2">
        <v>421</v>
      </c>
      <c r="L198" s="2">
        <v>425</v>
      </c>
      <c r="M198" s="2">
        <v>427</v>
      </c>
      <c r="N198" s="2">
        <v>412</v>
      </c>
      <c r="O198" s="2">
        <v>443</v>
      </c>
      <c r="P198" s="2">
        <v>5193</v>
      </c>
      <c r="Q198" s="2">
        <v>100</v>
      </c>
      <c r="R198" s="2">
        <v>519300</v>
      </c>
      <c r="S198" s="4">
        <f>SUM($R$2:R198) / SUM($R:$R)</f>
        <v>0.92498860613833278</v>
      </c>
      <c r="T198" s="3" t="str">
        <f t="shared" si="18"/>
        <v>C</v>
      </c>
      <c r="U198" s="2">
        <f t="shared" si="19"/>
        <v>432.75</v>
      </c>
      <c r="V198" s="2">
        <f t="shared" si="20"/>
        <v>12.144022098434798</v>
      </c>
      <c r="W198" s="2">
        <f t="shared" si="21"/>
        <v>2.8062442746238699E-2</v>
      </c>
      <c r="X198" s="2" t="str">
        <f t="shared" si="22"/>
        <v>X</v>
      </c>
      <c r="Y198" s="2" t="str">
        <f t="shared" si="23"/>
        <v>CX</v>
      </c>
    </row>
    <row r="199" spans="1:25" x14ac:dyDescent="0.3">
      <c r="A199" s="2" t="s">
        <v>1079</v>
      </c>
      <c r="B199" s="2" t="s">
        <v>1080</v>
      </c>
      <c r="C199" s="2" t="s">
        <v>20</v>
      </c>
      <c r="D199" s="2">
        <v>4108</v>
      </c>
      <c r="E199" s="2">
        <v>4173</v>
      </c>
      <c r="F199" s="2">
        <v>4384</v>
      </c>
      <c r="G199" s="2">
        <v>4587</v>
      </c>
      <c r="H199" s="2">
        <v>4389</v>
      </c>
      <c r="I199" s="2">
        <v>4361</v>
      </c>
      <c r="J199" s="2">
        <v>4366</v>
      </c>
      <c r="K199" s="2">
        <v>4412</v>
      </c>
      <c r="L199" s="2">
        <v>4009</v>
      </c>
      <c r="M199" s="2">
        <v>4233</v>
      </c>
      <c r="N199" s="2">
        <v>4106</v>
      </c>
      <c r="O199" s="2">
        <v>4361</v>
      </c>
      <c r="P199" s="2">
        <v>51489</v>
      </c>
      <c r="Q199" s="2">
        <v>10</v>
      </c>
      <c r="R199" s="2">
        <v>514890</v>
      </c>
      <c r="S199" s="4">
        <f>SUM($R$2:R199) / SUM($R:$R)</f>
        <v>0.92546878501566598</v>
      </c>
      <c r="T199" s="3" t="str">
        <f t="shared" si="18"/>
        <v>C</v>
      </c>
      <c r="U199" s="2">
        <f t="shared" si="19"/>
        <v>4290.75</v>
      </c>
      <c r="V199" s="2">
        <f t="shared" si="20"/>
        <v>165.27119586249196</v>
      </c>
      <c r="W199" s="2">
        <f t="shared" si="21"/>
        <v>3.8518020360657684E-2</v>
      </c>
      <c r="X199" s="2" t="str">
        <f t="shared" si="22"/>
        <v>X</v>
      </c>
      <c r="Y199" s="2" t="str">
        <f t="shared" si="23"/>
        <v>CX</v>
      </c>
    </row>
    <row r="200" spans="1:25" x14ac:dyDescent="0.3">
      <c r="A200" s="2" t="s">
        <v>713</v>
      </c>
      <c r="B200" s="2" t="s">
        <v>714</v>
      </c>
      <c r="C200" s="2" t="s">
        <v>20</v>
      </c>
      <c r="D200" s="2">
        <v>4044</v>
      </c>
      <c r="E200" s="2">
        <v>4208</v>
      </c>
      <c r="F200" s="2">
        <v>4330</v>
      </c>
      <c r="G200" s="2">
        <v>4401</v>
      </c>
      <c r="H200" s="2">
        <v>4185</v>
      </c>
      <c r="I200" s="2">
        <v>4041</v>
      </c>
      <c r="J200" s="2">
        <v>4361</v>
      </c>
      <c r="K200" s="2">
        <v>3835</v>
      </c>
      <c r="L200" s="2">
        <v>4570</v>
      </c>
      <c r="M200" s="2">
        <v>4243</v>
      </c>
      <c r="N200" s="2">
        <v>4311</v>
      </c>
      <c r="O200" s="2">
        <v>4444</v>
      </c>
      <c r="P200" s="2">
        <v>50973</v>
      </c>
      <c r="Q200" s="2">
        <v>10</v>
      </c>
      <c r="R200" s="2">
        <v>509730</v>
      </c>
      <c r="S200" s="4">
        <f>SUM($R$2:R200) / SUM($R:$R)</f>
        <v>0.92594415175252842</v>
      </c>
      <c r="T200" s="3" t="str">
        <f t="shared" si="18"/>
        <v>C</v>
      </c>
      <c r="U200" s="2">
        <f t="shared" si="19"/>
        <v>4247.75</v>
      </c>
      <c r="V200" s="2">
        <f t="shared" si="20"/>
        <v>202.16965198025687</v>
      </c>
      <c r="W200" s="2">
        <f t="shared" si="21"/>
        <v>4.759452698022644E-2</v>
      </c>
      <c r="X200" s="2" t="str">
        <f t="shared" si="22"/>
        <v>X</v>
      </c>
      <c r="Y200" s="2" t="str">
        <f t="shared" si="23"/>
        <v>CX</v>
      </c>
    </row>
    <row r="201" spans="1:25" x14ac:dyDescent="0.3">
      <c r="A201" s="2" t="s">
        <v>199</v>
      </c>
      <c r="B201" s="2" t="s">
        <v>200</v>
      </c>
      <c r="C201" s="2" t="s">
        <v>20</v>
      </c>
      <c r="D201" s="2">
        <v>3998</v>
      </c>
      <c r="E201" s="2">
        <v>4324</v>
      </c>
      <c r="F201" s="2">
        <v>4433</v>
      </c>
      <c r="G201" s="2">
        <v>4439</v>
      </c>
      <c r="H201" s="2">
        <v>4103</v>
      </c>
      <c r="I201" s="2">
        <v>4373</v>
      </c>
      <c r="J201" s="2">
        <v>4292</v>
      </c>
      <c r="K201" s="2">
        <v>4281</v>
      </c>
      <c r="L201" s="2">
        <v>4142</v>
      </c>
      <c r="M201" s="2">
        <v>4209</v>
      </c>
      <c r="N201" s="2">
        <v>3973</v>
      </c>
      <c r="O201" s="2">
        <v>4377</v>
      </c>
      <c r="P201" s="2">
        <v>50944</v>
      </c>
      <c r="Q201" s="2">
        <v>10</v>
      </c>
      <c r="R201" s="2">
        <v>509440</v>
      </c>
      <c r="S201" s="4">
        <f>SUM($R$2:R201) / SUM($R:$R)</f>
        <v>0.9264192480396356</v>
      </c>
      <c r="T201" s="3" t="str">
        <f t="shared" si="18"/>
        <v>C</v>
      </c>
      <c r="U201" s="2">
        <f t="shared" si="19"/>
        <v>4245.333333333333</v>
      </c>
      <c r="V201" s="2">
        <f t="shared" si="20"/>
        <v>160.56566673275248</v>
      </c>
      <c r="W201" s="2">
        <f t="shared" si="21"/>
        <v>3.7821686573355641E-2</v>
      </c>
      <c r="X201" s="2" t="str">
        <f t="shared" si="22"/>
        <v>X</v>
      </c>
      <c r="Y201" s="2" t="str">
        <f t="shared" si="23"/>
        <v>CX</v>
      </c>
    </row>
    <row r="202" spans="1:25" x14ac:dyDescent="0.3">
      <c r="A202" s="2" t="s">
        <v>1685</v>
      </c>
      <c r="B202" s="2" t="s">
        <v>1686</v>
      </c>
      <c r="C202" s="2" t="s">
        <v>20</v>
      </c>
      <c r="D202" s="2">
        <v>4261</v>
      </c>
      <c r="E202" s="2">
        <v>4164</v>
      </c>
      <c r="F202" s="2">
        <v>3967</v>
      </c>
      <c r="G202" s="2">
        <v>4307</v>
      </c>
      <c r="H202" s="2">
        <v>4724</v>
      </c>
      <c r="I202" s="2">
        <v>4262</v>
      </c>
      <c r="J202" s="2">
        <v>3831</v>
      </c>
      <c r="K202" s="2">
        <v>4303</v>
      </c>
      <c r="L202" s="2">
        <v>4009</v>
      </c>
      <c r="M202" s="2">
        <v>4620</v>
      </c>
      <c r="N202" s="2">
        <v>4132</v>
      </c>
      <c r="O202" s="2">
        <v>3920</v>
      </c>
      <c r="P202" s="2">
        <v>50500</v>
      </c>
      <c r="Q202" s="2">
        <v>10</v>
      </c>
      <c r="R202" s="2">
        <v>505000</v>
      </c>
      <c r="S202" s="4">
        <f>SUM($R$2:R202) / SUM($R:$R)</f>
        <v>0.926890203647733</v>
      </c>
      <c r="T202" s="3" t="str">
        <f t="shared" si="18"/>
        <v>C</v>
      </c>
      <c r="U202" s="2">
        <f t="shared" si="19"/>
        <v>4208.333333333333</v>
      </c>
      <c r="V202" s="2">
        <f t="shared" si="20"/>
        <v>268.16152979241087</v>
      </c>
      <c r="W202" s="2">
        <f t="shared" si="21"/>
        <v>6.3721551633840218E-2</v>
      </c>
      <c r="X202" s="2" t="str">
        <f t="shared" si="22"/>
        <v>X</v>
      </c>
      <c r="Y202" s="2" t="str">
        <f t="shared" si="23"/>
        <v>CX</v>
      </c>
    </row>
    <row r="203" spans="1:25" x14ac:dyDescent="0.3">
      <c r="A203" s="2" t="s">
        <v>607</v>
      </c>
      <c r="B203" s="2" t="s">
        <v>608</v>
      </c>
      <c r="C203" s="2" t="s">
        <v>20</v>
      </c>
      <c r="D203" s="2">
        <v>4268</v>
      </c>
      <c r="E203" s="2">
        <v>4188</v>
      </c>
      <c r="F203" s="2">
        <v>4391</v>
      </c>
      <c r="G203" s="2">
        <v>3998</v>
      </c>
      <c r="H203" s="2">
        <v>4785</v>
      </c>
      <c r="I203" s="2">
        <v>3749</v>
      </c>
      <c r="J203" s="2">
        <v>4369</v>
      </c>
      <c r="K203" s="2">
        <v>4235</v>
      </c>
      <c r="L203" s="2">
        <v>4032</v>
      </c>
      <c r="M203" s="2">
        <v>3738</v>
      </c>
      <c r="N203" s="2">
        <v>4372</v>
      </c>
      <c r="O203" s="2">
        <v>4108</v>
      </c>
      <c r="P203" s="2">
        <v>50233</v>
      </c>
      <c r="Q203" s="2">
        <v>10</v>
      </c>
      <c r="R203" s="2">
        <v>502330</v>
      </c>
      <c r="S203" s="4">
        <f>SUM($R$2:R203) / SUM($R:$R)</f>
        <v>0.92735866925291244</v>
      </c>
      <c r="T203" s="3" t="str">
        <f t="shared" si="18"/>
        <v>C</v>
      </c>
      <c r="U203" s="2">
        <f t="shared" si="19"/>
        <v>4186.083333333333</v>
      </c>
      <c r="V203" s="2">
        <f t="shared" si="20"/>
        <v>291.52528608037142</v>
      </c>
      <c r="W203" s="2">
        <f t="shared" si="21"/>
        <v>6.9641539087143059E-2</v>
      </c>
      <c r="X203" s="2" t="str">
        <f t="shared" si="22"/>
        <v>X</v>
      </c>
      <c r="Y203" s="2" t="str">
        <f t="shared" si="23"/>
        <v>CX</v>
      </c>
    </row>
    <row r="204" spans="1:25" x14ac:dyDescent="0.3">
      <c r="A204" s="2" t="s">
        <v>737</v>
      </c>
      <c r="B204" s="2" t="s">
        <v>738</v>
      </c>
      <c r="C204" s="2" t="s">
        <v>25</v>
      </c>
      <c r="D204" s="2">
        <v>549</v>
      </c>
      <c r="E204" s="2">
        <v>1037</v>
      </c>
      <c r="F204" s="2">
        <v>1050</v>
      </c>
      <c r="G204" s="2">
        <v>930</v>
      </c>
      <c r="H204" s="2">
        <v>1090</v>
      </c>
      <c r="I204" s="2">
        <v>678</v>
      </c>
      <c r="J204" s="2">
        <v>813</v>
      </c>
      <c r="K204" s="2">
        <v>777</v>
      </c>
      <c r="L204" s="2">
        <v>969</v>
      </c>
      <c r="M204" s="2">
        <v>593</v>
      </c>
      <c r="N204" s="2">
        <v>662</v>
      </c>
      <c r="O204" s="2">
        <v>825</v>
      </c>
      <c r="P204" s="2">
        <v>9973</v>
      </c>
      <c r="Q204" s="2">
        <v>50</v>
      </c>
      <c r="R204" s="2">
        <v>498650</v>
      </c>
      <c r="S204" s="4">
        <f>SUM($R$2:R204) / SUM($R:$R)</f>
        <v>0.92782370294395744</v>
      </c>
      <c r="T204" s="3" t="str">
        <f t="shared" si="18"/>
        <v>C</v>
      </c>
      <c r="U204" s="2">
        <f t="shared" si="19"/>
        <v>831.08333333333337</v>
      </c>
      <c r="V204" s="2">
        <f t="shared" si="20"/>
        <v>185.30979385064819</v>
      </c>
      <c r="W204" s="2">
        <f t="shared" si="21"/>
        <v>0.22297378183172348</v>
      </c>
      <c r="X204" s="2" t="str">
        <f t="shared" si="22"/>
        <v>Y</v>
      </c>
      <c r="Y204" s="2" t="str">
        <f t="shared" si="23"/>
        <v>CY</v>
      </c>
    </row>
    <row r="205" spans="1:25" x14ac:dyDescent="0.3">
      <c r="A205" s="2" t="s">
        <v>653</v>
      </c>
      <c r="B205" s="2" t="s">
        <v>654</v>
      </c>
      <c r="C205" s="2" t="s">
        <v>25</v>
      </c>
      <c r="D205" s="2">
        <v>947</v>
      </c>
      <c r="E205" s="2">
        <v>1001</v>
      </c>
      <c r="F205" s="2">
        <v>1022</v>
      </c>
      <c r="G205" s="2">
        <v>959</v>
      </c>
      <c r="H205" s="2">
        <v>862</v>
      </c>
      <c r="I205" s="2">
        <v>906</v>
      </c>
      <c r="J205" s="2">
        <v>688</v>
      </c>
      <c r="K205" s="2">
        <v>523</v>
      </c>
      <c r="L205" s="2">
        <v>632</v>
      </c>
      <c r="M205" s="2">
        <v>1065</v>
      </c>
      <c r="N205" s="2">
        <v>789</v>
      </c>
      <c r="O205" s="2">
        <v>568</v>
      </c>
      <c r="P205" s="2">
        <v>9962</v>
      </c>
      <c r="Q205" s="2">
        <v>50</v>
      </c>
      <c r="R205" s="2">
        <v>498100</v>
      </c>
      <c r="S205" s="4">
        <f>SUM($R$2:R205) / SUM($R:$R)</f>
        <v>0.9282882237130532</v>
      </c>
      <c r="T205" s="3" t="str">
        <f t="shared" si="18"/>
        <v>C</v>
      </c>
      <c r="U205" s="2">
        <f t="shared" si="19"/>
        <v>830.16666666666663</v>
      </c>
      <c r="V205" s="2">
        <f t="shared" si="20"/>
        <v>186.45049712668484</v>
      </c>
      <c r="W205" s="2">
        <f t="shared" si="21"/>
        <v>0.22459405395705864</v>
      </c>
      <c r="X205" s="2" t="str">
        <f t="shared" si="22"/>
        <v>Y</v>
      </c>
      <c r="Y205" s="2" t="str">
        <f t="shared" si="23"/>
        <v>CY</v>
      </c>
    </row>
    <row r="206" spans="1:25" x14ac:dyDescent="0.3">
      <c r="A206" s="2" t="s">
        <v>469</v>
      </c>
      <c r="B206" s="2" t="s">
        <v>470</v>
      </c>
      <c r="C206" s="2" t="s">
        <v>41</v>
      </c>
      <c r="D206" s="2">
        <v>388</v>
      </c>
      <c r="E206" s="2">
        <v>399</v>
      </c>
      <c r="F206" s="2">
        <v>388</v>
      </c>
      <c r="G206" s="2">
        <v>429</v>
      </c>
      <c r="H206" s="2">
        <v>409</v>
      </c>
      <c r="I206" s="2">
        <v>419</v>
      </c>
      <c r="J206" s="2">
        <v>407</v>
      </c>
      <c r="K206" s="2">
        <v>443</v>
      </c>
      <c r="L206" s="2">
        <v>424</v>
      </c>
      <c r="M206" s="2">
        <v>402</v>
      </c>
      <c r="N206" s="2">
        <v>396</v>
      </c>
      <c r="O206" s="2">
        <v>461</v>
      </c>
      <c r="P206" s="2">
        <v>4965</v>
      </c>
      <c r="Q206" s="2">
        <v>100</v>
      </c>
      <c r="R206" s="2">
        <v>496500</v>
      </c>
      <c r="S206" s="4">
        <f>SUM($R$2:R206) / SUM($R:$R)</f>
        <v>0.92875125234556877</v>
      </c>
      <c r="T206" s="3" t="str">
        <f t="shared" si="18"/>
        <v>C</v>
      </c>
      <c r="U206" s="2">
        <f t="shared" si="19"/>
        <v>413.75</v>
      </c>
      <c r="V206" s="2">
        <f t="shared" si="20"/>
        <v>22.397747451676718</v>
      </c>
      <c r="W206" s="2">
        <f t="shared" si="21"/>
        <v>5.4133528584112911E-2</v>
      </c>
      <c r="X206" s="2" t="str">
        <f t="shared" si="22"/>
        <v>X</v>
      </c>
      <c r="Y206" s="2" t="str">
        <f t="shared" si="23"/>
        <v>CX</v>
      </c>
    </row>
    <row r="207" spans="1:25" x14ac:dyDescent="0.3">
      <c r="A207" s="2" t="s">
        <v>1327</v>
      </c>
      <c r="B207" s="2" t="s">
        <v>1328</v>
      </c>
      <c r="C207" s="2" t="s">
        <v>20</v>
      </c>
      <c r="D207" s="2">
        <v>4176</v>
      </c>
      <c r="E207" s="2">
        <v>4458</v>
      </c>
      <c r="F207" s="2">
        <v>3916</v>
      </c>
      <c r="G207" s="2">
        <v>3807</v>
      </c>
      <c r="H207" s="2">
        <v>4244</v>
      </c>
      <c r="I207" s="2">
        <v>4014</v>
      </c>
      <c r="J207" s="2">
        <v>4001</v>
      </c>
      <c r="K207" s="2">
        <v>4176</v>
      </c>
      <c r="L207" s="2">
        <v>4333</v>
      </c>
      <c r="M207" s="2">
        <v>4066</v>
      </c>
      <c r="N207" s="2">
        <v>4123</v>
      </c>
      <c r="O207" s="2">
        <v>4220</v>
      </c>
      <c r="P207" s="2">
        <v>49534</v>
      </c>
      <c r="Q207" s="2">
        <v>10</v>
      </c>
      <c r="R207" s="2">
        <v>495340</v>
      </c>
      <c r="S207" s="4">
        <f>SUM($R$2:R207) / SUM($R:$R)</f>
        <v>0.92921319917906375</v>
      </c>
      <c r="T207" s="3" t="str">
        <f t="shared" si="18"/>
        <v>C</v>
      </c>
      <c r="U207" s="2">
        <f t="shared" si="19"/>
        <v>4127.833333333333</v>
      </c>
      <c r="V207" s="2">
        <f t="shared" si="20"/>
        <v>180.51231805529775</v>
      </c>
      <c r="W207" s="2">
        <f t="shared" si="21"/>
        <v>4.3730524824637081E-2</v>
      </c>
      <c r="X207" s="2" t="str">
        <f t="shared" si="22"/>
        <v>X</v>
      </c>
      <c r="Y207" s="2" t="str">
        <f t="shared" si="23"/>
        <v>CX</v>
      </c>
    </row>
    <row r="208" spans="1:25" x14ac:dyDescent="0.3">
      <c r="A208" s="2" t="s">
        <v>1305</v>
      </c>
      <c r="B208" s="2" t="s">
        <v>1306</v>
      </c>
      <c r="C208" s="2" t="s">
        <v>20</v>
      </c>
      <c r="D208" s="2">
        <v>3774</v>
      </c>
      <c r="E208" s="2">
        <v>4130</v>
      </c>
      <c r="F208" s="2">
        <v>4063</v>
      </c>
      <c r="G208" s="2">
        <v>4000</v>
      </c>
      <c r="H208" s="2">
        <v>4581</v>
      </c>
      <c r="I208" s="2">
        <v>4432</v>
      </c>
      <c r="J208" s="2">
        <v>4276</v>
      </c>
      <c r="K208" s="2">
        <v>3840</v>
      </c>
      <c r="L208" s="2">
        <v>4172</v>
      </c>
      <c r="M208" s="2">
        <v>4077</v>
      </c>
      <c r="N208" s="2">
        <v>4082</v>
      </c>
      <c r="O208" s="2">
        <v>4020</v>
      </c>
      <c r="P208" s="2">
        <v>49447</v>
      </c>
      <c r="Q208" s="2">
        <v>10</v>
      </c>
      <c r="R208" s="2">
        <v>494470</v>
      </c>
      <c r="S208" s="4">
        <f>SUM($R$2:R208) / SUM($R:$R)</f>
        <v>0.9296743346632933</v>
      </c>
      <c r="T208" s="3" t="str">
        <f t="shared" si="18"/>
        <v>C</v>
      </c>
      <c r="U208" s="2">
        <f t="shared" si="19"/>
        <v>4120.583333333333</v>
      </c>
      <c r="V208" s="2">
        <f t="shared" si="20"/>
        <v>226.84774963651614</v>
      </c>
      <c r="W208" s="2">
        <f t="shared" si="21"/>
        <v>5.5052338779666997E-2</v>
      </c>
      <c r="X208" s="2" t="str">
        <f t="shared" si="22"/>
        <v>X</v>
      </c>
      <c r="Y208" s="2" t="str">
        <f t="shared" si="23"/>
        <v>CX</v>
      </c>
    </row>
    <row r="209" spans="1:25" x14ac:dyDescent="0.3">
      <c r="A209" s="2" t="s">
        <v>135</v>
      </c>
      <c r="B209" s="2" t="s">
        <v>136</v>
      </c>
      <c r="C209" s="2" t="s">
        <v>25</v>
      </c>
      <c r="D209" s="2">
        <v>639</v>
      </c>
      <c r="E209" s="2">
        <v>816</v>
      </c>
      <c r="F209" s="2">
        <v>688</v>
      </c>
      <c r="G209" s="2">
        <v>689</v>
      </c>
      <c r="H209" s="2">
        <v>851</v>
      </c>
      <c r="I209" s="2">
        <v>997</v>
      </c>
      <c r="J209" s="2">
        <v>726</v>
      </c>
      <c r="K209" s="2">
        <v>746</v>
      </c>
      <c r="L209" s="2">
        <v>647</v>
      </c>
      <c r="M209" s="2">
        <v>793</v>
      </c>
      <c r="N209" s="2">
        <v>1122</v>
      </c>
      <c r="O209" s="2">
        <v>1014</v>
      </c>
      <c r="P209" s="2">
        <v>9728</v>
      </c>
      <c r="Q209" s="2">
        <v>50</v>
      </c>
      <c r="R209" s="2">
        <v>486400</v>
      </c>
      <c r="S209" s="4">
        <f>SUM($R$2:R209) / SUM($R:$R)</f>
        <v>0.93012794418364697</v>
      </c>
      <c r="T209" s="3" t="str">
        <f t="shared" si="18"/>
        <v>C</v>
      </c>
      <c r="U209" s="2">
        <f t="shared" si="19"/>
        <v>810.66666666666663</v>
      </c>
      <c r="V209" s="2">
        <f t="shared" si="20"/>
        <v>157.36947453414066</v>
      </c>
      <c r="W209" s="2">
        <f t="shared" si="21"/>
        <v>0.19412352944178538</v>
      </c>
      <c r="X209" s="2" t="str">
        <f t="shared" si="22"/>
        <v>X</v>
      </c>
      <c r="Y209" s="2" t="str">
        <f t="shared" si="23"/>
        <v>CX</v>
      </c>
    </row>
    <row r="210" spans="1:25" x14ac:dyDescent="0.3">
      <c r="A210" s="2" t="s">
        <v>1427</v>
      </c>
      <c r="B210" s="2" t="s">
        <v>1428</v>
      </c>
      <c r="C210" s="2" t="s">
        <v>20</v>
      </c>
      <c r="D210" s="2">
        <v>4228</v>
      </c>
      <c r="E210" s="2">
        <v>3657</v>
      </c>
      <c r="F210" s="2">
        <v>4230</v>
      </c>
      <c r="G210" s="2">
        <v>4003</v>
      </c>
      <c r="H210" s="2">
        <v>4245</v>
      </c>
      <c r="I210" s="2">
        <v>4233</v>
      </c>
      <c r="J210" s="2">
        <v>3979</v>
      </c>
      <c r="K210" s="2">
        <v>4038</v>
      </c>
      <c r="L210" s="2">
        <v>3905</v>
      </c>
      <c r="M210" s="2">
        <v>3818</v>
      </c>
      <c r="N210" s="2">
        <v>4107</v>
      </c>
      <c r="O210" s="2">
        <v>4172</v>
      </c>
      <c r="P210" s="2">
        <v>48615</v>
      </c>
      <c r="Q210" s="2">
        <v>10</v>
      </c>
      <c r="R210" s="2">
        <v>486150</v>
      </c>
      <c r="S210" s="4">
        <f>SUM($R$2:R210) / SUM($R:$R)</f>
        <v>0.93058132055765996</v>
      </c>
      <c r="T210" s="3" t="str">
        <f t="shared" si="18"/>
        <v>C</v>
      </c>
      <c r="U210" s="2">
        <f t="shared" si="19"/>
        <v>4051.25</v>
      </c>
      <c r="V210" s="2">
        <f t="shared" si="20"/>
        <v>188.39133593280096</v>
      </c>
      <c r="W210" s="2">
        <f t="shared" si="21"/>
        <v>4.6502026765270217E-2</v>
      </c>
      <c r="X210" s="2" t="str">
        <f t="shared" si="22"/>
        <v>X</v>
      </c>
      <c r="Y210" s="2" t="str">
        <f t="shared" si="23"/>
        <v>CX</v>
      </c>
    </row>
    <row r="211" spans="1:25" x14ac:dyDescent="0.3">
      <c r="A211" s="2" t="s">
        <v>1569</v>
      </c>
      <c r="B211" s="2" t="s">
        <v>1570</v>
      </c>
      <c r="C211" s="2" t="s">
        <v>20</v>
      </c>
      <c r="D211" s="2">
        <v>4287</v>
      </c>
      <c r="E211" s="2">
        <v>4004</v>
      </c>
      <c r="F211" s="2">
        <v>4269</v>
      </c>
      <c r="G211" s="2">
        <v>4087</v>
      </c>
      <c r="H211" s="2">
        <v>3743</v>
      </c>
      <c r="I211" s="2">
        <v>4268</v>
      </c>
      <c r="J211" s="2">
        <v>4136</v>
      </c>
      <c r="K211" s="2">
        <v>3601</v>
      </c>
      <c r="L211" s="2">
        <v>3713</v>
      </c>
      <c r="M211" s="2">
        <v>4195</v>
      </c>
      <c r="N211" s="2">
        <v>4283</v>
      </c>
      <c r="O211" s="2">
        <v>3904</v>
      </c>
      <c r="P211" s="2">
        <v>48490</v>
      </c>
      <c r="Q211" s="2">
        <v>10</v>
      </c>
      <c r="R211" s="2">
        <v>484900</v>
      </c>
      <c r="S211" s="4">
        <f>SUM($R$2:R211) / SUM($R:$R)</f>
        <v>0.93103353119996968</v>
      </c>
      <c r="T211" s="3" t="str">
        <f t="shared" si="18"/>
        <v>C</v>
      </c>
      <c r="U211" s="2">
        <f t="shared" si="19"/>
        <v>4040.8333333333335</v>
      </c>
      <c r="V211" s="2">
        <f t="shared" si="20"/>
        <v>246.35076003474595</v>
      </c>
      <c r="W211" s="2">
        <f t="shared" si="21"/>
        <v>6.0965335541698314E-2</v>
      </c>
      <c r="X211" s="2" t="str">
        <f t="shared" si="22"/>
        <v>X</v>
      </c>
      <c r="Y211" s="2" t="str">
        <f t="shared" si="23"/>
        <v>CX</v>
      </c>
    </row>
    <row r="212" spans="1:25" x14ac:dyDescent="0.3">
      <c r="A212" s="2" t="s">
        <v>971</v>
      </c>
      <c r="B212" s="2" t="s">
        <v>972</v>
      </c>
      <c r="C212" s="2" t="s">
        <v>20</v>
      </c>
      <c r="D212" s="2">
        <v>4266</v>
      </c>
      <c r="E212" s="2">
        <v>3539</v>
      </c>
      <c r="F212" s="2">
        <v>4405</v>
      </c>
      <c r="G212" s="2">
        <v>4224</v>
      </c>
      <c r="H212" s="2">
        <v>3925</v>
      </c>
      <c r="I212" s="2">
        <v>3988</v>
      </c>
      <c r="J212" s="2">
        <v>3962</v>
      </c>
      <c r="K212" s="2">
        <v>4025</v>
      </c>
      <c r="L212" s="2">
        <v>3898</v>
      </c>
      <c r="M212" s="2">
        <v>4206</v>
      </c>
      <c r="N212" s="2">
        <v>4269</v>
      </c>
      <c r="O212" s="2">
        <v>3667</v>
      </c>
      <c r="P212" s="2">
        <v>48374</v>
      </c>
      <c r="Q212" s="2">
        <v>10</v>
      </c>
      <c r="R212" s="2">
        <v>483740</v>
      </c>
      <c r="S212" s="4">
        <f>SUM($R$2:R212) / SUM($R:$R)</f>
        <v>0.93148466004325892</v>
      </c>
      <c r="T212" s="3" t="str">
        <f t="shared" si="18"/>
        <v>C</v>
      </c>
      <c r="U212" s="2">
        <f t="shared" si="19"/>
        <v>4031.1666666666665</v>
      </c>
      <c r="V212" s="2">
        <f t="shared" si="20"/>
        <v>257.56723158794637</v>
      </c>
      <c r="W212" s="2">
        <f t="shared" si="21"/>
        <v>6.3893967400987239E-2</v>
      </c>
      <c r="X212" s="2" t="str">
        <f t="shared" si="22"/>
        <v>X</v>
      </c>
      <c r="Y212" s="2" t="str">
        <f t="shared" si="23"/>
        <v>CX</v>
      </c>
    </row>
    <row r="213" spans="1:25" x14ac:dyDescent="0.3">
      <c r="A213" s="2" t="s">
        <v>983</v>
      </c>
      <c r="B213" s="2" t="s">
        <v>984</v>
      </c>
      <c r="C213" s="2" t="s">
        <v>20</v>
      </c>
      <c r="D213" s="2">
        <v>4178</v>
      </c>
      <c r="E213" s="2">
        <v>3974</v>
      </c>
      <c r="F213" s="2">
        <v>4151</v>
      </c>
      <c r="G213" s="2">
        <v>4005</v>
      </c>
      <c r="H213" s="2">
        <v>3995</v>
      </c>
      <c r="I213" s="2">
        <v>3786</v>
      </c>
      <c r="J213" s="2">
        <v>4301</v>
      </c>
      <c r="K213" s="2">
        <v>3615</v>
      </c>
      <c r="L213" s="2">
        <v>4145</v>
      </c>
      <c r="M213" s="2">
        <v>4234</v>
      </c>
      <c r="N213" s="2">
        <v>3826</v>
      </c>
      <c r="O213" s="2">
        <v>3974</v>
      </c>
      <c r="P213" s="2">
        <v>48184</v>
      </c>
      <c r="Q213" s="2">
        <v>10</v>
      </c>
      <c r="R213" s="2">
        <v>481840</v>
      </c>
      <c r="S213" s="4">
        <f>SUM($R$2:R213) / SUM($R:$R)</f>
        <v>0.93193401697435918</v>
      </c>
      <c r="T213" s="3" t="str">
        <f t="shared" si="18"/>
        <v>C</v>
      </c>
      <c r="U213" s="2">
        <f t="shared" si="19"/>
        <v>4015.3333333333335</v>
      </c>
      <c r="V213" s="2">
        <f t="shared" si="20"/>
        <v>200.84925751026378</v>
      </c>
      <c r="W213" s="2">
        <f t="shared" si="21"/>
        <v>5.0020568863588855E-2</v>
      </c>
      <c r="X213" s="2" t="str">
        <f t="shared" si="22"/>
        <v>X</v>
      </c>
      <c r="Y213" s="2" t="str">
        <f t="shared" si="23"/>
        <v>CX</v>
      </c>
    </row>
    <row r="214" spans="1:25" x14ac:dyDescent="0.3">
      <c r="A214" s="2" t="s">
        <v>1273</v>
      </c>
      <c r="B214" s="2" t="s">
        <v>1274</v>
      </c>
      <c r="C214" s="2" t="s">
        <v>25</v>
      </c>
      <c r="D214" s="2">
        <v>226</v>
      </c>
      <c r="E214" s="2">
        <v>580</v>
      </c>
      <c r="F214" s="2">
        <v>540</v>
      </c>
      <c r="G214" s="2">
        <v>458</v>
      </c>
      <c r="H214" s="2">
        <v>442</v>
      </c>
      <c r="I214" s="2">
        <v>285</v>
      </c>
      <c r="J214" s="2">
        <v>197</v>
      </c>
      <c r="K214" s="2">
        <v>261</v>
      </c>
      <c r="L214" s="2">
        <v>580</v>
      </c>
      <c r="M214" s="2">
        <v>394</v>
      </c>
      <c r="N214" s="2">
        <v>349</v>
      </c>
      <c r="O214" s="2">
        <v>504</v>
      </c>
      <c r="P214" s="2">
        <v>4816</v>
      </c>
      <c r="Q214" s="2">
        <v>100</v>
      </c>
      <c r="R214" s="2">
        <v>481600</v>
      </c>
      <c r="S214" s="4">
        <f>SUM($R$2:R214) / SUM($R:$R)</f>
        <v>0.93238315008497252</v>
      </c>
      <c r="T214" s="3" t="str">
        <f t="shared" si="18"/>
        <v>C</v>
      </c>
      <c r="U214" s="2">
        <f t="shared" si="19"/>
        <v>401.33333333333331</v>
      </c>
      <c r="V214" s="2">
        <f t="shared" si="20"/>
        <v>137.17628560845836</v>
      </c>
      <c r="W214" s="2">
        <f t="shared" si="21"/>
        <v>0.34180137610080985</v>
      </c>
      <c r="X214" s="2" t="str">
        <f t="shared" si="22"/>
        <v>Y</v>
      </c>
      <c r="Y214" s="2" t="str">
        <f t="shared" si="23"/>
        <v>CY</v>
      </c>
    </row>
    <row r="215" spans="1:25" x14ac:dyDescent="0.3">
      <c r="A215" s="2" t="s">
        <v>323</v>
      </c>
      <c r="B215" s="2" t="s">
        <v>324</v>
      </c>
      <c r="C215" s="2" t="s">
        <v>20</v>
      </c>
      <c r="D215" s="2">
        <v>4208</v>
      </c>
      <c r="E215" s="2">
        <v>4414</v>
      </c>
      <c r="F215" s="2">
        <v>3960</v>
      </c>
      <c r="G215" s="2">
        <v>3813</v>
      </c>
      <c r="H215" s="2">
        <v>4008</v>
      </c>
      <c r="I215" s="2">
        <v>3947</v>
      </c>
      <c r="J215" s="2">
        <v>4012</v>
      </c>
      <c r="K215" s="2">
        <v>3929</v>
      </c>
      <c r="L215" s="2">
        <v>3971</v>
      </c>
      <c r="M215" s="2">
        <v>4022</v>
      </c>
      <c r="N215" s="2">
        <v>3904</v>
      </c>
      <c r="O215" s="2">
        <v>3810</v>
      </c>
      <c r="P215" s="2">
        <v>47998</v>
      </c>
      <c r="Q215" s="2">
        <v>10</v>
      </c>
      <c r="R215" s="2">
        <v>479980</v>
      </c>
      <c r="S215" s="4">
        <f>SUM($R$2:R215) / SUM($R:$R)</f>
        <v>0.9328307724072985</v>
      </c>
      <c r="T215" s="3" t="str">
        <f t="shared" si="18"/>
        <v>C</v>
      </c>
      <c r="U215" s="2">
        <f t="shared" si="19"/>
        <v>3999.8333333333335</v>
      </c>
      <c r="V215" s="2">
        <f t="shared" si="20"/>
        <v>166.76812063642757</v>
      </c>
      <c r="W215" s="2">
        <f t="shared" si="21"/>
        <v>4.1693767399415202E-2</v>
      </c>
      <c r="X215" s="2" t="str">
        <f t="shared" si="22"/>
        <v>X</v>
      </c>
      <c r="Y215" s="2" t="str">
        <f t="shared" si="23"/>
        <v>CX</v>
      </c>
    </row>
    <row r="216" spans="1:25" x14ac:dyDescent="0.3">
      <c r="A216" s="2" t="s">
        <v>1445</v>
      </c>
      <c r="B216" s="2" t="s">
        <v>1446</v>
      </c>
      <c r="C216" s="2" t="s">
        <v>41</v>
      </c>
      <c r="D216" s="2">
        <v>373</v>
      </c>
      <c r="E216" s="2">
        <v>405</v>
      </c>
      <c r="F216" s="2">
        <v>402</v>
      </c>
      <c r="G216" s="2">
        <v>370</v>
      </c>
      <c r="H216" s="2">
        <v>379</v>
      </c>
      <c r="I216" s="2">
        <v>403</v>
      </c>
      <c r="J216" s="2">
        <v>408</v>
      </c>
      <c r="K216" s="2">
        <v>388</v>
      </c>
      <c r="L216" s="2">
        <v>394</v>
      </c>
      <c r="M216" s="2">
        <v>429</v>
      </c>
      <c r="N216" s="2">
        <v>426</v>
      </c>
      <c r="O216" s="2">
        <v>412</v>
      </c>
      <c r="P216" s="2">
        <v>4789</v>
      </c>
      <c r="Q216" s="2">
        <v>100</v>
      </c>
      <c r="R216" s="2">
        <v>478900</v>
      </c>
      <c r="S216" s="4">
        <f>SUM($R$2:R216) / SUM($R:$R)</f>
        <v>0.93327738753743283</v>
      </c>
      <c r="T216" s="3" t="str">
        <f t="shared" si="18"/>
        <v>C</v>
      </c>
      <c r="U216" s="2">
        <f t="shared" si="19"/>
        <v>399.08333333333331</v>
      </c>
      <c r="V216" s="2">
        <f t="shared" si="20"/>
        <v>19.076202849401533</v>
      </c>
      <c r="W216" s="2">
        <f t="shared" si="21"/>
        <v>4.7800048902238129E-2</v>
      </c>
      <c r="X216" s="2" t="str">
        <f t="shared" si="22"/>
        <v>X</v>
      </c>
      <c r="Y216" s="2" t="str">
        <f t="shared" si="23"/>
        <v>CX</v>
      </c>
    </row>
    <row r="217" spans="1:25" x14ac:dyDescent="0.3">
      <c r="A217" s="2" t="s">
        <v>537</v>
      </c>
      <c r="B217" s="2" t="s">
        <v>538</v>
      </c>
      <c r="C217" s="2" t="s">
        <v>20</v>
      </c>
      <c r="D217" s="2">
        <v>3760</v>
      </c>
      <c r="E217" s="2">
        <v>4151</v>
      </c>
      <c r="F217" s="2">
        <v>4221</v>
      </c>
      <c r="G217" s="2">
        <v>3939</v>
      </c>
      <c r="H217" s="2">
        <v>3943</v>
      </c>
      <c r="I217" s="2">
        <v>3996</v>
      </c>
      <c r="J217" s="2">
        <v>3789</v>
      </c>
      <c r="K217" s="2">
        <v>4197</v>
      </c>
      <c r="L217" s="2">
        <v>3730</v>
      </c>
      <c r="M217" s="2">
        <v>4091</v>
      </c>
      <c r="N217" s="2">
        <v>3772</v>
      </c>
      <c r="O217" s="2">
        <v>4024</v>
      </c>
      <c r="P217" s="2">
        <v>47613</v>
      </c>
      <c r="Q217" s="2">
        <v>10</v>
      </c>
      <c r="R217" s="2">
        <v>476130</v>
      </c>
      <c r="S217" s="4">
        <f>SUM($R$2:R217) / SUM($R:$R)</f>
        <v>0.93372141940611286</v>
      </c>
      <c r="T217" s="3" t="str">
        <f t="shared" si="18"/>
        <v>C</v>
      </c>
      <c r="U217" s="2">
        <f t="shared" si="19"/>
        <v>3967.75</v>
      </c>
      <c r="V217" s="2">
        <f t="shared" si="20"/>
        <v>176.0212409703081</v>
      </c>
      <c r="W217" s="2">
        <f t="shared" si="21"/>
        <v>4.4362986823844271E-2</v>
      </c>
      <c r="X217" s="2" t="str">
        <f t="shared" si="22"/>
        <v>X</v>
      </c>
      <c r="Y217" s="2" t="str">
        <f t="shared" si="23"/>
        <v>CX</v>
      </c>
    </row>
    <row r="218" spans="1:25" x14ac:dyDescent="0.3">
      <c r="A218" s="2" t="s">
        <v>1789</v>
      </c>
      <c r="B218" s="2" t="s">
        <v>1790</v>
      </c>
      <c r="C218" s="2" t="s">
        <v>20</v>
      </c>
      <c r="D218" s="2">
        <v>3667</v>
      </c>
      <c r="E218" s="2">
        <v>4044</v>
      </c>
      <c r="F218" s="2">
        <v>3934</v>
      </c>
      <c r="G218" s="2">
        <v>3941</v>
      </c>
      <c r="H218" s="2">
        <v>4132</v>
      </c>
      <c r="I218" s="2">
        <v>3686</v>
      </c>
      <c r="J218" s="2">
        <v>4009</v>
      </c>
      <c r="K218" s="2">
        <v>4066</v>
      </c>
      <c r="L218" s="2">
        <v>4036</v>
      </c>
      <c r="M218" s="2">
        <v>3857</v>
      </c>
      <c r="N218" s="2">
        <v>4110</v>
      </c>
      <c r="O218" s="2">
        <v>4085</v>
      </c>
      <c r="P218" s="2">
        <v>47567</v>
      </c>
      <c r="Q218" s="2">
        <v>10</v>
      </c>
      <c r="R218" s="2">
        <v>475670</v>
      </c>
      <c r="S218" s="4">
        <f>SUM($R$2:R218) / SUM($R:$R)</f>
        <v>0.93416502228552611</v>
      </c>
      <c r="T218" s="3" t="str">
        <f t="shared" si="18"/>
        <v>C</v>
      </c>
      <c r="U218" s="2">
        <f t="shared" si="19"/>
        <v>3963.9166666666665</v>
      </c>
      <c r="V218" s="2">
        <f t="shared" si="20"/>
        <v>155.67008139788533</v>
      </c>
      <c r="W218" s="2">
        <f t="shared" si="21"/>
        <v>3.9271784572805182E-2</v>
      </c>
      <c r="X218" s="2" t="str">
        <f t="shared" si="22"/>
        <v>X</v>
      </c>
      <c r="Y218" s="2" t="str">
        <f t="shared" si="23"/>
        <v>CX</v>
      </c>
    </row>
    <row r="219" spans="1:25" x14ac:dyDescent="0.3">
      <c r="A219" s="2" t="s">
        <v>1307</v>
      </c>
      <c r="B219" s="2" t="s">
        <v>1308</v>
      </c>
      <c r="C219" s="2" t="s">
        <v>20</v>
      </c>
      <c r="D219" s="2">
        <v>3875</v>
      </c>
      <c r="E219" s="2">
        <v>3838</v>
      </c>
      <c r="F219" s="2">
        <v>4437</v>
      </c>
      <c r="G219" s="2">
        <v>4156</v>
      </c>
      <c r="H219" s="2">
        <v>4073</v>
      </c>
      <c r="I219" s="2">
        <v>4115</v>
      </c>
      <c r="J219" s="2">
        <v>3541</v>
      </c>
      <c r="K219" s="2">
        <v>3837</v>
      </c>
      <c r="L219" s="2">
        <v>3963</v>
      </c>
      <c r="M219" s="2">
        <v>4041</v>
      </c>
      <c r="N219" s="2">
        <v>3871</v>
      </c>
      <c r="O219" s="2">
        <v>3670</v>
      </c>
      <c r="P219" s="2">
        <v>47417</v>
      </c>
      <c r="Q219" s="2">
        <v>10</v>
      </c>
      <c r="R219" s="2">
        <v>474170</v>
      </c>
      <c r="S219" s="4">
        <f>SUM($R$2:R219) / SUM($R:$R)</f>
        <v>0.93460722628689552</v>
      </c>
      <c r="T219" s="3" t="str">
        <f t="shared" si="18"/>
        <v>C</v>
      </c>
      <c r="U219" s="2">
        <f t="shared" si="19"/>
        <v>3951.4166666666665</v>
      </c>
      <c r="V219" s="2">
        <f t="shared" si="20"/>
        <v>236.1134004642428</v>
      </c>
      <c r="W219" s="2">
        <f t="shared" si="21"/>
        <v>5.9754113621083446E-2</v>
      </c>
      <c r="X219" s="2" t="str">
        <f t="shared" si="22"/>
        <v>X</v>
      </c>
      <c r="Y219" s="2" t="str">
        <f t="shared" si="23"/>
        <v>CX</v>
      </c>
    </row>
    <row r="220" spans="1:25" x14ac:dyDescent="0.3">
      <c r="A220" s="2" t="s">
        <v>975</v>
      </c>
      <c r="B220" s="2" t="s">
        <v>976</v>
      </c>
      <c r="C220" s="2" t="s">
        <v>20</v>
      </c>
      <c r="D220" s="2">
        <v>3945</v>
      </c>
      <c r="E220" s="2">
        <v>4096</v>
      </c>
      <c r="F220" s="2">
        <v>3731</v>
      </c>
      <c r="G220" s="2">
        <v>3842</v>
      </c>
      <c r="H220" s="2">
        <v>3891</v>
      </c>
      <c r="I220" s="2">
        <v>3979</v>
      </c>
      <c r="J220" s="2">
        <v>3926</v>
      </c>
      <c r="K220" s="2">
        <v>3687</v>
      </c>
      <c r="L220" s="2">
        <v>4097</v>
      </c>
      <c r="M220" s="2">
        <v>4062</v>
      </c>
      <c r="N220" s="2">
        <v>3918</v>
      </c>
      <c r="O220" s="2">
        <v>4227</v>
      </c>
      <c r="P220" s="2">
        <v>47401</v>
      </c>
      <c r="Q220" s="2">
        <v>10</v>
      </c>
      <c r="R220" s="2">
        <v>474010</v>
      </c>
      <c r="S220" s="4">
        <f>SUM($R$2:R220) / SUM($R:$R)</f>
        <v>0.93504928107460694</v>
      </c>
      <c r="T220" s="3" t="str">
        <f t="shared" si="18"/>
        <v>C</v>
      </c>
      <c r="U220" s="2">
        <f t="shared" si="19"/>
        <v>3950.0833333333335</v>
      </c>
      <c r="V220" s="2">
        <f t="shared" si="20"/>
        <v>155.77924843323723</v>
      </c>
      <c r="W220" s="2">
        <f t="shared" si="21"/>
        <v>3.943695241026237E-2</v>
      </c>
      <c r="X220" s="2" t="str">
        <f t="shared" si="22"/>
        <v>X</v>
      </c>
      <c r="Y220" s="2" t="str">
        <f t="shared" si="23"/>
        <v>CX</v>
      </c>
    </row>
    <row r="221" spans="1:25" x14ac:dyDescent="0.3">
      <c r="A221" s="2" t="s">
        <v>179</v>
      </c>
      <c r="B221" s="2" t="s">
        <v>180</v>
      </c>
      <c r="C221" s="2" t="s">
        <v>25</v>
      </c>
      <c r="D221" s="2">
        <v>1109</v>
      </c>
      <c r="E221" s="2">
        <v>805</v>
      </c>
      <c r="F221" s="2">
        <v>869</v>
      </c>
      <c r="G221" s="2">
        <v>619</v>
      </c>
      <c r="H221" s="2">
        <v>676</v>
      </c>
      <c r="I221" s="2">
        <v>724</v>
      </c>
      <c r="J221" s="2">
        <v>822</v>
      </c>
      <c r="K221" s="2">
        <v>604</v>
      </c>
      <c r="L221" s="2">
        <v>974</v>
      </c>
      <c r="M221" s="2">
        <v>756</v>
      </c>
      <c r="N221" s="2">
        <v>689</v>
      </c>
      <c r="O221" s="2">
        <v>784</v>
      </c>
      <c r="P221" s="2">
        <v>9431</v>
      </c>
      <c r="Q221" s="2">
        <v>50</v>
      </c>
      <c r="R221" s="2">
        <v>471550</v>
      </c>
      <c r="S221" s="4">
        <f>SUM($R$2:R221) / SUM($R:$R)</f>
        <v>0.93548904170232638</v>
      </c>
      <c r="T221" s="3" t="str">
        <f t="shared" si="18"/>
        <v>C</v>
      </c>
      <c r="U221" s="2">
        <f t="shared" si="19"/>
        <v>785.91666666666663</v>
      </c>
      <c r="V221" s="2">
        <f t="shared" si="20"/>
        <v>146.31501403934377</v>
      </c>
      <c r="W221" s="2">
        <f t="shared" si="21"/>
        <v>0.18617115560090397</v>
      </c>
      <c r="X221" s="2" t="str">
        <f t="shared" si="22"/>
        <v>X</v>
      </c>
      <c r="Y221" s="2" t="str">
        <f t="shared" si="23"/>
        <v>CX</v>
      </c>
    </row>
    <row r="222" spans="1:25" x14ac:dyDescent="0.3">
      <c r="A222" s="2" t="s">
        <v>109</v>
      </c>
      <c r="B222" s="2" t="s">
        <v>110</v>
      </c>
      <c r="C222" s="2" t="s">
        <v>20</v>
      </c>
      <c r="D222" s="2">
        <v>3805</v>
      </c>
      <c r="E222" s="2">
        <v>4042</v>
      </c>
      <c r="F222" s="2">
        <v>3563</v>
      </c>
      <c r="G222" s="2">
        <v>3915</v>
      </c>
      <c r="H222" s="2">
        <v>3966</v>
      </c>
      <c r="I222" s="2">
        <v>4032</v>
      </c>
      <c r="J222" s="2">
        <v>3937</v>
      </c>
      <c r="K222" s="2">
        <v>4058</v>
      </c>
      <c r="L222" s="2">
        <v>4350</v>
      </c>
      <c r="M222" s="2">
        <v>3882</v>
      </c>
      <c r="N222" s="2">
        <v>3893</v>
      </c>
      <c r="O222" s="2">
        <v>3639</v>
      </c>
      <c r="P222" s="2">
        <v>47082</v>
      </c>
      <c r="Q222" s="2">
        <v>10</v>
      </c>
      <c r="R222" s="2">
        <v>470820</v>
      </c>
      <c r="S222" s="4">
        <f>SUM($R$2:R222) / SUM($R:$R)</f>
        <v>0.9359281215427312</v>
      </c>
      <c r="T222" s="3" t="str">
        <f t="shared" si="18"/>
        <v>C</v>
      </c>
      <c r="U222" s="2">
        <f t="shared" si="19"/>
        <v>3923.5</v>
      </c>
      <c r="V222" s="2">
        <f t="shared" si="20"/>
        <v>203.48397301194822</v>
      </c>
      <c r="W222" s="2">
        <f t="shared" si="21"/>
        <v>5.1862870654249577E-2</v>
      </c>
      <c r="X222" s="2" t="str">
        <f t="shared" si="22"/>
        <v>X</v>
      </c>
      <c r="Y222" s="2" t="str">
        <f t="shared" si="23"/>
        <v>CX</v>
      </c>
    </row>
    <row r="223" spans="1:25" x14ac:dyDescent="0.3">
      <c r="A223" s="2" t="s">
        <v>1283</v>
      </c>
      <c r="B223" s="2" t="s">
        <v>1284</v>
      </c>
      <c r="C223" s="2" t="s">
        <v>20</v>
      </c>
      <c r="D223" s="2">
        <v>3732</v>
      </c>
      <c r="E223" s="2">
        <v>3953</v>
      </c>
      <c r="F223" s="2">
        <v>3808</v>
      </c>
      <c r="G223" s="2">
        <v>3911</v>
      </c>
      <c r="H223" s="2">
        <v>3837</v>
      </c>
      <c r="I223" s="2">
        <v>4240</v>
      </c>
      <c r="J223" s="2">
        <v>4215</v>
      </c>
      <c r="K223" s="2">
        <v>3720</v>
      </c>
      <c r="L223" s="2">
        <v>3950</v>
      </c>
      <c r="M223" s="2">
        <v>3872</v>
      </c>
      <c r="N223" s="2">
        <v>3920</v>
      </c>
      <c r="O223" s="2">
        <v>3786</v>
      </c>
      <c r="P223" s="2">
        <v>46944</v>
      </c>
      <c r="Q223" s="2">
        <v>10</v>
      </c>
      <c r="R223" s="2">
        <v>469440</v>
      </c>
      <c r="S223" s="4">
        <f>SUM($R$2:R223) / SUM($R:$R)</f>
        <v>0.93636591441533568</v>
      </c>
      <c r="T223" s="3" t="str">
        <f t="shared" si="18"/>
        <v>C</v>
      </c>
      <c r="U223" s="2">
        <f t="shared" si="19"/>
        <v>3912</v>
      </c>
      <c r="V223" s="2">
        <f t="shared" si="20"/>
        <v>166.72350545957002</v>
      </c>
      <c r="W223" s="2">
        <f t="shared" si="21"/>
        <v>4.2618482990687635E-2</v>
      </c>
      <c r="X223" s="2" t="str">
        <f t="shared" si="22"/>
        <v>X</v>
      </c>
      <c r="Y223" s="2" t="str">
        <f t="shared" si="23"/>
        <v>CX</v>
      </c>
    </row>
    <row r="224" spans="1:25" x14ac:dyDescent="0.3">
      <c r="A224" s="2" t="s">
        <v>1025</v>
      </c>
      <c r="B224" s="2" t="s">
        <v>1026</v>
      </c>
      <c r="C224" s="2" t="s">
        <v>20</v>
      </c>
      <c r="D224" s="2">
        <v>3922</v>
      </c>
      <c r="E224" s="2">
        <v>3937</v>
      </c>
      <c r="F224" s="2">
        <v>3687</v>
      </c>
      <c r="G224" s="2">
        <v>3677</v>
      </c>
      <c r="H224" s="2">
        <v>4007</v>
      </c>
      <c r="I224" s="2">
        <v>3731</v>
      </c>
      <c r="J224" s="2">
        <v>3565</v>
      </c>
      <c r="K224" s="2">
        <v>4217</v>
      </c>
      <c r="L224" s="2">
        <v>3814</v>
      </c>
      <c r="M224" s="2">
        <v>4236</v>
      </c>
      <c r="N224" s="2">
        <v>3975</v>
      </c>
      <c r="O224" s="2">
        <v>3916</v>
      </c>
      <c r="P224" s="2">
        <v>46684</v>
      </c>
      <c r="Q224" s="2">
        <v>10</v>
      </c>
      <c r="R224" s="2">
        <v>466840</v>
      </c>
      <c r="S224" s="4">
        <f>SUM($R$2:R224) / SUM($R:$R)</f>
        <v>0.93680128256599748</v>
      </c>
      <c r="T224" s="3" t="str">
        <f t="shared" si="18"/>
        <v>C</v>
      </c>
      <c r="U224" s="2">
        <f t="shared" si="19"/>
        <v>3890.3333333333335</v>
      </c>
      <c r="V224" s="2">
        <f t="shared" si="20"/>
        <v>207.74255629737902</v>
      </c>
      <c r="W224" s="2">
        <f t="shared" si="21"/>
        <v>5.3399680309496794E-2</v>
      </c>
      <c r="X224" s="2" t="str">
        <f t="shared" si="22"/>
        <v>X</v>
      </c>
      <c r="Y224" s="2" t="str">
        <f t="shared" si="23"/>
        <v>CX</v>
      </c>
    </row>
    <row r="225" spans="1:25" x14ac:dyDescent="0.3">
      <c r="A225" s="2" t="s">
        <v>1377</v>
      </c>
      <c r="B225" s="2" t="s">
        <v>1378</v>
      </c>
      <c r="C225" s="2" t="s">
        <v>20</v>
      </c>
      <c r="D225" s="2">
        <v>3743</v>
      </c>
      <c r="E225" s="2">
        <v>4072</v>
      </c>
      <c r="F225" s="2">
        <v>4050</v>
      </c>
      <c r="G225" s="2">
        <v>3644</v>
      </c>
      <c r="H225" s="2">
        <v>4049</v>
      </c>
      <c r="I225" s="2">
        <v>3562</v>
      </c>
      <c r="J225" s="2">
        <v>4092</v>
      </c>
      <c r="K225" s="2">
        <v>3442</v>
      </c>
      <c r="L225" s="2">
        <v>4094</v>
      </c>
      <c r="M225" s="2">
        <v>4033</v>
      </c>
      <c r="N225" s="2">
        <v>3930</v>
      </c>
      <c r="O225" s="2">
        <v>3815</v>
      </c>
      <c r="P225" s="2">
        <v>46526</v>
      </c>
      <c r="Q225" s="2">
        <v>10</v>
      </c>
      <c r="R225" s="2">
        <v>465260</v>
      </c>
      <c r="S225" s="4">
        <f>SUM($R$2:R225) / SUM($R:$R)</f>
        <v>0.9372351772317864</v>
      </c>
      <c r="T225" s="3" t="str">
        <f t="shared" si="18"/>
        <v>C</v>
      </c>
      <c r="U225" s="2">
        <f t="shared" si="19"/>
        <v>3877.1666666666665</v>
      </c>
      <c r="V225" s="2">
        <f t="shared" si="20"/>
        <v>230.12559153381414</v>
      </c>
      <c r="W225" s="2">
        <f t="shared" si="21"/>
        <v>5.9354062210501005E-2</v>
      </c>
      <c r="X225" s="2" t="str">
        <f t="shared" si="22"/>
        <v>X</v>
      </c>
      <c r="Y225" s="2" t="str">
        <f t="shared" si="23"/>
        <v>CX</v>
      </c>
    </row>
    <row r="226" spans="1:25" x14ac:dyDescent="0.3">
      <c r="A226" s="2" t="s">
        <v>769</v>
      </c>
      <c r="B226" s="2" t="s">
        <v>770</v>
      </c>
      <c r="C226" s="2" t="s">
        <v>20</v>
      </c>
      <c r="D226" s="2">
        <v>3532</v>
      </c>
      <c r="E226" s="2">
        <v>4116</v>
      </c>
      <c r="F226" s="2">
        <v>4253</v>
      </c>
      <c r="G226" s="2">
        <v>3847</v>
      </c>
      <c r="H226" s="2">
        <v>3812</v>
      </c>
      <c r="I226" s="2">
        <v>3542</v>
      </c>
      <c r="J226" s="2">
        <v>4242</v>
      </c>
      <c r="K226" s="2">
        <v>3604</v>
      </c>
      <c r="L226" s="2">
        <v>4038</v>
      </c>
      <c r="M226" s="2">
        <v>3883</v>
      </c>
      <c r="N226" s="2">
        <v>3845</v>
      </c>
      <c r="O226" s="2">
        <v>3779</v>
      </c>
      <c r="P226" s="2">
        <v>46493</v>
      </c>
      <c r="Q226" s="2">
        <v>10</v>
      </c>
      <c r="R226" s="2">
        <v>464930</v>
      </c>
      <c r="S226" s="4">
        <f>SUM($R$2:R226) / SUM($R:$R)</f>
        <v>0.93766876414440559</v>
      </c>
      <c r="T226" s="3" t="str">
        <f t="shared" si="18"/>
        <v>C</v>
      </c>
      <c r="U226" s="2">
        <f t="shared" si="19"/>
        <v>3874.4166666666665</v>
      </c>
      <c r="V226" s="2">
        <f t="shared" si="20"/>
        <v>248.47368923575036</v>
      </c>
      <c r="W226" s="2">
        <f t="shared" si="21"/>
        <v>6.4131896647430894E-2</v>
      </c>
      <c r="X226" s="2" t="str">
        <f t="shared" si="22"/>
        <v>X</v>
      </c>
      <c r="Y226" s="2" t="str">
        <f t="shared" si="23"/>
        <v>CX</v>
      </c>
    </row>
    <row r="227" spans="1:25" x14ac:dyDescent="0.3">
      <c r="A227" s="2" t="s">
        <v>1551</v>
      </c>
      <c r="B227" s="2" t="s">
        <v>1552</v>
      </c>
      <c r="C227" s="2" t="s">
        <v>20</v>
      </c>
      <c r="D227" s="2">
        <v>3827</v>
      </c>
      <c r="E227" s="2">
        <v>3599</v>
      </c>
      <c r="F227" s="2">
        <v>3825</v>
      </c>
      <c r="G227" s="2">
        <v>3967</v>
      </c>
      <c r="H227" s="2">
        <v>3826</v>
      </c>
      <c r="I227" s="2">
        <v>3783</v>
      </c>
      <c r="J227" s="2">
        <v>3767</v>
      </c>
      <c r="K227" s="2">
        <v>3634</v>
      </c>
      <c r="L227" s="2">
        <v>3819</v>
      </c>
      <c r="M227" s="2">
        <v>3861</v>
      </c>
      <c r="N227" s="2">
        <v>4039</v>
      </c>
      <c r="O227" s="2">
        <v>4059</v>
      </c>
      <c r="P227" s="2">
        <v>46006</v>
      </c>
      <c r="Q227" s="2">
        <v>10</v>
      </c>
      <c r="R227" s="2">
        <v>460060</v>
      </c>
      <c r="S227" s="4">
        <f>SUM($R$2:R227) / SUM($R:$R)</f>
        <v>0.93809780936630915</v>
      </c>
      <c r="T227" s="3" t="str">
        <f t="shared" si="18"/>
        <v>C</v>
      </c>
      <c r="U227" s="2">
        <f t="shared" si="19"/>
        <v>3833.8333333333335</v>
      </c>
      <c r="V227" s="2">
        <f t="shared" si="20"/>
        <v>139.41490290322321</v>
      </c>
      <c r="W227" s="2">
        <f t="shared" si="21"/>
        <v>3.6364361927545941E-2</v>
      </c>
      <c r="X227" s="2" t="str">
        <f t="shared" si="22"/>
        <v>X</v>
      </c>
      <c r="Y227" s="2" t="str">
        <f t="shared" si="23"/>
        <v>CX</v>
      </c>
    </row>
    <row r="228" spans="1:25" x14ac:dyDescent="0.3">
      <c r="A228" s="2" t="s">
        <v>1919</v>
      </c>
      <c r="B228" s="2" t="s">
        <v>1920</v>
      </c>
      <c r="C228" s="2" t="s">
        <v>20</v>
      </c>
      <c r="D228" s="2">
        <v>3815</v>
      </c>
      <c r="E228" s="2">
        <v>3854</v>
      </c>
      <c r="F228" s="2">
        <v>3985</v>
      </c>
      <c r="G228" s="2">
        <v>3506</v>
      </c>
      <c r="H228" s="2">
        <v>3777</v>
      </c>
      <c r="I228" s="2">
        <v>3916</v>
      </c>
      <c r="J228" s="2">
        <v>3629</v>
      </c>
      <c r="K228" s="2">
        <v>3655</v>
      </c>
      <c r="L228" s="2">
        <v>4039</v>
      </c>
      <c r="M228" s="2">
        <v>3416</v>
      </c>
      <c r="N228" s="2">
        <v>3658</v>
      </c>
      <c r="O228" s="2">
        <v>3895</v>
      </c>
      <c r="P228" s="2">
        <v>45145</v>
      </c>
      <c r="Q228" s="2">
        <v>10</v>
      </c>
      <c r="R228" s="2">
        <v>451450</v>
      </c>
      <c r="S228" s="4">
        <f>SUM($R$2:R228) / SUM($R:$R)</f>
        <v>0.93851882502824102</v>
      </c>
      <c r="T228" s="3" t="str">
        <f t="shared" si="18"/>
        <v>C</v>
      </c>
      <c r="U228" s="2">
        <f t="shared" si="19"/>
        <v>3762.0833333333335</v>
      </c>
      <c r="V228" s="2">
        <f t="shared" si="20"/>
        <v>191.77802430429981</v>
      </c>
      <c r="W228" s="2">
        <f t="shared" si="21"/>
        <v>5.0976548713071161E-2</v>
      </c>
      <c r="X228" s="2" t="str">
        <f t="shared" si="22"/>
        <v>X</v>
      </c>
      <c r="Y228" s="2" t="str">
        <f t="shared" si="23"/>
        <v>CX</v>
      </c>
    </row>
    <row r="229" spans="1:25" x14ac:dyDescent="0.3">
      <c r="A229" s="2" t="s">
        <v>939</v>
      </c>
      <c r="B229" s="2" t="s">
        <v>940</v>
      </c>
      <c r="C229" s="2" t="s">
        <v>25</v>
      </c>
      <c r="D229" s="2">
        <v>797</v>
      </c>
      <c r="E229" s="2">
        <v>709</v>
      </c>
      <c r="F229" s="2">
        <v>671</v>
      </c>
      <c r="G229" s="2">
        <v>591</v>
      </c>
      <c r="H229" s="2">
        <v>637</v>
      </c>
      <c r="I229" s="2">
        <v>1120</v>
      </c>
      <c r="J229" s="2">
        <v>719</v>
      </c>
      <c r="K229" s="2">
        <v>540</v>
      </c>
      <c r="L229" s="2">
        <v>799</v>
      </c>
      <c r="M229" s="2">
        <v>869</v>
      </c>
      <c r="N229" s="2">
        <v>862</v>
      </c>
      <c r="O229" s="2">
        <v>701</v>
      </c>
      <c r="P229" s="2">
        <v>9015</v>
      </c>
      <c r="Q229" s="2">
        <v>50</v>
      </c>
      <c r="R229" s="2">
        <v>450750</v>
      </c>
      <c r="S229" s="4">
        <f>SUM($R$2:R229) / SUM($R:$R)</f>
        <v>0.93893918788041908</v>
      </c>
      <c r="T229" s="3" t="str">
        <f t="shared" si="18"/>
        <v>C</v>
      </c>
      <c r="U229" s="2">
        <f t="shared" si="19"/>
        <v>751.25</v>
      </c>
      <c r="V229" s="2">
        <f t="shared" si="20"/>
        <v>154.22246328540527</v>
      </c>
      <c r="W229" s="2">
        <f t="shared" si="21"/>
        <v>0.20528780470603031</v>
      </c>
      <c r="X229" s="2" t="str">
        <f t="shared" si="22"/>
        <v>Y</v>
      </c>
      <c r="Y229" s="2" t="str">
        <f t="shared" si="23"/>
        <v>CY</v>
      </c>
    </row>
    <row r="230" spans="1:25" x14ac:dyDescent="0.3">
      <c r="A230" s="2" t="s">
        <v>1311</v>
      </c>
      <c r="B230" s="2" t="s">
        <v>1312</v>
      </c>
      <c r="C230" s="2" t="s">
        <v>25</v>
      </c>
      <c r="D230" s="2">
        <v>811</v>
      </c>
      <c r="E230" s="2">
        <v>1096</v>
      </c>
      <c r="F230" s="2">
        <v>516</v>
      </c>
      <c r="G230" s="2">
        <v>726</v>
      </c>
      <c r="H230" s="2">
        <v>577</v>
      </c>
      <c r="I230" s="2">
        <v>582</v>
      </c>
      <c r="J230" s="2">
        <v>1057</v>
      </c>
      <c r="K230" s="2">
        <v>698</v>
      </c>
      <c r="L230" s="2">
        <v>905</v>
      </c>
      <c r="M230" s="2">
        <v>839</v>
      </c>
      <c r="N230" s="2">
        <v>543</v>
      </c>
      <c r="O230" s="2">
        <v>650</v>
      </c>
      <c r="P230" s="2">
        <v>9000</v>
      </c>
      <c r="Q230" s="2">
        <v>50</v>
      </c>
      <c r="R230" s="2">
        <v>450000</v>
      </c>
      <c r="S230" s="4">
        <f>SUM($R$2:R230) / SUM($R:$R)</f>
        <v>0.93935885129357521</v>
      </c>
      <c r="T230" s="3" t="str">
        <f t="shared" si="18"/>
        <v>C</v>
      </c>
      <c r="U230" s="2">
        <f t="shared" si="19"/>
        <v>750</v>
      </c>
      <c r="V230" s="2">
        <f t="shared" si="20"/>
        <v>195.09205286456208</v>
      </c>
      <c r="W230" s="2">
        <f t="shared" si="21"/>
        <v>0.26012273715274942</v>
      </c>
      <c r="X230" s="2" t="str">
        <f t="shared" si="22"/>
        <v>Y</v>
      </c>
      <c r="Y230" s="2" t="str">
        <f t="shared" si="23"/>
        <v>CY</v>
      </c>
    </row>
    <row r="231" spans="1:25" x14ac:dyDescent="0.3">
      <c r="A231" s="2" t="s">
        <v>1309</v>
      </c>
      <c r="B231" s="2" t="s">
        <v>1310</v>
      </c>
      <c r="C231" s="2" t="s">
        <v>20</v>
      </c>
      <c r="D231" s="2">
        <v>3975</v>
      </c>
      <c r="E231" s="2">
        <v>3428</v>
      </c>
      <c r="F231" s="2">
        <v>3486</v>
      </c>
      <c r="G231" s="2">
        <v>3808</v>
      </c>
      <c r="H231" s="2">
        <v>3603</v>
      </c>
      <c r="I231" s="2">
        <v>3720</v>
      </c>
      <c r="J231" s="2">
        <v>3643</v>
      </c>
      <c r="K231" s="2">
        <v>3639</v>
      </c>
      <c r="L231" s="2">
        <v>3776</v>
      </c>
      <c r="M231" s="2">
        <v>3396</v>
      </c>
      <c r="N231" s="2">
        <v>3676</v>
      </c>
      <c r="O231" s="2">
        <v>3673</v>
      </c>
      <c r="P231" s="2">
        <v>43823</v>
      </c>
      <c r="Q231" s="2">
        <v>10</v>
      </c>
      <c r="R231" s="2">
        <v>438230</v>
      </c>
      <c r="S231" s="4">
        <f>SUM($R$2:R231) / SUM($R:$R)</f>
        <v>0.93976753817701386</v>
      </c>
      <c r="T231" s="3" t="str">
        <f t="shared" si="18"/>
        <v>C</v>
      </c>
      <c r="U231" s="2">
        <f t="shared" si="19"/>
        <v>3651.9166666666665</v>
      </c>
      <c r="V231" s="2">
        <f t="shared" si="20"/>
        <v>163.92928538263263</v>
      </c>
      <c r="W231" s="2">
        <f t="shared" si="21"/>
        <v>4.4888561362562848E-2</v>
      </c>
      <c r="X231" s="2" t="str">
        <f t="shared" si="22"/>
        <v>X</v>
      </c>
      <c r="Y231" s="2" t="str">
        <f t="shared" si="23"/>
        <v>CX</v>
      </c>
    </row>
    <row r="232" spans="1:25" x14ac:dyDescent="0.3">
      <c r="A232" s="2" t="s">
        <v>1385</v>
      </c>
      <c r="B232" s="2" t="s">
        <v>1386</v>
      </c>
      <c r="C232" s="2" t="s">
        <v>41</v>
      </c>
      <c r="D232" s="2">
        <v>352</v>
      </c>
      <c r="E232" s="2">
        <v>368</v>
      </c>
      <c r="F232" s="2">
        <v>377</v>
      </c>
      <c r="G232" s="2">
        <v>362</v>
      </c>
      <c r="H232" s="2">
        <v>352</v>
      </c>
      <c r="I232" s="2">
        <v>380</v>
      </c>
      <c r="J232" s="2">
        <v>370</v>
      </c>
      <c r="K232" s="2">
        <v>367</v>
      </c>
      <c r="L232" s="2">
        <v>371</v>
      </c>
      <c r="M232" s="2">
        <v>344</v>
      </c>
      <c r="N232" s="2">
        <v>314</v>
      </c>
      <c r="O232" s="2">
        <v>393</v>
      </c>
      <c r="P232" s="2">
        <v>4350</v>
      </c>
      <c r="Q232" s="2">
        <v>100</v>
      </c>
      <c r="R232" s="2">
        <v>435000</v>
      </c>
      <c r="S232" s="4">
        <f>SUM($R$2:R232) / SUM($R:$R)</f>
        <v>0.94017321280973143</v>
      </c>
      <c r="T232" s="3" t="str">
        <f t="shared" si="18"/>
        <v>C</v>
      </c>
      <c r="U232" s="2">
        <f t="shared" si="19"/>
        <v>362.5</v>
      </c>
      <c r="V232" s="2">
        <f t="shared" si="20"/>
        <v>20.317927596538528</v>
      </c>
      <c r="W232" s="2">
        <f t="shared" si="21"/>
        <v>5.6049455438726976E-2</v>
      </c>
      <c r="X232" s="2" t="str">
        <f t="shared" si="22"/>
        <v>X</v>
      </c>
      <c r="Y232" s="2" t="str">
        <f t="shared" si="23"/>
        <v>CX</v>
      </c>
    </row>
    <row r="233" spans="1:25" x14ac:dyDescent="0.3">
      <c r="A233" s="2" t="s">
        <v>1393</v>
      </c>
      <c r="B233" s="2" t="s">
        <v>1394</v>
      </c>
      <c r="C233" s="2" t="s">
        <v>20</v>
      </c>
      <c r="D233" s="2">
        <v>3905</v>
      </c>
      <c r="E233" s="2">
        <v>3546</v>
      </c>
      <c r="F233" s="2">
        <v>3933</v>
      </c>
      <c r="G233" s="2">
        <v>3812</v>
      </c>
      <c r="H233" s="2">
        <v>3313</v>
      </c>
      <c r="I233" s="2">
        <v>3374</v>
      </c>
      <c r="J233" s="2">
        <v>3467</v>
      </c>
      <c r="K233" s="2">
        <v>3827</v>
      </c>
      <c r="L233" s="2">
        <v>3184</v>
      </c>
      <c r="M233" s="2">
        <v>3616</v>
      </c>
      <c r="N233" s="2">
        <v>3688</v>
      </c>
      <c r="O233" s="2">
        <v>3640</v>
      </c>
      <c r="P233" s="2">
        <v>43305</v>
      </c>
      <c r="Q233" s="2">
        <v>10</v>
      </c>
      <c r="R233" s="2">
        <v>433050</v>
      </c>
      <c r="S233" s="4">
        <f>SUM($R$2:R233) / SUM($R:$R)</f>
        <v>0.94057706890099202</v>
      </c>
      <c r="T233" s="3" t="str">
        <f t="shared" si="18"/>
        <v>C</v>
      </c>
      <c r="U233" s="2">
        <f t="shared" si="19"/>
        <v>3608.75</v>
      </c>
      <c r="V233" s="2">
        <f t="shared" si="20"/>
        <v>240.48705313856863</v>
      </c>
      <c r="W233" s="2">
        <f t="shared" si="21"/>
        <v>6.663998701449772E-2</v>
      </c>
      <c r="X233" s="2" t="str">
        <f t="shared" si="22"/>
        <v>X</v>
      </c>
      <c r="Y233" s="2" t="str">
        <f t="shared" si="23"/>
        <v>CX</v>
      </c>
    </row>
    <row r="234" spans="1:25" x14ac:dyDescent="0.3">
      <c r="A234" s="2" t="s">
        <v>735</v>
      </c>
      <c r="B234" s="2" t="s">
        <v>736</v>
      </c>
      <c r="C234" s="2" t="s">
        <v>20</v>
      </c>
      <c r="D234" s="2">
        <v>3449</v>
      </c>
      <c r="E234" s="2">
        <v>3816</v>
      </c>
      <c r="F234" s="2">
        <v>3635</v>
      </c>
      <c r="G234" s="2">
        <v>3629</v>
      </c>
      <c r="H234" s="2">
        <v>3352</v>
      </c>
      <c r="I234" s="2">
        <v>3656</v>
      </c>
      <c r="J234" s="2">
        <v>3615</v>
      </c>
      <c r="K234" s="2">
        <v>3323</v>
      </c>
      <c r="L234" s="2">
        <v>3354</v>
      </c>
      <c r="M234" s="2">
        <v>3765</v>
      </c>
      <c r="N234" s="2">
        <v>3498</v>
      </c>
      <c r="O234" s="2">
        <v>3602</v>
      </c>
      <c r="P234" s="2">
        <v>42694</v>
      </c>
      <c r="Q234" s="2">
        <v>10</v>
      </c>
      <c r="R234" s="2">
        <v>426940</v>
      </c>
      <c r="S234" s="4">
        <f>SUM($R$2:R234) / SUM($R:$R)</f>
        <v>0.94097522689568724</v>
      </c>
      <c r="T234" s="3" t="str">
        <f t="shared" si="18"/>
        <v>C</v>
      </c>
      <c r="U234" s="2">
        <f t="shared" si="19"/>
        <v>3557.8333333333335</v>
      </c>
      <c r="V234" s="2">
        <f t="shared" si="20"/>
        <v>162.34913742993041</v>
      </c>
      <c r="W234" s="2">
        <f t="shared" si="21"/>
        <v>4.5631462246666157E-2</v>
      </c>
      <c r="X234" s="2" t="str">
        <f t="shared" si="22"/>
        <v>X</v>
      </c>
      <c r="Y234" s="2" t="str">
        <f t="shared" si="23"/>
        <v>CX</v>
      </c>
    </row>
    <row r="235" spans="1:25" x14ac:dyDescent="0.3">
      <c r="A235" s="2" t="s">
        <v>893</v>
      </c>
      <c r="B235" s="2" t="s">
        <v>894</v>
      </c>
      <c r="C235" s="2" t="s">
        <v>25</v>
      </c>
      <c r="D235" s="2">
        <v>951</v>
      </c>
      <c r="E235" s="2">
        <v>395</v>
      </c>
      <c r="F235" s="2">
        <v>918</v>
      </c>
      <c r="G235" s="2">
        <v>711</v>
      </c>
      <c r="H235" s="2">
        <v>561</v>
      </c>
      <c r="I235" s="2">
        <v>763</v>
      </c>
      <c r="J235" s="2">
        <v>383</v>
      </c>
      <c r="K235" s="2">
        <v>945</v>
      </c>
      <c r="L235" s="2">
        <v>635</v>
      </c>
      <c r="M235" s="2">
        <v>931</v>
      </c>
      <c r="N235" s="2">
        <v>614</v>
      </c>
      <c r="O235" s="2">
        <v>674</v>
      </c>
      <c r="P235" s="2">
        <v>8481</v>
      </c>
      <c r="Q235" s="2">
        <v>50</v>
      </c>
      <c r="R235" s="2">
        <v>424050</v>
      </c>
      <c r="S235" s="4">
        <f>SUM($R$2:R235) / SUM($R:$R)</f>
        <v>0.94137068971868465</v>
      </c>
      <c r="T235" s="3" t="str">
        <f t="shared" si="18"/>
        <v>C</v>
      </c>
      <c r="U235" s="2">
        <f t="shared" si="19"/>
        <v>706.75</v>
      </c>
      <c r="V235" s="2">
        <f t="shared" si="20"/>
        <v>202.84034249984529</v>
      </c>
      <c r="W235" s="2">
        <f t="shared" si="21"/>
        <v>0.28700437566302833</v>
      </c>
      <c r="X235" s="2" t="str">
        <f t="shared" si="22"/>
        <v>Y</v>
      </c>
      <c r="Y235" s="2" t="str">
        <f t="shared" si="23"/>
        <v>CY</v>
      </c>
    </row>
    <row r="236" spans="1:25" x14ac:dyDescent="0.3">
      <c r="A236" s="2" t="s">
        <v>1269</v>
      </c>
      <c r="B236" s="2" t="s">
        <v>1270</v>
      </c>
      <c r="C236" s="2" t="s">
        <v>20</v>
      </c>
      <c r="D236" s="2">
        <v>3760</v>
      </c>
      <c r="E236" s="2">
        <v>3756</v>
      </c>
      <c r="F236" s="2">
        <v>3239</v>
      </c>
      <c r="G236" s="2">
        <v>3017</v>
      </c>
      <c r="H236" s="2">
        <v>3288</v>
      </c>
      <c r="I236" s="2">
        <v>3619</v>
      </c>
      <c r="J236" s="2">
        <v>3674</v>
      </c>
      <c r="K236" s="2">
        <v>3507</v>
      </c>
      <c r="L236" s="2">
        <v>3175</v>
      </c>
      <c r="M236" s="2">
        <v>3361</v>
      </c>
      <c r="N236" s="2">
        <v>3740</v>
      </c>
      <c r="O236" s="2">
        <v>3761</v>
      </c>
      <c r="P236" s="2">
        <v>41897</v>
      </c>
      <c r="Q236" s="2">
        <v>10</v>
      </c>
      <c r="R236" s="2">
        <v>418970</v>
      </c>
      <c r="S236" s="4">
        <f>SUM($R$2:R236) / SUM($R:$R)</f>
        <v>0.94176141500804034</v>
      </c>
      <c r="T236" s="3" t="str">
        <f t="shared" si="18"/>
        <v>C</v>
      </c>
      <c r="U236" s="2">
        <f t="shared" si="19"/>
        <v>3491.4166666666665</v>
      </c>
      <c r="V236" s="2">
        <f t="shared" si="20"/>
        <v>265.22013441096379</v>
      </c>
      <c r="W236" s="2">
        <f t="shared" si="21"/>
        <v>7.5963472633638826E-2</v>
      </c>
      <c r="X236" s="2" t="str">
        <f t="shared" si="22"/>
        <v>X</v>
      </c>
      <c r="Y236" s="2" t="str">
        <f t="shared" si="23"/>
        <v>CX</v>
      </c>
    </row>
    <row r="237" spans="1:25" x14ac:dyDescent="0.3">
      <c r="A237" s="2" t="s">
        <v>425</v>
      </c>
      <c r="B237" s="2" t="s">
        <v>426</v>
      </c>
      <c r="C237" s="2" t="s">
        <v>20</v>
      </c>
      <c r="D237" s="2">
        <v>3399</v>
      </c>
      <c r="E237" s="2">
        <v>3002</v>
      </c>
      <c r="F237" s="2">
        <v>3647</v>
      </c>
      <c r="G237" s="2">
        <v>3619</v>
      </c>
      <c r="H237" s="2">
        <v>3574</v>
      </c>
      <c r="I237" s="2">
        <v>3532</v>
      </c>
      <c r="J237" s="2">
        <v>3385</v>
      </c>
      <c r="K237" s="2">
        <v>3411</v>
      </c>
      <c r="L237" s="2">
        <v>3563</v>
      </c>
      <c r="M237" s="2">
        <v>3303</v>
      </c>
      <c r="N237" s="2">
        <v>3509</v>
      </c>
      <c r="O237" s="2">
        <v>3693</v>
      </c>
      <c r="P237" s="2">
        <v>41637</v>
      </c>
      <c r="Q237" s="2">
        <v>10</v>
      </c>
      <c r="R237" s="2">
        <v>416370</v>
      </c>
      <c r="S237" s="4">
        <f>SUM($R$2:R237) / SUM($R:$R)</f>
        <v>0.94214971557545324</v>
      </c>
      <c r="T237" s="3" t="str">
        <f t="shared" si="18"/>
        <v>C</v>
      </c>
      <c r="U237" s="2">
        <f t="shared" si="19"/>
        <v>3469.75</v>
      </c>
      <c r="V237" s="2">
        <f t="shared" si="20"/>
        <v>188.47431703502252</v>
      </c>
      <c r="W237" s="2">
        <f t="shared" si="21"/>
        <v>5.4319278632472809E-2</v>
      </c>
      <c r="X237" s="2" t="str">
        <f t="shared" si="22"/>
        <v>X</v>
      </c>
      <c r="Y237" s="2" t="str">
        <f t="shared" si="23"/>
        <v>CX</v>
      </c>
    </row>
    <row r="238" spans="1:25" x14ac:dyDescent="0.3">
      <c r="A238" s="2" t="s">
        <v>439</v>
      </c>
      <c r="B238" s="2" t="s">
        <v>440</v>
      </c>
      <c r="C238" s="2" t="s">
        <v>20</v>
      </c>
      <c r="D238" s="2">
        <v>3463</v>
      </c>
      <c r="E238" s="2">
        <v>3295</v>
      </c>
      <c r="F238" s="2">
        <v>3591</v>
      </c>
      <c r="G238" s="2">
        <v>3412</v>
      </c>
      <c r="H238" s="2">
        <v>2965</v>
      </c>
      <c r="I238" s="2">
        <v>3681</v>
      </c>
      <c r="J238" s="2">
        <v>3582</v>
      </c>
      <c r="K238" s="2">
        <v>3299</v>
      </c>
      <c r="L238" s="2">
        <v>3292</v>
      </c>
      <c r="M238" s="2">
        <v>3596</v>
      </c>
      <c r="N238" s="2">
        <v>3698</v>
      </c>
      <c r="O238" s="2">
        <v>3439</v>
      </c>
      <c r="P238" s="2">
        <v>41313</v>
      </c>
      <c r="Q238" s="2">
        <v>10</v>
      </c>
      <c r="R238" s="2">
        <v>413130</v>
      </c>
      <c r="S238" s="4">
        <f>SUM($R$2:R238) / SUM($R:$R)</f>
        <v>0.94253499456629142</v>
      </c>
      <c r="T238" s="3" t="str">
        <f t="shared" si="18"/>
        <v>C</v>
      </c>
      <c r="U238" s="2">
        <f t="shared" si="19"/>
        <v>3442.75</v>
      </c>
      <c r="V238" s="2">
        <f t="shared" si="20"/>
        <v>209.24197605990665</v>
      </c>
      <c r="W238" s="2">
        <f t="shared" si="21"/>
        <v>6.0777569111874707E-2</v>
      </c>
      <c r="X238" s="2" t="str">
        <f t="shared" si="22"/>
        <v>X</v>
      </c>
      <c r="Y238" s="2" t="str">
        <f t="shared" si="23"/>
        <v>CX</v>
      </c>
    </row>
    <row r="239" spans="1:25" x14ac:dyDescent="0.3">
      <c r="A239" s="2" t="s">
        <v>1873</v>
      </c>
      <c r="B239" s="2" t="s">
        <v>1874</v>
      </c>
      <c r="C239" s="2" t="s">
        <v>56</v>
      </c>
      <c r="D239" s="2">
        <v>345</v>
      </c>
      <c r="E239" s="2">
        <v>325</v>
      </c>
      <c r="F239" s="2">
        <v>351</v>
      </c>
      <c r="G239" s="2">
        <v>348</v>
      </c>
      <c r="H239" s="2">
        <v>352</v>
      </c>
      <c r="I239" s="2">
        <v>331</v>
      </c>
      <c r="J239" s="2">
        <v>327</v>
      </c>
      <c r="K239" s="2">
        <v>348</v>
      </c>
      <c r="L239" s="2">
        <v>318</v>
      </c>
      <c r="M239" s="2">
        <v>370</v>
      </c>
      <c r="N239" s="2">
        <v>338</v>
      </c>
      <c r="O239" s="2">
        <v>372</v>
      </c>
      <c r="P239" s="2">
        <v>4125</v>
      </c>
      <c r="Q239" s="2">
        <v>100</v>
      </c>
      <c r="R239" s="2">
        <v>412500</v>
      </c>
      <c r="S239" s="4">
        <f>SUM($R$2:R239) / SUM($R:$R)</f>
        <v>0.94291968602835119</v>
      </c>
      <c r="T239" s="3" t="str">
        <f t="shared" si="18"/>
        <v>C</v>
      </c>
      <c r="U239" s="2">
        <f t="shared" si="19"/>
        <v>343.75</v>
      </c>
      <c r="V239" s="2">
        <f t="shared" si="20"/>
        <v>16.88530829933633</v>
      </c>
      <c r="W239" s="2">
        <f t="shared" si="21"/>
        <v>4.9120896870796599E-2</v>
      </c>
      <c r="X239" s="2" t="str">
        <f t="shared" si="22"/>
        <v>X</v>
      </c>
      <c r="Y239" s="2" t="str">
        <f t="shared" si="23"/>
        <v>CX</v>
      </c>
    </row>
    <row r="240" spans="1:25" x14ac:dyDescent="0.3">
      <c r="A240" s="2" t="s">
        <v>113</v>
      </c>
      <c r="B240" s="2" t="s">
        <v>114</v>
      </c>
      <c r="C240" s="2" t="s">
        <v>20</v>
      </c>
      <c r="D240" s="2">
        <v>3357</v>
      </c>
      <c r="E240" s="2">
        <v>3753</v>
      </c>
      <c r="F240" s="2">
        <v>3193</v>
      </c>
      <c r="G240" s="2">
        <v>3244</v>
      </c>
      <c r="H240" s="2">
        <v>3456</v>
      </c>
      <c r="I240" s="2">
        <v>3278</v>
      </c>
      <c r="J240" s="2">
        <v>3744</v>
      </c>
      <c r="K240" s="2">
        <v>3211</v>
      </c>
      <c r="L240" s="2">
        <v>3311</v>
      </c>
      <c r="M240" s="2">
        <v>3462</v>
      </c>
      <c r="N240" s="2">
        <v>3587</v>
      </c>
      <c r="O240" s="2">
        <v>3616</v>
      </c>
      <c r="P240" s="2">
        <v>41212</v>
      </c>
      <c r="Q240" s="2">
        <v>10</v>
      </c>
      <c r="R240" s="2">
        <v>412120</v>
      </c>
      <c r="S240" s="4">
        <f>SUM($R$2:R240) / SUM($R:$R)</f>
        <v>0.94330402310797312</v>
      </c>
      <c r="T240" s="3" t="str">
        <f t="shared" si="18"/>
        <v>C</v>
      </c>
      <c r="U240" s="2">
        <f t="shared" si="19"/>
        <v>3434.3333333333335</v>
      </c>
      <c r="V240" s="2">
        <f t="shared" si="20"/>
        <v>201.12516832394036</v>
      </c>
      <c r="W240" s="2">
        <f t="shared" si="21"/>
        <v>5.8563088903408819E-2</v>
      </c>
      <c r="X240" s="2" t="str">
        <f t="shared" si="22"/>
        <v>X</v>
      </c>
      <c r="Y240" s="2" t="str">
        <f t="shared" si="23"/>
        <v>CX</v>
      </c>
    </row>
    <row r="241" spans="1:25" x14ac:dyDescent="0.3">
      <c r="A241" s="2" t="s">
        <v>1729</v>
      </c>
      <c r="B241" s="2" t="s">
        <v>1730</v>
      </c>
      <c r="C241" s="2" t="s">
        <v>20</v>
      </c>
      <c r="D241" s="2">
        <v>3585</v>
      </c>
      <c r="E241" s="2">
        <v>3427</v>
      </c>
      <c r="F241" s="2">
        <v>3256</v>
      </c>
      <c r="G241" s="2">
        <v>3438</v>
      </c>
      <c r="H241" s="2">
        <v>3482</v>
      </c>
      <c r="I241" s="2">
        <v>3601</v>
      </c>
      <c r="J241" s="2">
        <v>3360</v>
      </c>
      <c r="K241" s="2">
        <v>3419</v>
      </c>
      <c r="L241" s="2">
        <v>3082</v>
      </c>
      <c r="M241" s="2">
        <v>3485</v>
      </c>
      <c r="N241" s="2">
        <v>3306</v>
      </c>
      <c r="O241" s="2">
        <v>3692</v>
      </c>
      <c r="P241" s="2">
        <v>41133</v>
      </c>
      <c r="Q241" s="2">
        <v>10</v>
      </c>
      <c r="R241" s="2">
        <v>411330</v>
      </c>
      <c r="S241" s="4">
        <f>SUM($R$2:R241) / SUM($R:$R)</f>
        <v>0.94368762344515866</v>
      </c>
      <c r="T241" s="3" t="str">
        <f t="shared" si="18"/>
        <v>C</v>
      </c>
      <c r="U241" s="2">
        <f t="shared" si="19"/>
        <v>3427.75</v>
      </c>
      <c r="V241" s="2">
        <f t="shared" si="20"/>
        <v>164.9871207094663</v>
      </c>
      <c r="W241" s="2">
        <f t="shared" si="21"/>
        <v>4.8132775351022186E-2</v>
      </c>
      <c r="X241" s="2" t="str">
        <f t="shared" si="22"/>
        <v>X</v>
      </c>
      <c r="Y241" s="2" t="str">
        <f t="shared" si="23"/>
        <v>CX</v>
      </c>
    </row>
    <row r="242" spans="1:25" x14ac:dyDescent="0.3">
      <c r="A242" s="2" t="s">
        <v>365</v>
      </c>
      <c r="B242" s="2" t="s">
        <v>366</v>
      </c>
      <c r="C242" s="2" t="s">
        <v>20</v>
      </c>
      <c r="D242" s="2">
        <v>3299</v>
      </c>
      <c r="E242" s="2">
        <v>3572</v>
      </c>
      <c r="F242" s="2">
        <v>3571</v>
      </c>
      <c r="G242" s="2">
        <v>3454</v>
      </c>
      <c r="H242" s="2">
        <v>3037</v>
      </c>
      <c r="I242" s="2">
        <v>3755</v>
      </c>
      <c r="J242" s="2">
        <v>3183</v>
      </c>
      <c r="K242" s="2">
        <v>3465</v>
      </c>
      <c r="L242" s="2">
        <v>3608</v>
      </c>
      <c r="M242" s="2">
        <v>3323</v>
      </c>
      <c r="N242" s="2">
        <v>3241</v>
      </c>
      <c r="O242" s="2">
        <v>3556</v>
      </c>
      <c r="P242" s="2">
        <v>41064</v>
      </c>
      <c r="Q242" s="2">
        <v>10</v>
      </c>
      <c r="R242" s="2">
        <v>410640</v>
      </c>
      <c r="S242" s="4">
        <f>SUM($R$2:R242) / SUM($R:$R)</f>
        <v>0.94407058029844415</v>
      </c>
      <c r="T242" s="3" t="str">
        <f t="shared" si="18"/>
        <v>C</v>
      </c>
      <c r="U242" s="2">
        <f t="shared" si="19"/>
        <v>3422</v>
      </c>
      <c r="V242" s="2">
        <f t="shared" si="20"/>
        <v>207.59488520586521</v>
      </c>
      <c r="W242" s="2">
        <f t="shared" si="21"/>
        <v>6.0664782351217188E-2</v>
      </c>
      <c r="X242" s="2" t="str">
        <f t="shared" si="22"/>
        <v>X</v>
      </c>
      <c r="Y242" s="2" t="str">
        <f t="shared" si="23"/>
        <v>CX</v>
      </c>
    </row>
    <row r="243" spans="1:25" x14ac:dyDescent="0.3">
      <c r="A243" s="2" t="s">
        <v>1909</v>
      </c>
      <c r="B243" s="2" t="s">
        <v>1910</v>
      </c>
      <c r="C243" s="2" t="s">
        <v>25</v>
      </c>
      <c r="D243" s="2">
        <v>579</v>
      </c>
      <c r="E243" s="2">
        <v>444</v>
      </c>
      <c r="F243" s="2">
        <v>184</v>
      </c>
      <c r="G243" s="2">
        <v>43</v>
      </c>
      <c r="H243" s="2">
        <v>452</v>
      </c>
      <c r="I243" s="2">
        <v>403</v>
      </c>
      <c r="J243" s="2">
        <v>332</v>
      </c>
      <c r="K243" s="2">
        <v>398</v>
      </c>
      <c r="L243" s="2">
        <v>128</v>
      </c>
      <c r="M243" s="2">
        <v>151</v>
      </c>
      <c r="N243" s="2">
        <v>455</v>
      </c>
      <c r="O243" s="2">
        <v>480</v>
      </c>
      <c r="P243" s="2">
        <v>4049</v>
      </c>
      <c r="Q243" s="2">
        <v>100</v>
      </c>
      <c r="R243" s="2">
        <v>404900</v>
      </c>
      <c r="S243" s="4">
        <f>SUM($R$2:R243) / SUM($R:$R)</f>
        <v>0.94444818411174836</v>
      </c>
      <c r="T243" s="3" t="str">
        <f t="shared" si="18"/>
        <v>C</v>
      </c>
      <c r="U243" s="2">
        <f t="shared" si="19"/>
        <v>337.41666666666669</v>
      </c>
      <c r="V243" s="2">
        <f t="shared" si="20"/>
        <v>168.90904401930396</v>
      </c>
      <c r="W243" s="2">
        <f t="shared" si="21"/>
        <v>0.50059484520416087</v>
      </c>
      <c r="X243" s="2" t="str">
        <f t="shared" si="22"/>
        <v>Z</v>
      </c>
      <c r="Y243" s="2" t="str">
        <f t="shared" si="23"/>
        <v>CZ</v>
      </c>
    </row>
    <row r="244" spans="1:25" x14ac:dyDescent="0.3">
      <c r="A244" s="2" t="s">
        <v>1841</v>
      </c>
      <c r="B244" s="2" t="s">
        <v>1842</v>
      </c>
      <c r="C244" s="2" t="s">
        <v>20</v>
      </c>
      <c r="D244" s="2">
        <v>3399</v>
      </c>
      <c r="E244" s="2">
        <v>3811</v>
      </c>
      <c r="F244" s="2">
        <v>3648</v>
      </c>
      <c r="G244" s="2">
        <v>3034</v>
      </c>
      <c r="H244" s="2">
        <v>3473</v>
      </c>
      <c r="I244" s="2">
        <v>3050</v>
      </c>
      <c r="J244" s="2">
        <v>3454</v>
      </c>
      <c r="K244" s="2">
        <v>3201</v>
      </c>
      <c r="L244" s="2">
        <v>3309</v>
      </c>
      <c r="M244" s="2">
        <v>3131</v>
      </c>
      <c r="N244" s="2">
        <v>3378</v>
      </c>
      <c r="O244" s="2">
        <v>3557</v>
      </c>
      <c r="P244" s="2">
        <v>40445</v>
      </c>
      <c r="Q244" s="2">
        <v>10</v>
      </c>
      <c r="R244" s="2">
        <v>404450</v>
      </c>
      <c r="S244" s="4">
        <f>SUM($R$2:R244) / SUM($R:$R)</f>
        <v>0.94482536826163943</v>
      </c>
      <c r="T244" s="3" t="str">
        <f t="shared" si="18"/>
        <v>C</v>
      </c>
      <c r="U244" s="2">
        <f t="shared" si="19"/>
        <v>3370.4166666666665</v>
      </c>
      <c r="V244" s="2">
        <f t="shared" si="20"/>
        <v>239.31738467161264</v>
      </c>
      <c r="W244" s="2">
        <f t="shared" si="21"/>
        <v>7.1005281643203161E-2</v>
      </c>
      <c r="X244" s="2" t="str">
        <f t="shared" si="22"/>
        <v>X</v>
      </c>
      <c r="Y244" s="2" t="str">
        <f t="shared" si="23"/>
        <v>CX</v>
      </c>
    </row>
    <row r="245" spans="1:25" x14ac:dyDescent="0.3">
      <c r="A245" s="2" t="s">
        <v>853</v>
      </c>
      <c r="B245" s="2" t="s">
        <v>854</v>
      </c>
      <c r="C245" s="2" t="s">
        <v>20</v>
      </c>
      <c r="D245" s="2">
        <v>3291</v>
      </c>
      <c r="E245" s="2">
        <v>3236</v>
      </c>
      <c r="F245" s="2">
        <v>3556</v>
      </c>
      <c r="G245" s="2">
        <v>3299</v>
      </c>
      <c r="H245" s="2">
        <v>3403</v>
      </c>
      <c r="I245" s="2">
        <v>3321</v>
      </c>
      <c r="J245" s="2">
        <v>3126</v>
      </c>
      <c r="K245" s="2">
        <v>3413</v>
      </c>
      <c r="L245" s="2">
        <v>3505</v>
      </c>
      <c r="M245" s="2">
        <v>3614</v>
      </c>
      <c r="N245" s="2">
        <v>3425</v>
      </c>
      <c r="O245" s="2">
        <v>2909</v>
      </c>
      <c r="P245" s="2">
        <v>40098</v>
      </c>
      <c r="Q245" s="2">
        <v>10</v>
      </c>
      <c r="R245" s="2">
        <v>400980</v>
      </c>
      <c r="S245" s="4">
        <f>SUM($R$2:R245) / SUM($R:$R)</f>
        <v>0.94519931634032239</v>
      </c>
      <c r="T245" s="3" t="str">
        <f t="shared" si="18"/>
        <v>C</v>
      </c>
      <c r="U245" s="2">
        <f t="shared" si="19"/>
        <v>3341.5</v>
      </c>
      <c r="V245" s="2">
        <f t="shared" si="20"/>
        <v>193.59493795035036</v>
      </c>
      <c r="W245" s="2">
        <f t="shared" si="21"/>
        <v>5.7936536869774159E-2</v>
      </c>
      <c r="X245" s="2" t="str">
        <f t="shared" si="22"/>
        <v>X</v>
      </c>
      <c r="Y245" s="2" t="str">
        <f t="shared" si="23"/>
        <v>CX</v>
      </c>
    </row>
    <row r="246" spans="1:25" x14ac:dyDescent="0.3">
      <c r="A246" s="2" t="s">
        <v>499</v>
      </c>
      <c r="B246" s="2" t="s">
        <v>500</v>
      </c>
      <c r="C246" s="2" t="s">
        <v>25</v>
      </c>
      <c r="D246" s="2">
        <v>616</v>
      </c>
      <c r="E246" s="2">
        <v>739</v>
      </c>
      <c r="F246" s="2">
        <v>832</v>
      </c>
      <c r="G246" s="2">
        <v>698</v>
      </c>
      <c r="H246" s="2">
        <v>844</v>
      </c>
      <c r="I246" s="2">
        <v>594</v>
      </c>
      <c r="J246" s="2">
        <v>858</v>
      </c>
      <c r="K246" s="2">
        <v>400</v>
      </c>
      <c r="L246" s="2">
        <v>516</v>
      </c>
      <c r="M246" s="2">
        <v>663</v>
      </c>
      <c r="N246" s="2">
        <v>766</v>
      </c>
      <c r="O246" s="2">
        <v>484</v>
      </c>
      <c r="P246" s="2">
        <v>8010</v>
      </c>
      <c r="Q246" s="2">
        <v>50</v>
      </c>
      <c r="R246" s="2">
        <v>400500</v>
      </c>
      <c r="S246" s="4">
        <f>SUM($R$2:R246) / SUM($R:$R)</f>
        <v>0.9455728167780314</v>
      </c>
      <c r="T246" s="3" t="str">
        <f t="shared" si="18"/>
        <v>C</v>
      </c>
      <c r="U246" s="2">
        <f t="shared" si="19"/>
        <v>667.5</v>
      </c>
      <c r="V246" s="2">
        <f t="shared" si="20"/>
        <v>149.69757391609136</v>
      </c>
      <c r="W246" s="2">
        <f t="shared" si="21"/>
        <v>0.22426602833871365</v>
      </c>
      <c r="X246" s="2" t="str">
        <f t="shared" si="22"/>
        <v>Y</v>
      </c>
      <c r="Y246" s="2" t="str">
        <f t="shared" si="23"/>
        <v>CY</v>
      </c>
    </row>
    <row r="247" spans="1:25" x14ac:dyDescent="0.3">
      <c r="A247" s="2" t="s">
        <v>177</v>
      </c>
      <c r="B247" s="2" t="s">
        <v>178</v>
      </c>
      <c r="C247" s="2" t="s">
        <v>25</v>
      </c>
      <c r="D247" s="2">
        <v>476</v>
      </c>
      <c r="E247" s="2">
        <v>357</v>
      </c>
      <c r="F247" s="2">
        <v>176</v>
      </c>
      <c r="G247" s="2">
        <v>304</v>
      </c>
      <c r="H247" s="2">
        <v>119</v>
      </c>
      <c r="I247" s="2">
        <v>172</v>
      </c>
      <c r="J247" s="2">
        <v>499</v>
      </c>
      <c r="K247" s="2">
        <v>148</v>
      </c>
      <c r="L247" s="2">
        <v>270</v>
      </c>
      <c r="M247" s="2">
        <v>236</v>
      </c>
      <c r="N247" s="2">
        <v>585</v>
      </c>
      <c r="O247" s="2">
        <v>635</v>
      </c>
      <c r="P247" s="2">
        <v>3977</v>
      </c>
      <c r="Q247" s="2">
        <v>100</v>
      </c>
      <c r="R247" s="2">
        <v>397700</v>
      </c>
      <c r="S247" s="4">
        <f>SUM($R$2:R247) / SUM($R:$R)</f>
        <v>0.94594370597672506</v>
      </c>
      <c r="T247" s="3" t="str">
        <f t="shared" si="18"/>
        <v>C</v>
      </c>
      <c r="U247" s="2">
        <f t="shared" si="19"/>
        <v>331.41666666666669</v>
      </c>
      <c r="V247" s="2">
        <f t="shared" si="20"/>
        <v>177.88375076964954</v>
      </c>
      <c r="W247" s="2">
        <f t="shared" si="21"/>
        <v>0.53673749289308381</v>
      </c>
      <c r="X247" s="2" t="str">
        <f t="shared" si="22"/>
        <v>Z</v>
      </c>
      <c r="Y247" s="2" t="str">
        <f t="shared" si="23"/>
        <v>CZ</v>
      </c>
    </row>
    <row r="248" spans="1:25" x14ac:dyDescent="0.3">
      <c r="A248" s="2" t="s">
        <v>1973</v>
      </c>
      <c r="B248" s="2" t="s">
        <v>1974</v>
      </c>
      <c r="C248" s="2" t="s">
        <v>41</v>
      </c>
      <c r="D248" s="2">
        <v>329</v>
      </c>
      <c r="E248" s="2">
        <v>345</v>
      </c>
      <c r="F248" s="2">
        <v>314</v>
      </c>
      <c r="G248" s="2">
        <v>329</v>
      </c>
      <c r="H248" s="2">
        <v>351</v>
      </c>
      <c r="I248" s="2">
        <v>339</v>
      </c>
      <c r="J248" s="2">
        <v>325</v>
      </c>
      <c r="K248" s="2">
        <v>327</v>
      </c>
      <c r="L248" s="2">
        <v>320</v>
      </c>
      <c r="M248" s="2">
        <v>288</v>
      </c>
      <c r="N248" s="2">
        <v>328</v>
      </c>
      <c r="O248" s="2">
        <v>338</v>
      </c>
      <c r="P248" s="2">
        <v>3933</v>
      </c>
      <c r="Q248" s="2">
        <v>100</v>
      </c>
      <c r="R248" s="2">
        <v>393300</v>
      </c>
      <c r="S248" s="4">
        <f>SUM($R$2:R248) / SUM($R:$R)</f>
        <v>0.94631049179982352</v>
      </c>
      <c r="T248" s="3" t="str">
        <f t="shared" si="18"/>
        <v>C</v>
      </c>
      <c r="U248" s="2">
        <f t="shared" si="19"/>
        <v>327.75</v>
      </c>
      <c r="V248" s="2">
        <f t="shared" si="20"/>
        <v>16.265551998569915</v>
      </c>
      <c r="W248" s="2">
        <f t="shared" si="21"/>
        <v>4.9627923717986008E-2</v>
      </c>
      <c r="X248" s="2" t="str">
        <f t="shared" si="22"/>
        <v>X</v>
      </c>
      <c r="Y248" s="2" t="str">
        <f t="shared" si="23"/>
        <v>CX</v>
      </c>
    </row>
    <row r="249" spans="1:25" x14ac:dyDescent="0.3">
      <c r="A249" s="2" t="s">
        <v>1879</v>
      </c>
      <c r="B249" s="2" t="s">
        <v>1880</v>
      </c>
      <c r="C249" s="2" t="s">
        <v>20</v>
      </c>
      <c r="D249" s="2">
        <v>3263</v>
      </c>
      <c r="E249" s="2">
        <v>3035</v>
      </c>
      <c r="F249" s="2">
        <v>3070</v>
      </c>
      <c r="G249" s="2">
        <v>3233</v>
      </c>
      <c r="H249" s="2">
        <v>3167</v>
      </c>
      <c r="I249" s="2">
        <v>3300</v>
      </c>
      <c r="J249" s="2">
        <v>3043</v>
      </c>
      <c r="K249" s="2">
        <v>3285</v>
      </c>
      <c r="L249" s="2">
        <v>3502</v>
      </c>
      <c r="M249" s="2">
        <v>3012</v>
      </c>
      <c r="N249" s="2">
        <v>3362</v>
      </c>
      <c r="O249" s="2">
        <v>3651</v>
      </c>
      <c r="P249" s="2">
        <v>38923</v>
      </c>
      <c r="Q249" s="2">
        <v>10</v>
      </c>
      <c r="R249" s="2">
        <v>389230</v>
      </c>
      <c r="S249" s="4">
        <f>SUM($R$2:R249) / SUM($R:$R)</f>
        <v>0.94667348200049628</v>
      </c>
      <c r="T249" s="3" t="str">
        <f t="shared" si="18"/>
        <v>C</v>
      </c>
      <c r="U249" s="2">
        <f t="shared" si="19"/>
        <v>3243.5833333333335</v>
      </c>
      <c r="V249" s="2">
        <f t="shared" si="20"/>
        <v>196.68731915187496</v>
      </c>
      <c r="W249" s="2">
        <f t="shared" si="21"/>
        <v>6.0638898076265949E-2</v>
      </c>
      <c r="X249" s="2" t="str">
        <f t="shared" si="22"/>
        <v>X</v>
      </c>
      <c r="Y249" s="2" t="str">
        <f t="shared" si="23"/>
        <v>CX</v>
      </c>
    </row>
    <row r="250" spans="1:25" x14ac:dyDescent="0.3">
      <c r="A250" s="2" t="s">
        <v>1775</v>
      </c>
      <c r="B250" s="2" t="s">
        <v>1776</v>
      </c>
      <c r="C250" s="2" t="s">
        <v>20</v>
      </c>
      <c r="D250" s="2">
        <v>3100</v>
      </c>
      <c r="E250" s="2">
        <v>3193</v>
      </c>
      <c r="F250" s="2">
        <v>3093</v>
      </c>
      <c r="G250" s="2">
        <v>3437</v>
      </c>
      <c r="H250" s="2">
        <v>3209</v>
      </c>
      <c r="I250" s="2">
        <v>2935</v>
      </c>
      <c r="J250" s="2">
        <v>3138</v>
      </c>
      <c r="K250" s="2">
        <v>3270</v>
      </c>
      <c r="L250" s="2">
        <v>3261</v>
      </c>
      <c r="M250" s="2">
        <v>3131</v>
      </c>
      <c r="N250" s="2">
        <v>3483</v>
      </c>
      <c r="O250" s="2">
        <v>3357</v>
      </c>
      <c r="P250" s="2">
        <v>38607</v>
      </c>
      <c r="Q250" s="2">
        <v>10</v>
      </c>
      <c r="R250" s="2">
        <v>386070</v>
      </c>
      <c r="S250" s="4">
        <f>SUM($R$2:R250) / SUM($R:$R)</f>
        <v>0.94703352523142337</v>
      </c>
      <c r="T250" s="3" t="str">
        <f t="shared" si="18"/>
        <v>C</v>
      </c>
      <c r="U250" s="2">
        <f t="shared" si="19"/>
        <v>3217.25</v>
      </c>
      <c r="V250" s="2">
        <f t="shared" si="20"/>
        <v>155.61206134603975</v>
      </c>
      <c r="W250" s="2">
        <f t="shared" si="21"/>
        <v>4.8368035230721813E-2</v>
      </c>
      <c r="X250" s="2" t="str">
        <f t="shared" si="22"/>
        <v>X</v>
      </c>
      <c r="Y250" s="2" t="str">
        <f t="shared" si="23"/>
        <v>CX</v>
      </c>
    </row>
    <row r="251" spans="1:25" x14ac:dyDescent="0.3">
      <c r="A251" s="2" t="s">
        <v>1711</v>
      </c>
      <c r="B251" s="2" t="s">
        <v>1712</v>
      </c>
      <c r="C251" s="2" t="s">
        <v>20</v>
      </c>
      <c r="D251" s="2">
        <v>3043</v>
      </c>
      <c r="E251" s="2">
        <v>3356</v>
      </c>
      <c r="F251" s="2">
        <v>3221</v>
      </c>
      <c r="G251" s="2">
        <v>3028</v>
      </c>
      <c r="H251" s="2">
        <v>2735</v>
      </c>
      <c r="I251" s="2">
        <v>3204</v>
      </c>
      <c r="J251" s="2">
        <v>3624</v>
      </c>
      <c r="K251" s="2">
        <v>3096</v>
      </c>
      <c r="L251" s="2">
        <v>3243</v>
      </c>
      <c r="M251" s="2">
        <v>2828</v>
      </c>
      <c r="N251" s="2">
        <v>3094</v>
      </c>
      <c r="O251" s="2">
        <v>3359</v>
      </c>
      <c r="P251" s="2">
        <v>37831</v>
      </c>
      <c r="Q251" s="2">
        <v>10</v>
      </c>
      <c r="R251" s="2">
        <v>378310</v>
      </c>
      <c r="S251" s="4">
        <f>SUM($R$2:R251) / SUM($R:$R)</f>
        <v>0.9473863315999369</v>
      </c>
      <c r="T251" s="3" t="str">
        <f t="shared" si="18"/>
        <v>C</v>
      </c>
      <c r="U251" s="2">
        <f t="shared" si="19"/>
        <v>3152.5833333333335</v>
      </c>
      <c r="V251" s="2">
        <f t="shared" si="20"/>
        <v>240.38093190651048</v>
      </c>
      <c r="W251" s="2">
        <f t="shared" si="21"/>
        <v>7.624887480844085E-2</v>
      </c>
      <c r="X251" s="2" t="str">
        <f t="shared" si="22"/>
        <v>X</v>
      </c>
      <c r="Y251" s="2" t="str">
        <f t="shared" si="23"/>
        <v>CX</v>
      </c>
    </row>
    <row r="252" spans="1:25" x14ac:dyDescent="0.3">
      <c r="A252" s="2" t="s">
        <v>265</v>
      </c>
      <c r="B252" s="2" t="s">
        <v>266</v>
      </c>
      <c r="C252" s="2" t="s">
        <v>20</v>
      </c>
      <c r="D252" s="2">
        <v>2947</v>
      </c>
      <c r="E252" s="2">
        <v>3353</v>
      </c>
      <c r="F252" s="2">
        <v>3242</v>
      </c>
      <c r="G252" s="2">
        <v>3432</v>
      </c>
      <c r="H252" s="2">
        <v>2937</v>
      </c>
      <c r="I252" s="2">
        <v>3609</v>
      </c>
      <c r="J252" s="2">
        <v>2941</v>
      </c>
      <c r="K252" s="2">
        <v>2672</v>
      </c>
      <c r="L252" s="2">
        <v>3198</v>
      </c>
      <c r="M252" s="2">
        <v>3486</v>
      </c>
      <c r="N252" s="2">
        <v>3199</v>
      </c>
      <c r="O252" s="2">
        <v>2806</v>
      </c>
      <c r="P252" s="2">
        <v>37822</v>
      </c>
      <c r="Q252" s="2">
        <v>10</v>
      </c>
      <c r="R252" s="2">
        <v>378220</v>
      </c>
      <c r="S252" s="4">
        <f>SUM($R$2:R252) / SUM($R:$R)</f>
        <v>0.94773905403576786</v>
      </c>
      <c r="T252" s="3" t="str">
        <f t="shared" si="18"/>
        <v>C</v>
      </c>
      <c r="U252" s="2">
        <f t="shared" si="19"/>
        <v>3151.8333333333335</v>
      </c>
      <c r="V252" s="2">
        <f t="shared" si="20"/>
        <v>291.47238551044848</v>
      </c>
      <c r="W252" s="2">
        <f t="shared" si="21"/>
        <v>9.2477093388117534E-2</v>
      </c>
      <c r="X252" s="2" t="str">
        <f t="shared" si="22"/>
        <v>X</v>
      </c>
      <c r="Y252" s="2" t="str">
        <f t="shared" si="23"/>
        <v>CX</v>
      </c>
    </row>
    <row r="253" spans="1:25" x14ac:dyDescent="0.3">
      <c r="A253" s="2" t="s">
        <v>1061</v>
      </c>
      <c r="B253" s="2" t="s">
        <v>1062</v>
      </c>
      <c r="C253" s="2" t="s">
        <v>25</v>
      </c>
      <c r="D253" s="2">
        <v>527</v>
      </c>
      <c r="E253" s="2">
        <v>511</v>
      </c>
      <c r="F253" s="2">
        <v>828</v>
      </c>
      <c r="G253" s="2">
        <v>598</v>
      </c>
      <c r="H253" s="2">
        <v>879</v>
      </c>
      <c r="I253" s="2">
        <v>659</v>
      </c>
      <c r="J253" s="2">
        <v>328</v>
      </c>
      <c r="K253" s="2">
        <v>733</v>
      </c>
      <c r="L253" s="2">
        <v>652</v>
      </c>
      <c r="M253" s="2">
        <v>821</v>
      </c>
      <c r="N253" s="2">
        <v>499</v>
      </c>
      <c r="O253" s="2">
        <v>443</v>
      </c>
      <c r="P253" s="2">
        <v>7478</v>
      </c>
      <c r="Q253" s="2">
        <v>50</v>
      </c>
      <c r="R253" s="2">
        <v>373900</v>
      </c>
      <c r="S253" s="4">
        <f>SUM($R$2:R253) / SUM($R:$R)</f>
        <v>0.94808774770283244</v>
      </c>
      <c r="T253" s="3" t="str">
        <f t="shared" si="18"/>
        <v>C</v>
      </c>
      <c r="U253" s="2">
        <f t="shared" si="19"/>
        <v>623.16666666666663</v>
      </c>
      <c r="V253" s="2">
        <f t="shared" si="20"/>
        <v>170.07689882859324</v>
      </c>
      <c r="W253" s="2">
        <f t="shared" si="21"/>
        <v>0.27292361406032617</v>
      </c>
      <c r="X253" s="2" t="str">
        <f t="shared" si="22"/>
        <v>Y</v>
      </c>
      <c r="Y253" s="2" t="str">
        <f t="shared" si="23"/>
        <v>CY</v>
      </c>
    </row>
    <row r="254" spans="1:25" x14ac:dyDescent="0.3">
      <c r="A254" s="2" t="s">
        <v>1813</v>
      </c>
      <c r="B254" s="2" t="s">
        <v>1814</v>
      </c>
      <c r="C254" s="2" t="s">
        <v>20</v>
      </c>
      <c r="D254" s="2">
        <v>3414</v>
      </c>
      <c r="E254" s="2">
        <v>3090</v>
      </c>
      <c r="F254" s="2">
        <v>3003</v>
      </c>
      <c r="G254" s="2">
        <v>3145</v>
      </c>
      <c r="H254" s="2">
        <v>2903</v>
      </c>
      <c r="I254" s="2">
        <v>2851</v>
      </c>
      <c r="J254" s="2">
        <v>3231</v>
      </c>
      <c r="K254" s="2">
        <v>3195</v>
      </c>
      <c r="L254" s="2">
        <v>3144</v>
      </c>
      <c r="M254" s="2">
        <v>3476</v>
      </c>
      <c r="N254" s="2">
        <v>2814</v>
      </c>
      <c r="O254" s="2">
        <v>3116</v>
      </c>
      <c r="P254" s="2">
        <v>37382</v>
      </c>
      <c r="Q254" s="2">
        <v>10</v>
      </c>
      <c r="R254" s="2">
        <v>373820</v>
      </c>
      <c r="S254" s="4">
        <f>SUM($R$2:R254) / SUM($R:$R)</f>
        <v>0.94843636676306797</v>
      </c>
      <c r="T254" s="3" t="str">
        <f t="shared" si="18"/>
        <v>C</v>
      </c>
      <c r="U254" s="2">
        <f t="shared" si="19"/>
        <v>3115.1666666666665</v>
      </c>
      <c r="V254" s="2">
        <f t="shared" si="20"/>
        <v>204.43484551466773</v>
      </c>
      <c r="W254" s="2">
        <f t="shared" si="21"/>
        <v>6.562565261826582E-2</v>
      </c>
      <c r="X254" s="2" t="str">
        <f t="shared" si="22"/>
        <v>X</v>
      </c>
      <c r="Y254" s="2" t="str">
        <f t="shared" si="23"/>
        <v>CX</v>
      </c>
    </row>
    <row r="255" spans="1:25" x14ac:dyDescent="0.3">
      <c r="A255" s="2" t="s">
        <v>1843</v>
      </c>
      <c r="B255" s="2" t="s">
        <v>1844</v>
      </c>
      <c r="C255" s="2" t="s">
        <v>25</v>
      </c>
      <c r="D255" s="2">
        <v>284</v>
      </c>
      <c r="E255" s="2">
        <v>287</v>
      </c>
      <c r="F255" s="2">
        <v>307</v>
      </c>
      <c r="G255" s="2">
        <v>506</v>
      </c>
      <c r="H255" s="2">
        <v>121</v>
      </c>
      <c r="I255" s="2">
        <v>581</v>
      </c>
      <c r="J255" s="2">
        <v>213</v>
      </c>
      <c r="K255" s="2">
        <v>556</v>
      </c>
      <c r="L255" s="2">
        <v>2</v>
      </c>
      <c r="M255" s="2">
        <v>236</v>
      </c>
      <c r="N255" s="2">
        <v>388</v>
      </c>
      <c r="O255" s="2">
        <v>254</v>
      </c>
      <c r="P255" s="2">
        <v>3735</v>
      </c>
      <c r="Q255" s="2">
        <v>100</v>
      </c>
      <c r="R255" s="2">
        <v>373500</v>
      </c>
      <c r="S255" s="4">
        <f>SUM($R$2:R255) / SUM($R:$R)</f>
        <v>0.94878468739598754</v>
      </c>
      <c r="T255" s="3" t="str">
        <f t="shared" si="18"/>
        <v>C</v>
      </c>
      <c r="U255" s="2">
        <f t="shared" si="19"/>
        <v>311.25</v>
      </c>
      <c r="V255" s="2">
        <f t="shared" si="20"/>
        <v>172.74738519268271</v>
      </c>
      <c r="W255" s="2">
        <f t="shared" si="21"/>
        <v>0.55501167933392037</v>
      </c>
      <c r="X255" s="2" t="str">
        <f t="shared" si="22"/>
        <v>Z</v>
      </c>
      <c r="Y255" s="2" t="str">
        <f t="shared" si="23"/>
        <v>CZ</v>
      </c>
    </row>
    <row r="256" spans="1:25" x14ac:dyDescent="0.3">
      <c r="A256" s="2" t="s">
        <v>1555</v>
      </c>
      <c r="B256" s="2" t="s">
        <v>1556</v>
      </c>
      <c r="C256" s="2" t="s">
        <v>20</v>
      </c>
      <c r="D256" s="2">
        <v>2969</v>
      </c>
      <c r="E256" s="2">
        <v>2918</v>
      </c>
      <c r="F256" s="2">
        <v>3232</v>
      </c>
      <c r="G256" s="2">
        <v>2950</v>
      </c>
      <c r="H256" s="2">
        <v>3043</v>
      </c>
      <c r="I256" s="2">
        <v>3374</v>
      </c>
      <c r="J256" s="2">
        <v>3633</v>
      </c>
      <c r="K256" s="2">
        <v>3125</v>
      </c>
      <c r="L256" s="2">
        <v>3373</v>
      </c>
      <c r="M256" s="2">
        <v>2632</v>
      </c>
      <c r="N256" s="2">
        <v>3345</v>
      </c>
      <c r="O256" s="2">
        <v>2646</v>
      </c>
      <c r="P256" s="2">
        <v>37240</v>
      </c>
      <c r="Q256" s="2">
        <v>10</v>
      </c>
      <c r="R256" s="2">
        <v>372400</v>
      </c>
      <c r="S256" s="4">
        <f>SUM($R$2:R256) / SUM($R:$R)</f>
        <v>0.94913198218500838</v>
      </c>
      <c r="T256" s="3" t="str">
        <f t="shared" si="18"/>
        <v>C</v>
      </c>
      <c r="U256" s="2">
        <f t="shared" si="19"/>
        <v>3103.3333333333335</v>
      </c>
      <c r="V256" s="2">
        <f t="shared" si="20"/>
        <v>303.43617970096307</v>
      </c>
      <c r="W256" s="2">
        <f t="shared" si="21"/>
        <v>9.7777501514810863E-2</v>
      </c>
      <c r="X256" s="2" t="str">
        <f t="shared" si="22"/>
        <v>X</v>
      </c>
      <c r="Y256" s="2" t="str">
        <f t="shared" si="23"/>
        <v>CX</v>
      </c>
    </row>
    <row r="257" spans="1:25" x14ac:dyDescent="0.3">
      <c r="A257" s="2" t="s">
        <v>1473</v>
      </c>
      <c r="B257" s="2" t="s">
        <v>1474</v>
      </c>
      <c r="C257" s="2" t="s">
        <v>25</v>
      </c>
      <c r="D257" s="2">
        <v>504</v>
      </c>
      <c r="E257" s="2">
        <v>502</v>
      </c>
      <c r="F257" s="2">
        <v>708</v>
      </c>
      <c r="G257" s="2">
        <v>810</v>
      </c>
      <c r="H257" s="2">
        <v>540</v>
      </c>
      <c r="I257" s="2">
        <v>659</v>
      </c>
      <c r="J257" s="2">
        <v>511</v>
      </c>
      <c r="K257" s="2">
        <v>622</v>
      </c>
      <c r="L257" s="2">
        <v>608</v>
      </c>
      <c r="M257" s="2">
        <v>938</v>
      </c>
      <c r="N257" s="2">
        <v>434</v>
      </c>
      <c r="O257" s="2">
        <v>425</v>
      </c>
      <c r="P257" s="2">
        <v>7261</v>
      </c>
      <c r="Q257" s="2">
        <v>50</v>
      </c>
      <c r="R257" s="2">
        <v>363050</v>
      </c>
      <c r="S257" s="4">
        <f>SUM($R$2:R257) / SUM($R:$R)</f>
        <v>0.94947055730088903</v>
      </c>
      <c r="T257" s="3" t="str">
        <f t="shared" si="18"/>
        <v>C</v>
      </c>
      <c r="U257" s="2">
        <f t="shared" si="19"/>
        <v>605.08333333333337</v>
      </c>
      <c r="V257" s="2">
        <f t="shared" si="20"/>
        <v>154.40469748702802</v>
      </c>
      <c r="W257" s="2">
        <f t="shared" si="21"/>
        <v>0.25517922735771054</v>
      </c>
      <c r="X257" s="2" t="str">
        <f t="shared" si="22"/>
        <v>Y</v>
      </c>
      <c r="Y257" s="2" t="str">
        <f t="shared" si="23"/>
        <v>CY</v>
      </c>
    </row>
    <row r="258" spans="1:25" x14ac:dyDescent="0.3">
      <c r="A258" s="2" t="s">
        <v>1991</v>
      </c>
      <c r="B258" s="2" t="s">
        <v>1992</v>
      </c>
      <c r="C258" s="2" t="s">
        <v>36</v>
      </c>
      <c r="D258" s="2">
        <v>268</v>
      </c>
      <c r="E258" s="2">
        <v>334</v>
      </c>
      <c r="F258" s="2">
        <v>315</v>
      </c>
      <c r="G258" s="2">
        <v>309</v>
      </c>
      <c r="H258" s="2">
        <v>296</v>
      </c>
      <c r="I258" s="2">
        <v>269</v>
      </c>
      <c r="J258" s="2">
        <v>313</v>
      </c>
      <c r="K258" s="2">
        <v>318</v>
      </c>
      <c r="L258" s="2">
        <v>310</v>
      </c>
      <c r="M258" s="2">
        <v>318</v>
      </c>
      <c r="N258" s="2">
        <v>282</v>
      </c>
      <c r="O258" s="2">
        <v>284</v>
      </c>
      <c r="P258" s="2">
        <v>3616</v>
      </c>
      <c r="Q258" s="2">
        <v>100</v>
      </c>
      <c r="R258" s="2">
        <v>361600</v>
      </c>
      <c r="S258" s="4">
        <f>SUM($R$2:R258) / SUM($R:$R)</f>
        <v>0.94980778016799405</v>
      </c>
      <c r="T258" s="3" t="str">
        <f t="shared" si="18"/>
        <v>C</v>
      </c>
      <c r="U258" s="2">
        <f t="shared" si="19"/>
        <v>301.33333333333331</v>
      </c>
      <c r="V258" s="2">
        <f t="shared" si="20"/>
        <v>21.188905044142725</v>
      </c>
      <c r="W258" s="2">
        <f t="shared" si="21"/>
        <v>7.0317162757110821E-2</v>
      </c>
      <c r="X258" s="2" t="str">
        <f t="shared" si="22"/>
        <v>X</v>
      </c>
      <c r="Y258" s="2" t="str">
        <f t="shared" si="23"/>
        <v>CX</v>
      </c>
    </row>
    <row r="259" spans="1:25" x14ac:dyDescent="0.3">
      <c r="A259" s="2" t="s">
        <v>149</v>
      </c>
      <c r="B259" s="2" t="s">
        <v>150</v>
      </c>
      <c r="C259" s="2" t="s">
        <v>41</v>
      </c>
      <c r="D259" s="2">
        <v>299</v>
      </c>
      <c r="E259" s="2">
        <v>281</v>
      </c>
      <c r="F259" s="2">
        <v>278</v>
      </c>
      <c r="G259" s="2">
        <v>344</v>
      </c>
      <c r="H259" s="2">
        <v>308</v>
      </c>
      <c r="I259" s="2">
        <v>281</v>
      </c>
      <c r="J259" s="2">
        <v>300</v>
      </c>
      <c r="K259" s="2">
        <v>309</v>
      </c>
      <c r="L259" s="2">
        <v>307</v>
      </c>
      <c r="M259" s="2">
        <v>307</v>
      </c>
      <c r="N259" s="2">
        <v>283</v>
      </c>
      <c r="O259" s="2">
        <v>283</v>
      </c>
      <c r="P259" s="2">
        <v>3580</v>
      </c>
      <c r="Q259" s="2">
        <v>100</v>
      </c>
      <c r="R259" s="2">
        <v>358000</v>
      </c>
      <c r="S259" s="4">
        <f>SUM($R$2:R259) / SUM($R:$R)</f>
        <v>0.9501416457277938</v>
      </c>
      <c r="T259" s="3" t="str">
        <f t="shared" ref="T259:T322" si="24">IF(S259&lt;=0.7, "A", IF(S259&lt;=0.9, "B", "C"))</f>
        <v>C</v>
      </c>
      <c r="U259" s="2">
        <f t="shared" ref="U259:U322" si="25">AVERAGE(D259:O259)</f>
        <v>298.33333333333331</v>
      </c>
      <c r="V259" s="2">
        <f t="shared" ref="V259:V322" si="26">_xlfn.STDEV.S(D259:O259)</f>
        <v>18.903262505010431</v>
      </c>
      <c r="W259" s="2">
        <f t="shared" ref="W259:W322" si="27">IF(U259=0,0,V259/U259)</f>
        <v>6.336289107824726E-2</v>
      </c>
      <c r="X259" s="2" t="str">
        <f t="shared" ref="X259:X322" si="28">(IF(W259&lt;=0.2, "X", IF(W259&lt;=0.5, "Y", "Z")))</f>
        <v>X</v>
      </c>
      <c r="Y259" s="2" t="str">
        <f t="shared" ref="Y259:Y322" si="29">T259&amp;X259</f>
        <v>CX</v>
      </c>
    </row>
    <row r="260" spans="1:25" x14ac:dyDescent="0.3">
      <c r="A260" s="2" t="s">
        <v>1219</v>
      </c>
      <c r="B260" s="2" t="s">
        <v>1220</v>
      </c>
      <c r="C260" s="2" t="s">
        <v>20</v>
      </c>
      <c r="D260" s="2">
        <v>2972</v>
      </c>
      <c r="E260" s="2">
        <v>2928</v>
      </c>
      <c r="F260" s="2">
        <v>2625</v>
      </c>
      <c r="G260" s="2">
        <v>2951</v>
      </c>
      <c r="H260" s="2">
        <v>2991</v>
      </c>
      <c r="I260" s="2">
        <v>2655</v>
      </c>
      <c r="J260" s="2">
        <v>2600</v>
      </c>
      <c r="K260" s="2">
        <v>3055</v>
      </c>
      <c r="L260" s="2">
        <v>3322</v>
      </c>
      <c r="M260" s="2">
        <v>3350</v>
      </c>
      <c r="N260" s="2">
        <v>3027</v>
      </c>
      <c r="O260" s="2">
        <v>2975</v>
      </c>
      <c r="P260" s="2">
        <v>35451</v>
      </c>
      <c r="Q260" s="2">
        <v>10</v>
      </c>
      <c r="R260" s="2">
        <v>354510</v>
      </c>
      <c r="S260" s="4">
        <f>SUM($R$2:R260) / SUM($R:$R)</f>
        <v>0.95047225656467815</v>
      </c>
      <c r="T260" s="3" t="str">
        <f t="shared" si="24"/>
        <v>C</v>
      </c>
      <c r="U260" s="2">
        <f t="shared" si="25"/>
        <v>2954.25</v>
      </c>
      <c r="V260" s="2">
        <f t="shared" si="26"/>
        <v>239.9898198598508</v>
      </c>
      <c r="W260" s="2">
        <f t="shared" si="27"/>
        <v>8.1235447189591539E-2</v>
      </c>
      <c r="X260" s="2" t="str">
        <f t="shared" si="28"/>
        <v>X</v>
      </c>
      <c r="Y260" s="2" t="str">
        <f t="shared" si="29"/>
        <v>CX</v>
      </c>
    </row>
    <row r="261" spans="1:25" x14ac:dyDescent="0.3">
      <c r="A261" s="2" t="s">
        <v>1291</v>
      </c>
      <c r="B261" s="2" t="s">
        <v>1292</v>
      </c>
      <c r="C261" s="2" t="s">
        <v>20</v>
      </c>
      <c r="D261" s="2">
        <v>2813</v>
      </c>
      <c r="E261" s="2">
        <v>3238</v>
      </c>
      <c r="F261" s="2">
        <v>3151</v>
      </c>
      <c r="G261" s="2">
        <v>2828</v>
      </c>
      <c r="H261" s="2">
        <v>2746</v>
      </c>
      <c r="I261" s="2">
        <v>2848</v>
      </c>
      <c r="J261" s="2">
        <v>2632</v>
      </c>
      <c r="K261" s="2">
        <v>2622</v>
      </c>
      <c r="L261" s="2">
        <v>2829</v>
      </c>
      <c r="M261" s="2">
        <v>2951</v>
      </c>
      <c r="N261" s="2">
        <v>2935</v>
      </c>
      <c r="O261" s="2">
        <v>3419</v>
      </c>
      <c r="P261" s="2">
        <v>35012</v>
      </c>
      <c r="Q261" s="2">
        <v>10</v>
      </c>
      <c r="R261" s="2">
        <v>350120</v>
      </c>
      <c r="S261" s="4">
        <f>SUM($R$2:R261) / SUM($R:$R)</f>
        <v>0.95079877335182095</v>
      </c>
      <c r="T261" s="3" t="str">
        <f t="shared" si="24"/>
        <v>C</v>
      </c>
      <c r="U261" s="2">
        <f t="shared" si="25"/>
        <v>2917.6666666666665</v>
      </c>
      <c r="V261" s="2">
        <f t="shared" si="26"/>
        <v>241.2107088431317</v>
      </c>
      <c r="W261" s="2">
        <f t="shared" si="27"/>
        <v>8.2672469613777583E-2</v>
      </c>
      <c r="X261" s="2" t="str">
        <f t="shared" si="28"/>
        <v>X</v>
      </c>
      <c r="Y261" s="2" t="str">
        <f t="shared" si="29"/>
        <v>CX</v>
      </c>
    </row>
    <row r="262" spans="1:25" x14ac:dyDescent="0.3">
      <c r="A262" s="2" t="s">
        <v>881</v>
      </c>
      <c r="B262" s="2" t="s">
        <v>882</v>
      </c>
      <c r="C262" s="2" t="s">
        <v>20</v>
      </c>
      <c r="D262" s="2">
        <v>2996</v>
      </c>
      <c r="E262" s="2">
        <v>3251</v>
      </c>
      <c r="F262" s="2">
        <v>2881</v>
      </c>
      <c r="G262" s="2">
        <v>3123</v>
      </c>
      <c r="H262" s="2">
        <v>2765</v>
      </c>
      <c r="I262" s="2">
        <v>2672</v>
      </c>
      <c r="J262" s="2">
        <v>2752</v>
      </c>
      <c r="K262" s="2">
        <v>2916</v>
      </c>
      <c r="L262" s="2">
        <v>2481</v>
      </c>
      <c r="M262" s="2">
        <v>2959</v>
      </c>
      <c r="N262" s="2">
        <v>3098</v>
      </c>
      <c r="O262" s="2">
        <v>3098</v>
      </c>
      <c r="P262" s="2">
        <v>34992</v>
      </c>
      <c r="Q262" s="2">
        <v>10</v>
      </c>
      <c r="R262" s="2">
        <v>349920</v>
      </c>
      <c r="S262" s="4">
        <f>SUM($R$2:R262) / SUM($R:$R)</f>
        <v>0.95112510362189107</v>
      </c>
      <c r="T262" s="3" t="str">
        <f t="shared" si="24"/>
        <v>C</v>
      </c>
      <c r="U262" s="2">
        <f t="shared" si="25"/>
        <v>2916</v>
      </c>
      <c r="V262" s="2">
        <f t="shared" si="26"/>
        <v>219.34903692517094</v>
      </c>
      <c r="W262" s="2">
        <f t="shared" si="27"/>
        <v>7.5222577820703337E-2</v>
      </c>
      <c r="X262" s="2" t="str">
        <f t="shared" si="28"/>
        <v>X</v>
      </c>
      <c r="Y262" s="2" t="str">
        <f t="shared" si="29"/>
        <v>CX</v>
      </c>
    </row>
    <row r="263" spans="1:25" x14ac:dyDescent="0.3">
      <c r="A263" s="2" t="s">
        <v>311</v>
      </c>
      <c r="B263" s="2" t="s">
        <v>312</v>
      </c>
      <c r="C263" s="2" t="s">
        <v>20</v>
      </c>
      <c r="D263" s="2">
        <v>2684</v>
      </c>
      <c r="E263" s="2">
        <v>3070</v>
      </c>
      <c r="F263" s="2">
        <v>2806</v>
      </c>
      <c r="G263" s="2">
        <v>2987</v>
      </c>
      <c r="H263" s="2">
        <v>2678</v>
      </c>
      <c r="I263" s="2">
        <v>3099</v>
      </c>
      <c r="J263" s="2">
        <v>2892</v>
      </c>
      <c r="K263" s="2">
        <v>2834</v>
      </c>
      <c r="L263" s="2">
        <v>2920</v>
      </c>
      <c r="M263" s="2">
        <v>2855</v>
      </c>
      <c r="N263" s="2">
        <v>2863</v>
      </c>
      <c r="O263" s="2">
        <v>3263</v>
      </c>
      <c r="P263" s="2">
        <v>34951</v>
      </c>
      <c r="Q263" s="2">
        <v>10</v>
      </c>
      <c r="R263" s="2">
        <v>349510</v>
      </c>
      <c r="S263" s="4">
        <f>SUM($R$2:R263) / SUM($R:$R)</f>
        <v>0.95145105153196263</v>
      </c>
      <c r="T263" s="3" t="str">
        <f t="shared" si="24"/>
        <v>C</v>
      </c>
      <c r="U263" s="2">
        <f t="shared" si="25"/>
        <v>2912.5833333333335</v>
      </c>
      <c r="V263" s="2">
        <f t="shared" si="26"/>
        <v>170.27488916099131</v>
      </c>
      <c r="W263" s="2">
        <f t="shared" si="27"/>
        <v>5.8461808529996155E-2</v>
      </c>
      <c r="X263" s="2" t="str">
        <f t="shared" si="28"/>
        <v>X</v>
      </c>
      <c r="Y263" s="2" t="str">
        <f t="shared" si="29"/>
        <v>CX</v>
      </c>
    </row>
    <row r="264" spans="1:25" x14ac:dyDescent="0.3">
      <c r="A264" s="2" t="s">
        <v>1539</v>
      </c>
      <c r="B264" s="2" t="s">
        <v>1540</v>
      </c>
      <c r="C264" s="2" t="s">
        <v>20</v>
      </c>
      <c r="D264" s="2">
        <v>3053</v>
      </c>
      <c r="E264" s="2">
        <v>3104</v>
      </c>
      <c r="F264" s="2">
        <v>2980</v>
      </c>
      <c r="G264" s="2">
        <v>2803</v>
      </c>
      <c r="H264" s="2">
        <v>2958</v>
      </c>
      <c r="I264" s="2">
        <v>2984</v>
      </c>
      <c r="J264" s="2">
        <v>2833</v>
      </c>
      <c r="K264" s="2">
        <v>2558</v>
      </c>
      <c r="L264" s="2">
        <v>2665</v>
      </c>
      <c r="M264" s="2">
        <v>2770</v>
      </c>
      <c r="N264" s="2">
        <v>2703</v>
      </c>
      <c r="O264" s="2">
        <v>3148</v>
      </c>
      <c r="P264" s="2">
        <v>34559</v>
      </c>
      <c r="Q264" s="2">
        <v>10</v>
      </c>
      <c r="R264" s="2">
        <v>345590</v>
      </c>
      <c r="S264" s="4">
        <f>SUM($R$2:R264) / SUM($R:$R)</f>
        <v>0.95177334370741296</v>
      </c>
      <c r="T264" s="3" t="str">
        <f t="shared" si="24"/>
        <v>C</v>
      </c>
      <c r="U264" s="2">
        <f t="shared" si="25"/>
        <v>2879.9166666666665</v>
      </c>
      <c r="V264" s="2">
        <f t="shared" si="26"/>
        <v>185.93863031232709</v>
      </c>
      <c r="W264" s="2">
        <f t="shared" si="27"/>
        <v>6.4563892582190613E-2</v>
      </c>
      <c r="X264" s="2" t="str">
        <f t="shared" si="28"/>
        <v>X</v>
      </c>
      <c r="Y264" s="2" t="str">
        <f t="shared" si="29"/>
        <v>CX</v>
      </c>
    </row>
    <row r="265" spans="1:25" x14ac:dyDescent="0.3">
      <c r="A265" s="2" t="s">
        <v>1293</v>
      </c>
      <c r="B265" s="2" t="s">
        <v>1294</v>
      </c>
      <c r="C265" s="2" t="s">
        <v>20</v>
      </c>
      <c r="D265" s="2">
        <v>2735</v>
      </c>
      <c r="E265" s="2">
        <v>2613</v>
      </c>
      <c r="F265" s="2">
        <v>3102</v>
      </c>
      <c r="G265" s="2">
        <v>2815</v>
      </c>
      <c r="H265" s="2">
        <v>2949</v>
      </c>
      <c r="I265" s="2">
        <v>2880</v>
      </c>
      <c r="J265" s="2">
        <v>2910</v>
      </c>
      <c r="K265" s="2">
        <v>2864</v>
      </c>
      <c r="L265" s="2">
        <v>2803</v>
      </c>
      <c r="M265" s="2">
        <v>3043</v>
      </c>
      <c r="N265" s="2">
        <v>3110</v>
      </c>
      <c r="O265" s="2">
        <v>2676</v>
      </c>
      <c r="P265" s="2">
        <v>34500</v>
      </c>
      <c r="Q265" s="2">
        <v>10</v>
      </c>
      <c r="R265" s="2">
        <v>345000</v>
      </c>
      <c r="S265" s="4">
        <f>SUM($R$2:R265) / SUM($R:$R)</f>
        <v>0.95209508565749923</v>
      </c>
      <c r="T265" s="3" t="str">
        <f t="shared" si="24"/>
        <v>C</v>
      </c>
      <c r="U265" s="2">
        <f t="shared" si="25"/>
        <v>2875</v>
      </c>
      <c r="V265" s="2">
        <f t="shared" si="26"/>
        <v>159.10373974234545</v>
      </c>
      <c r="W265" s="2">
        <f t="shared" si="27"/>
        <v>5.5340431214728855E-2</v>
      </c>
      <c r="X265" s="2" t="str">
        <f t="shared" si="28"/>
        <v>X</v>
      </c>
      <c r="Y265" s="2" t="str">
        <f t="shared" si="29"/>
        <v>CX</v>
      </c>
    </row>
    <row r="266" spans="1:25" x14ac:dyDescent="0.3">
      <c r="A266" s="2" t="s">
        <v>1883</v>
      </c>
      <c r="B266" s="2" t="s">
        <v>1884</v>
      </c>
      <c r="C266" s="2" t="s">
        <v>20</v>
      </c>
      <c r="D266" s="2">
        <v>2486</v>
      </c>
      <c r="E266" s="2">
        <v>2801</v>
      </c>
      <c r="F266" s="2">
        <v>3056</v>
      </c>
      <c r="G266" s="2">
        <v>2539</v>
      </c>
      <c r="H266" s="2">
        <v>2565</v>
      </c>
      <c r="I266" s="2">
        <v>3226</v>
      </c>
      <c r="J266" s="2">
        <v>3046</v>
      </c>
      <c r="K266" s="2">
        <v>2852</v>
      </c>
      <c r="L266" s="2">
        <v>2991</v>
      </c>
      <c r="M266" s="2">
        <v>2882</v>
      </c>
      <c r="N266" s="2">
        <v>2687</v>
      </c>
      <c r="O266" s="2">
        <v>3206</v>
      </c>
      <c r="P266" s="2">
        <v>34337</v>
      </c>
      <c r="Q266" s="2">
        <v>10</v>
      </c>
      <c r="R266" s="2">
        <v>343370</v>
      </c>
      <c r="S266" s="4">
        <f>SUM($R$2:R266) / SUM($R:$R)</f>
        <v>0.95241530749344461</v>
      </c>
      <c r="T266" s="3" t="str">
        <f t="shared" si="24"/>
        <v>C</v>
      </c>
      <c r="U266" s="2">
        <f t="shared" si="25"/>
        <v>2861.4166666666665</v>
      </c>
      <c r="V266" s="2">
        <f t="shared" si="26"/>
        <v>253.6498869534839</v>
      </c>
      <c r="W266" s="2">
        <f t="shared" si="27"/>
        <v>8.8644862493572729E-2</v>
      </c>
      <c r="X266" s="2" t="str">
        <f t="shared" si="28"/>
        <v>X</v>
      </c>
      <c r="Y266" s="2" t="str">
        <f t="shared" si="29"/>
        <v>CX</v>
      </c>
    </row>
    <row r="267" spans="1:25" x14ac:dyDescent="0.3">
      <c r="A267" s="2" t="s">
        <v>1617</v>
      </c>
      <c r="B267" s="2" t="s">
        <v>1618</v>
      </c>
      <c r="C267" s="2" t="s">
        <v>20</v>
      </c>
      <c r="D267" s="2">
        <v>2910</v>
      </c>
      <c r="E267" s="2">
        <v>2682</v>
      </c>
      <c r="F267" s="2">
        <v>2957</v>
      </c>
      <c r="G267" s="2">
        <v>2907</v>
      </c>
      <c r="H267" s="2">
        <v>2629</v>
      </c>
      <c r="I267" s="2">
        <v>2894</v>
      </c>
      <c r="J267" s="2">
        <v>3079</v>
      </c>
      <c r="K267" s="2">
        <v>2823</v>
      </c>
      <c r="L267" s="2">
        <v>2570</v>
      </c>
      <c r="M267" s="2">
        <v>2754</v>
      </c>
      <c r="N267" s="2">
        <v>3187</v>
      </c>
      <c r="O267" s="2">
        <v>2881</v>
      </c>
      <c r="P267" s="2">
        <v>34273</v>
      </c>
      <c r="Q267" s="2">
        <v>10</v>
      </c>
      <c r="R267" s="2">
        <v>342730</v>
      </c>
      <c r="S267" s="4">
        <f>SUM($R$2:R267) / SUM($R:$R)</f>
        <v>0.95273493247475793</v>
      </c>
      <c r="T267" s="3" t="str">
        <f t="shared" si="24"/>
        <v>C</v>
      </c>
      <c r="U267" s="2">
        <f t="shared" si="25"/>
        <v>2856.0833333333335</v>
      </c>
      <c r="V267" s="2">
        <f t="shared" si="26"/>
        <v>178.92886262084124</v>
      </c>
      <c r="W267" s="2">
        <f t="shared" si="27"/>
        <v>6.2648334007822326E-2</v>
      </c>
      <c r="X267" s="2" t="str">
        <f t="shared" si="28"/>
        <v>X</v>
      </c>
      <c r="Y267" s="2" t="str">
        <f t="shared" si="29"/>
        <v>CX</v>
      </c>
    </row>
    <row r="268" spans="1:25" x14ac:dyDescent="0.3">
      <c r="A268" s="2" t="s">
        <v>1701</v>
      </c>
      <c r="B268" s="2" t="s">
        <v>1702</v>
      </c>
      <c r="C268" s="2" t="s">
        <v>25</v>
      </c>
      <c r="D268" s="2">
        <v>286</v>
      </c>
      <c r="E268" s="2">
        <v>689</v>
      </c>
      <c r="F268" s="2">
        <v>314</v>
      </c>
      <c r="G268" s="2">
        <v>776</v>
      </c>
      <c r="H268" s="2">
        <v>863</v>
      </c>
      <c r="I268" s="2">
        <v>837</v>
      </c>
      <c r="J268" s="2">
        <v>554</v>
      </c>
      <c r="K268" s="2">
        <v>298</v>
      </c>
      <c r="L268" s="2">
        <v>330</v>
      </c>
      <c r="M268" s="2">
        <v>489</v>
      </c>
      <c r="N268" s="2">
        <v>521</v>
      </c>
      <c r="O268" s="2">
        <v>881</v>
      </c>
      <c r="P268" s="2">
        <v>6838</v>
      </c>
      <c r="Q268" s="2">
        <v>50</v>
      </c>
      <c r="R268" s="2">
        <v>341900</v>
      </c>
      <c r="S268" s="4">
        <f>SUM($R$2:R268) / SUM($R:$R)</f>
        <v>0.95305378341022029</v>
      </c>
      <c r="T268" s="3" t="str">
        <f t="shared" si="24"/>
        <v>C</v>
      </c>
      <c r="U268" s="2">
        <f t="shared" si="25"/>
        <v>569.83333333333337</v>
      </c>
      <c r="V268" s="2">
        <f t="shared" si="26"/>
        <v>233.05279672341641</v>
      </c>
      <c r="W268" s="2">
        <f t="shared" si="27"/>
        <v>0.40898414166145025</v>
      </c>
      <c r="X268" s="2" t="str">
        <f t="shared" si="28"/>
        <v>Y</v>
      </c>
      <c r="Y268" s="2" t="str">
        <f t="shared" si="29"/>
        <v>CY</v>
      </c>
    </row>
    <row r="269" spans="1:25" x14ac:dyDescent="0.3">
      <c r="A269" s="2" t="s">
        <v>807</v>
      </c>
      <c r="B269" s="2" t="s">
        <v>808</v>
      </c>
      <c r="C269" s="2" t="s">
        <v>25</v>
      </c>
      <c r="D269" s="2">
        <v>275</v>
      </c>
      <c r="E269" s="2">
        <v>758</v>
      </c>
      <c r="F269" s="2">
        <v>553</v>
      </c>
      <c r="G269" s="2">
        <v>225</v>
      </c>
      <c r="H269" s="2">
        <v>531</v>
      </c>
      <c r="I269" s="2">
        <v>708</v>
      </c>
      <c r="J269" s="2">
        <v>727</v>
      </c>
      <c r="K269" s="2">
        <v>385</v>
      </c>
      <c r="L269" s="2">
        <v>438</v>
      </c>
      <c r="M269" s="2">
        <v>803</v>
      </c>
      <c r="N269" s="2">
        <v>742</v>
      </c>
      <c r="O269" s="2">
        <v>675</v>
      </c>
      <c r="P269" s="2">
        <v>6820</v>
      </c>
      <c r="Q269" s="2">
        <v>50</v>
      </c>
      <c r="R269" s="2">
        <v>341000</v>
      </c>
      <c r="S269" s="4">
        <f>SUM($R$2:R269) / SUM($R:$R)</f>
        <v>0.95337179501885638</v>
      </c>
      <c r="T269" s="3" t="str">
        <f t="shared" si="24"/>
        <v>C</v>
      </c>
      <c r="U269" s="2">
        <f t="shared" si="25"/>
        <v>568.33333333333337</v>
      </c>
      <c r="V269" s="2">
        <f t="shared" si="26"/>
        <v>198.49677502914167</v>
      </c>
      <c r="W269" s="2">
        <f t="shared" si="27"/>
        <v>0.34926118773456011</v>
      </c>
      <c r="X269" s="2" t="str">
        <f t="shared" si="28"/>
        <v>Y</v>
      </c>
      <c r="Y269" s="2" t="str">
        <f t="shared" si="29"/>
        <v>CY</v>
      </c>
    </row>
    <row r="270" spans="1:25" x14ac:dyDescent="0.3">
      <c r="A270" s="2" t="s">
        <v>1895</v>
      </c>
      <c r="B270" s="2" t="s">
        <v>1896</v>
      </c>
      <c r="C270" s="2" t="s">
        <v>20</v>
      </c>
      <c r="D270" s="2">
        <v>2742</v>
      </c>
      <c r="E270" s="2">
        <v>2514</v>
      </c>
      <c r="F270" s="2">
        <v>2799</v>
      </c>
      <c r="G270" s="2">
        <v>2984</v>
      </c>
      <c r="H270" s="2">
        <v>2979</v>
      </c>
      <c r="I270" s="2">
        <v>3137</v>
      </c>
      <c r="J270" s="2">
        <v>2794</v>
      </c>
      <c r="K270" s="2">
        <v>2898</v>
      </c>
      <c r="L270" s="2">
        <v>2842</v>
      </c>
      <c r="M270" s="2">
        <v>2885</v>
      </c>
      <c r="N270" s="2">
        <v>2787</v>
      </c>
      <c r="O270" s="2">
        <v>2181</v>
      </c>
      <c r="P270" s="2">
        <v>33542</v>
      </c>
      <c r="Q270" s="2">
        <v>10</v>
      </c>
      <c r="R270" s="2">
        <v>335420</v>
      </c>
      <c r="S270" s="4">
        <f>SUM($R$2:R270) / SUM($R:$R)</f>
        <v>0.9536846028011694</v>
      </c>
      <c r="T270" s="3" t="str">
        <f t="shared" si="24"/>
        <v>C</v>
      </c>
      <c r="U270" s="2">
        <f t="shared" si="25"/>
        <v>2795.1666666666665</v>
      </c>
      <c r="V270" s="2">
        <f t="shared" si="26"/>
        <v>246.11631889056531</v>
      </c>
      <c r="W270" s="2">
        <f t="shared" si="27"/>
        <v>8.8050677559083648E-2</v>
      </c>
      <c r="X270" s="2" t="str">
        <f t="shared" si="28"/>
        <v>X</v>
      </c>
      <c r="Y270" s="2" t="str">
        <f t="shared" si="29"/>
        <v>CX</v>
      </c>
    </row>
    <row r="271" spans="1:25" x14ac:dyDescent="0.3">
      <c r="A271" s="2" t="s">
        <v>211</v>
      </c>
      <c r="B271" s="2" t="s">
        <v>212</v>
      </c>
      <c r="C271" s="2" t="s">
        <v>20</v>
      </c>
      <c r="D271" s="2">
        <v>2685</v>
      </c>
      <c r="E271" s="2">
        <v>2636</v>
      </c>
      <c r="F271" s="2">
        <v>2428</v>
      </c>
      <c r="G271" s="2">
        <v>2648</v>
      </c>
      <c r="H271" s="2">
        <v>2897</v>
      </c>
      <c r="I271" s="2">
        <v>2651</v>
      </c>
      <c r="J271" s="2">
        <v>2794</v>
      </c>
      <c r="K271" s="2">
        <v>2928</v>
      </c>
      <c r="L271" s="2">
        <v>2791</v>
      </c>
      <c r="M271" s="2">
        <v>2813</v>
      </c>
      <c r="N271" s="2">
        <v>2585</v>
      </c>
      <c r="O271" s="2">
        <v>2680</v>
      </c>
      <c r="P271" s="2">
        <v>32536</v>
      </c>
      <c r="Q271" s="2">
        <v>10</v>
      </c>
      <c r="R271" s="2">
        <v>325360</v>
      </c>
      <c r="S271" s="4">
        <f>SUM($R$2:R271) / SUM($R:$R)</f>
        <v>0.95398802877473488</v>
      </c>
      <c r="T271" s="3" t="str">
        <f t="shared" si="24"/>
        <v>C</v>
      </c>
      <c r="U271" s="2">
        <f t="shared" si="25"/>
        <v>2711.3333333333335</v>
      </c>
      <c r="V271" s="2">
        <f t="shared" si="26"/>
        <v>140.18580743449249</v>
      </c>
      <c r="W271" s="2">
        <f t="shared" si="27"/>
        <v>5.1703641787985914E-2</v>
      </c>
      <c r="X271" s="2" t="str">
        <f t="shared" si="28"/>
        <v>X</v>
      </c>
      <c r="Y271" s="2" t="str">
        <f t="shared" si="29"/>
        <v>CX</v>
      </c>
    </row>
    <row r="272" spans="1:25" x14ac:dyDescent="0.3">
      <c r="A272" s="2" t="s">
        <v>1485</v>
      </c>
      <c r="B272" s="2" t="s">
        <v>1486</v>
      </c>
      <c r="C272" s="2" t="s">
        <v>20</v>
      </c>
      <c r="D272" s="2">
        <v>2724</v>
      </c>
      <c r="E272" s="2">
        <v>2685</v>
      </c>
      <c r="F272" s="2">
        <v>2671</v>
      </c>
      <c r="G272" s="2">
        <v>2704</v>
      </c>
      <c r="H272" s="2">
        <v>2799</v>
      </c>
      <c r="I272" s="2">
        <v>2603</v>
      </c>
      <c r="J272" s="2">
        <v>2907</v>
      </c>
      <c r="K272" s="2">
        <v>2573</v>
      </c>
      <c r="L272" s="2">
        <v>2863</v>
      </c>
      <c r="M272" s="2">
        <v>2311</v>
      </c>
      <c r="N272" s="2">
        <v>2939</v>
      </c>
      <c r="O272" s="2">
        <v>2692</v>
      </c>
      <c r="P272" s="2">
        <v>32471</v>
      </c>
      <c r="Q272" s="2">
        <v>10</v>
      </c>
      <c r="R272" s="2">
        <v>324710</v>
      </c>
      <c r="S272" s="4">
        <f>SUM($R$2:R272) / SUM($R:$R)</f>
        <v>0.95429084856781465</v>
      </c>
      <c r="T272" s="3" t="str">
        <f t="shared" si="24"/>
        <v>C</v>
      </c>
      <c r="U272" s="2">
        <f t="shared" si="25"/>
        <v>2705.9166666666665</v>
      </c>
      <c r="V272" s="2">
        <f t="shared" si="26"/>
        <v>169.08871169963544</v>
      </c>
      <c r="W272" s="2">
        <f t="shared" si="27"/>
        <v>6.2488514070882489E-2</v>
      </c>
      <c r="X272" s="2" t="str">
        <f t="shared" si="28"/>
        <v>X</v>
      </c>
      <c r="Y272" s="2" t="str">
        <f t="shared" si="29"/>
        <v>CX</v>
      </c>
    </row>
    <row r="273" spans="1:25" x14ac:dyDescent="0.3">
      <c r="A273" s="2" t="s">
        <v>1583</v>
      </c>
      <c r="B273" s="2" t="s">
        <v>1584</v>
      </c>
      <c r="C273" s="2" t="s">
        <v>20</v>
      </c>
      <c r="D273" s="2">
        <v>2692</v>
      </c>
      <c r="E273" s="2">
        <v>2867</v>
      </c>
      <c r="F273" s="2">
        <v>2511</v>
      </c>
      <c r="G273" s="2">
        <v>2751</v>
      </c>
      <c r="H273" s="2">
        <v>2699</v>
      </c>
      <c r="I273" s="2">
        <v>2443</v>
      </c>
      <c r="J273" s="2">
        <v>2755</v>
      </c>
      <c r="K273" s="2">
        <v>2562</v>
      </c>
      <c r="L273" s="2">
        <v>2777</v>
      </c>
      <c r="M273" s="2">
        <v>2729</v>
      </c>
      <c r="N273" s="2">
        <v>2930</v>
      </c>
      <c r="O273" s="2">
        <v>2547</v>
      </c>
      <c r="P273" s="2">
        <v>32263</v>
      </c>
      <c r="Q273" s="2">
        <v>10</v>
      </c>
      <c r="R273" s="2">
        <v>322630</v>
      </c>
      <c r="S273" s="4">
        <f>SUM($R$2:R273) / SUM($R:$R)</f>
        <v>0.9545917285833404</v>
      </c>
      <c r="T273" s="3" t="str">
        <f t="shared" si="24"/>
        <v>C</v>
      </c>
      <c r="U273" s="2">
        <f t="shared" si="25"/>
        <v>2688.5833333333335</v>
      </c>
      <c r="V273" s="2">
        <f t="shared" si="26"/>
        <v>146.44543404119895</v>
      </c>
      <c r="W273" s="2">
        <f t="shared" si="27"/>
        <v>5.4469367650075547E-2</v>
      </c>
      <c r="X273" s="2" t="str">
        <f t="shared" si="28"/>
        <v>X</v>
      </c>
      <c r="Y273" s="2" t="str">
        <f t="shared" si="29"/>
        <v>CX</v>
      </c>
    </row>
    <row r="274" spans="1:25" x14ac:dyDescent="0.3">
      <c r="A274" s="2" t="s">
        <v>1303</v>
      </c>
      <c r="B274" s="2" t="s">
        <v>1304</v>
      </c>
      <c r="C274" s="2" t="s">
        <v>20</v>
      </c>
      <c r="D274" s="2">
        <v>2623</v>
      </c>
      <c r="E274" s="2">
        <v>2664</v>
      </c>
      <c r="F274" s="2">
        <v>2541</v>
      </c>
      <c r="G274" s="2">
        <v>2803</v>
      </c>
      <c r="H274" s="2">
        <v>2858</v>
      </c>
      <c r="I274" s="2">
        <v>2579</v>
      </c>
      <c r="J274" s="2">
        <v>2727</v>
      </c>
      <c r="K274" s="2">
        <v>2402</v>
      </c>
      <c r="L274" s="2">
        <v>2482</v>
      </c>
      <c r="M274" s="2">
        <v>2805</v>
      </c>
      <c r="N274" s="2">
        <v>2768</v>
      </c>
      <c r="O274" s="2">
        <v>2741</v>
      </c>
      <c r="P274" s="2">
        <v>31993</v>
      </c>
      <c r="Q274" s="2">
        <v>10</v>
      </c>
      <c r="R274" s="2">
        <v>319930</v>
      </c>
      <c r="S274" s="4">
        <f>SUM($R$2:R274) / SUM($R:$R)</f>
        <v>0.95489009061838714</v>
      </c>
      <c r="T274" s="3" t="str">
        <f t="shared" si="24"/>
        <v>C</v>
      </c>
      <c r="U274" s="2">
        <f t="shared" si="25"/>
        <v>2666.0833333333335</v>
      </c>
      <c r="V274" s="2">
        <f t="shared" si="26"/>
        <v>142.47899898411399</v>
      </c>
      <c r="W274" s="2">
        <f t="shared" si="27"/>
        <v>5.3441314906678576E-2</v>
      </c>
      <c r="X274" s="2" t="str">
        <f t="shared" si="28"/>
        <v>X</v>
      </c>
      <c r="Y274" s="2" t="str">
        <f t="shared" si="29"/>
        <v>CX</v>
      </c>
    </row>
    <row r="275" spans="1:25" x14ac:dyDescent="0.3">
      <c r="A275" s="2" t="s">
        <v>147</v>
      </c>
      <c r="B275" s="2" t="s">
        <v>148</v>
      </c>
      <c r="C275" s="2" t="s">
        <v>41</v>
      </c>
      <c r="D275" s="2">
        <v>260</v>
      </c>
      <c r="E275" s="2">
        <v>278</v>
      </c>
      <c r="F275" s="2">
        <v>254</v>
      </c>
      <c r="G275" s="2">
        <v>263</v>
      </c>
      <c r="H275" s="2">
        <v>280</v>
      </c>
      <c r="I275" s="2">
        <v>283</v>
      </c>
      <c r="J275" s="2">
        <v>268</v>
      </c>
      <c r="K275" s="2">
        <v>283</v>
      </c>
      <c r="L275" s="2">
        <v>254</v>
      </c>
      <c r="M275" s="2">
        <v>245</v>
      </c>
      <c r="N275" s="2">
        <v>261</v>
      </c>
      <c r="O275" s="2">
        <v>241</v>
      </c>
      <c r="P275" s="2">
        <v>3170</v>
      </c>
      <c r="Q275" s="2">
        <v>100</v>
      </c>
      <c r="R275" s="2">
        <v>317000</v>
      </c>
      <c r="S275" s="4">
        <f>SUM($R$2:R275) / SUM($R:$R)</f>
        <v>0.95518572017832148</v>
      </c>
      <c r="T275" s="3" t="str">
        <f t="shared" si="24"/>
        <v>C</v>
      </c>
      <c r="U275" s="2">
        <f t="shared" si="25"/>
        <v>264.16666666666669</v>
      </c>
      <c r="V275" s="2">
        <f t="shared" si="26"/>
        <v>14.477778165383686</v>
      </c>
      <c r="W275" s="2">
        <f t="shared" si="27"/>
        <v>5.4805469395774201E-2</v>
      </c>
      <c r="X275" s="2" t="str">
        <f t="shared" si="28"/>
        <v>X</v>
      </c>
      <c r="Y275" s="2" t="str">
        <f t="shared" si="29"/>
        <v>CX</v>
      </c>
    </row>
    <row r="276" spans="1:25" x14ac:dyDescent="0.3">
      <c r="A276" s="2" t="s">
        <v>1213</v>
      </c>
      <c r="B276" s="2" t="s">
        <v>1214</v>
      </c>
      <c r="C276" s="2" t="s">
        <v>20</v>
      </c>
      <c r="D276" s="2">
        <v>2197</v>
      </c>
      <c r="E276" s="2">
        <v>2634</v>
      </c>
      <c r="F276" s="2">
        <v>2792</v>
      </c>
      <c r="G276" s="2">
        <v>2656</v>
      </c>
      <c r="H276" s="2">
        <v>2448</v>
      </c>
      <c r="I276" s="2">
        <v>2433</v>
      </c>
      <c r="J276" s="2">
        <v>2633</v>
      </c>
      <c r="K276" s="2">
        <v>2587</v>
      </c>
      <c r="L276" s="2">
        <v>2753</v>
      </c>
      <c r="M276" s="2">
        <v>2581</v>
      </c>
      <c r="N276" s="2">
        <v>2717</v>
      </c>
      <c r="O276" s="2">
        <v>2779</v>
      </c>
      <c r="P276" s="2">
        <v>31210</v>
      </c>
      <c r="Q276" s="2">
        <v>10</v>
      </c>
      <c r="R276" s="2">
        <v>312100</v>
      </c>
      <c r="S276" s="4">
        <f>SUM($R$2:R276) / SUM($R:$R)</f>
        <v>0.95547678006997938</v>
      </c>
      <c r="T276" s="3" t="str">
        <f t="shared" si="24"/>
        <v>C</v>
      </c>
      <c r="U276" s="2">
        <f t="shared" si="25"/>
        <v>2600.8333333333335</v>
      </c>
      <c r="V276" s="2">
        <f t="shared" si="26"/>
        <v>171.96925377062101</v>
      </c>
      <c r="W276" s="2">
        <f t="shared" si="27"/>
        <v>6.6120828107896573E-2</v>
      </c>
      <c r="X276" s="2" t="str">
        <f t="shared" si="28"/>
        <v>X</v>
      </c>
      <c r="Y276" s="2" t="str">
        <f t="shared" si="29"/>
        <v>CX</v>
      </c>
    </row>
    <row r="277" spans="1:25" x14ac:dyDescent="0.3">
      <c r="A277" s="2" t="s">
        <v>1373</v>
      </c>
      <c r="B277" s="2" t="s">
        <v>1374</v>
      </c>
      <c r="C277" s="2" t="s">
        <v>20</v>
      </c>
      <c r="D277" s="2">
        <v>2724</v>
      </c>
      <c r="E277" s="2">
        <v>2645</v>
      </c>
      <c r="F277" s="2">
        <v>2613</v>
      </c>
      <c r="G277" s="2">
        <v>2616</v>
      </c>
      <c r="H277" s="2">
        <v>2486</v>
      </c>
      <c r="I277" s="2">
        <v>2453</v>
      </c>
      <c r="J277" s="2">
        <v>2549</v>
      </c>
      <c r="K277" s="2">
        <v>2546</v>
      </c>
      <c r="L277" s="2">
        <v>2536</v>
      </c>
      <c r="M277" s="2">
        <v>2700</v>
      </c>
      <c r="N277" s="2">
        <v>2866</v>
      </c>
      <c r="O277" s="2">
        <v>2240</v>
      </c>
      <c r="P277" s="2">
        <v>30974</v>
      </c>
      <c r="Q277" s="2">
        <v>10</v>
      </c>
      <c r="R277" s="2">
        <v>309740</v>
      </c>
      <c r="S277" s="4">
        <f>SUM($R$2:R277) / SUM($R:$R)</f>
        <v>0.95576563906018153</v>
      </c>
      <c r="T277" s="3" t="str">
        <f t="shared" si="24"/>
        <v>C</v>
      </c>
      <c r="U277" s="2">
        <f t="shared" si="25"/>
        <v>2581.1666666666665</v>
      </c>
      <c r="V277" s="2">
        <f t="shared" si="26"/>
        <v>156.1303845178669</v>
      </c>
      <c r="W277" s="2">
        <f t="shared" si="27"/>
        <v>6.0488300323316424E-2</v>
      </c>
      <c r="X277" s="2" t="str">
        <f t="shared" si="28"/>
        <v>X</v>
      </c>
      <c r="Y277" s="2" t="str">
        <f t="shared" si="29"/>
        <v>CX</v>
      </c>
    </row>
    <row r="278" spans="1:25" x14ac:dyDescent="0.3">
      <c r="A278" s="2" t="s">
        <v>1375</v>
      </c>
      <c r="B278" s="2" t="s">
        <v>1376</v>
      </c>
      <c r="C278" s="2" t="s">
        <v>25</v>
      </c>
      <c r="D278" s="2">
        <v>322</v>
      </c>
      <c r="E278" s="2">
        <v>8</v>
      </c>
      <c r="F278" s="2">
        <v>205</v>
      </c>
      <c r="G278" s="2">
        <v>199</v>
      </c>
      <c r="H278" s="2">
        <v>406</v>
      </c>
      <c r="I278" s="2">
        <v>512</v>
      </c>
      <c r="J278" s="2">
        <v>341</v>
      </c>
      <c r="K278" s="2">
        <v>498</v>
      </c>
      <c r="L278" s="2">
        <v>26</v>
      </c>
      <c r="M278" s="2">
        <v>108</v>
      </c>
      <c r="N278" s="2">
        <v>9</v>
      </c>
      <c r="O278" s="2">
        <v>449</v>
      </c>
      <c r="P278" s="2">
        <v>3083</v>
      </c>
      <c r="Q278" s="2">
        <v>100</v>
      </c>
      <c r="R278" s="2">
        <v>308300</v>
      </c>
      <c r="S278" s="4">
        <f>SUM($R$2:R278) / SUM($R:$R)</f>
        <v>0.95605315512746158</v>
      </c>
      <c r="T278" s="3" t="str">
        <f t="shared" si="24"/>
        <v>C</v>
      </c>
      <c r="U278" s="2">
        <f t="shared" si="25"/>
        <v>256.91666666666669</v>
      </c>
      <c r="V278" s="2">
        <f t="shared" si="26"/>
        <v>190.35538931804436</v>
      </c>
      <c r="W278" s="2">
        <f t="shared" si="27"/>
        <v>0.7409226960157419</v>
      </c>
      <c r="X278" s="2" t="str">
        <f t="shared" si="28"/>
        <v>Z</v>
      </c>
      <c r="Y278" s="2" t="str">
        <f t="shared" si="29"/>
        <v>CZ</v>
      </c>
    </row>
    <row r="279" spans="1:25" x14ac:dyDescent="0.3">
      <c r="A279" s="2" t="s">
        <v>829</v>
      </c>
      <c r="B279" s="2" t="s">
        <v>830</v>
      </c>
      <c r="C279" s="2" t="s">
        <v>20</v>
      </c>
      <c r="D279" s="2">
        <v>2491</v>
      </c>
      <c r="E279" s="2">
        <v>2572</v>
      </c>
      <c r="F279" s="2">
        <v>2625</v>
      </c>
      <c r="G279" s="2">
        <v>2756</v>
      </c>
      <c r="H279" s="2">
        <v>2771</v>
      </c>
      <c r="I279" s="2">
        <v>2527</v>
      </c>
      <c r="J279" s="2">
        <v>2547</v>
      </c>
      <c r="K279" s="2">
        <v>2460</v>
      </c>
      <c r="L279" s="2">
        <v>2306</v>
      </c>
      <c r="M279" s="2">
        <v>2681</v>
      </c>
      <c r="N279" s="2">
        <v>2328</v>
      </c>
      <c r="O279" s="2">
        <v>2730</v>
      </c>
      <c r="P279" s="2">
        <v>30794</v>
      </c>
      <c r="Q279" s="2">
        <v>10</v>
      </c>
      <c r="R279" s="2">
        <v>307940</v>
      </c>
      <c r="S279" s="4">
        <f>SUM($R$2:R279) / SUM($R:$R)</f>
        <v>0.95634033546401109</v>
      </c>
      <c r="T279" s="3" t="str">
        <f t="shared" si="24"/>
        <v>C</v>
      </c>
      <c r="U279" s="2">
        <f t="shared" si="25"/>
        <v>2566.1666666666665</v>
      </c>
      <c r="V279" s="2">
        <f t="shared" si="26"/>
        <v>155.13913598815586</v>
      </c>
      <c r="W279" s="2">
        <f t="shared" si="27"/>
        <v>6.0455596280375085E-2</v>
      </c>
      <c r="X279" s="2" t="str">
        <f t="shared" si="28"/>
        <v>X</v>
      </c>
      <c r="Y279" s="2" t="str">
        <f t="shared" si="29"/>
        <v>CX</v>
      </c>
    </row>
    <row r="280" spans="1:25" x14ac:dyDescent="0.3">
      <c r="A280" s="2" t="s">
        <v>411</v>
      </c>
      <c r="B280" s="2" t="s">
        <v>412</v>
      </c>
      <c r="C280" s="2" t="s">
        <v>41</v>
      </c>
      <c r="D280" s="2">
        <v>250</v>
      </c>
      <c r="E280" s="2">
        <v>262</v>
      </c>
      <c r="F280" s="2">
        <v>248</v>
      </c>
      <c r="G280" s="2">
        <v>272</v>
      </c>
      <c r="H280" s="2">
        <v>244</v>
      </c>
      <c r="I280" s="2">
        <v>262</v>
      </c>
      <c r="J280" s="2">
        <v>250</v>
      </c>
      <c r="K280" s="2">
        <v>250</v>
      </c>
      <c r="L280" s="2">
        <v>262</v>
      </c>
      <c r="M280" s="2">
        <v>254</v>
      </c>
      <c r="N280" s="2">
        <v>262</v>
      </c>
      <c r="O280" s="2">
        <v>257</v>
      </c>
      <c r="P280" s="2">
        <v>3073</v>
      </c>
      <c r="Q280" s="2">
        <v>100</v>
      </c>
      <c r="R280" s="2">
        <v>307300</v>
      </c>
      <c r="S280" s="4">
        <f>SUM($R$2:R280) / SUM($R:$R)</f>
        <v>0.95662691894592866</v>
      </c>
      <c r="T280" s="3" t="str">
        <f t="shared" si="24"/>
        <v>C</v>
      </c>
      <c r="U280" s="2">
        <f t="shared" si="25"/>
        <v>256.08333333333331</v>
      </c>
      <c r="V280" s="2">
        <f t="shared" si="26"/>
        <v>8.0955468492177101</v>
      </c>
      <c r="W280" s="2">
        <f t="shared" si="27"/>
        <v>3.161293920944111E-2</v>
      </c>
      <c r="X280" s="2" t="str">
        <f t="shared" si="28"/>
        <v>X</v>
      </c>
      <c r="Y280" s="2" t="str">
        <f t="shared" si="29"/>
        <v>CX</v>
      </c>
    </row>
    <row r="281" spans="1:25" x14ac:dyDescent="0.3">
      <c r="A281" s="2" t="s">
        <v>1187</v>
      </c>
      <c r="B281" s="2" t="s">
        <v>1188</v>
      </c>
      <c r="C281" s="2" t="s">
        <v>20</v>
      </c>
      <c r="D281" s="2">
        <v>2413</v>
      </c>
      <c r="E281" s="2">
        <v>2573</v>
      </c>
      <c r="F281" s="2">
        <v>2339</v>
      </c>
      <c r="G281" s="2">
        <v>2291</v>
      </c>
      <c r="H281" s="2">
        <v>2760</v>
      </c>
      <c r="I281" s="2">
        <v>2558</v>
      </c>
      <c r="J281" s="2">
        <v>2665</v>
      </c>
      <c r="K281" s="2">
        <v>2734</v>
      </c>
      <c r="L281" s="2">
        <v>2467</v>
      </c>
      <c r="M281" s="2">
        <v>2594</v>
      </c>
      <c r="N281" s="2">
        <v>2441</v>
      </c>
      <c r="O281" s="2">
        <v>2754</v>
      </c>
      <c r="P281" s="2">
        <v>30589</v>
      </c>
      <c r="Q281" s="2">
        <v>10</v>
      </c>
      <c r="R281" s="2">
        <v>305890</v>
      </c>
      <c r="S281" s="4">
        <f>SUM($R$2:R281) / SUM($R:$R)</f>
        <v>0.95691218748248486</v>
      </c>
      <c r="T281" s="3" t="str">
        <f t="shared" si="24"/>
        <v>C</v>
      </c>
      <c r="U281" s="2">
        <f t="shared" si="25"/>
        <v>2549.0833333333335</v>
      </c>
      <c r="V281" s="2">
        <f t="shared" si="26"/>
        <v>160.80957588704004</v>
      </c>
      <c r="W281" s="2">
        <f t="shared" si="27"/>
        <v>6.3085256485811245E-2</v>
      </c>
      <c r="X281" s="2" t="str">
        <f t="shared" si="28"/>
        <v>X</v>
      </c>
      <c r="Y281" s="2" t="str">
        <f t="shared" si="29"/>
        <v>CX</v>
      </c>
    </row>
    <row r="282" spans="1:25" x14ac:dyDescent="0.3">
      <c r="A282" s="2" t="s">
        <v>1111</v>
      </c>
      <c r="B282" s="2" t="s">
        <v>1112</v>
      </c>
      <c r="C282" s="2" t="s">
        <v>20</v>
      </c>
      <c r="D282" s="2">
        <v>2654</v>
      </c>
      <c r="E282" s="2">
        <v>2776</v>
      </c>
      <c r="F282" s="2">
        <v>2104</v>
      </c>
      <c r="G282" s="2">
        <v>2643</v>
      </c>
      <c r="H282" s="2">
        <v>2444</v>
      </c>
      <c r="I282" s="2">
        <v>2642</v>
      </c>
      <c r="J282" s="2">
        <v>2506</v>
      </c>
      <c r="K282" s="2">
        <v>2385</v>
      </c>
      <c r="L282" s="2">
        <v>2207</v>
      </c>
      <c r="M282" s="2">
        <v>2533</v>
      </c>
      <c r="N282" s="2">
        <v>2600</v>
      </c>
      <c r="O282" s="2">
        <v>2494</v>
      </c>
      <c r="P282" s="2">
        <v>29988</v>
      </c>
      <c r="Q282" s="2">
        <v>10</v>
      </c>
      <c r="R282" s="2">
        <v>299880</v>
      </c>
      <c r="S282" s="4">
        <f>SUM($R$2:R282) / SUM($R:$R)</f>
        <v>0.95719185118101213</v>
      </c>
      <c r="T282" s="3" t="str">
        <f t="shared" si="24"/>
        <v>C</v>
      </c>
      <c r="U282" s="2">
        <f t="shared" si="25"/>
        <v>2499</v>
      </c>
      <c r="V282" s="2">
        <f t="shared" si="26"/>
        <v>193.22149325203304</v>
      </c>
      <c r="W282" s="2">
        <f t="shared" si="27"/>
        <v>7.7319525110857559E-2</v>
      </c>
      <c r="X282" s="2" t="str">
        <f t="shared" si="28"/>
        <v>X</v>
      </c>
      <c r="Y282" s="2" t="str">
        <f t="shared" si="29"/>
        <v>CX</v>
      </c>
    </row>
    <row r="283" spans="1:25" x14ac:dyDescent="0.3">
      <c r="A283" s="2" t="s">
        <v>1975</v>
      </c>
      <c r="B283" s="2" t="s">
        <v>1976</v>
      </c>
      <c r="C283" s="2" t="s">
        <v>20</v>
      </c>
      <c r="D283" s="2">
        <v>2461</v>
      </c>
      <c r="E283" s="2">
        <v>2528</v>
      </c>
      <c r="F283" s="2">
        <v>2156</v>
      </c>
      <c r="G283" s="2">
        <v>2751</v>
      </c>
      <c r="H283" s="2">
        <v>2432</v>
      </c>
      <c r="I283" s="2">
        <v>2571</v>
      </c>
      <c r="J283" s="2">
        <v>2731</v>
      </c>
      <c r="K283" s="2">
        <v>2401</v>
      </c>
      <c r="L283" s="2">
        <v>2370</v>
      </c>
      <c r="M283" s="2">
        <v>2492</v>
      </c>
      <c r="N283" s="2">
        <v>2687</v>
      </c>
      <c r="O283" s="2">
        <v>2302</v>
      </c>
      <c r="P283" s="2">
        <v>29882</v>
      </c>
      <c r="Q283" s="2">
        <v>10</v>
      </c>
      <c r="R283" s="2">
        <v>298820</v>
      </c>
      <c r="S283" s="4">
        <f>SUM($R$2:R283) / SUM($R:$R)</f>
        <v>0.95747052633905505</v>
      </c>
      <c r="T283" s="3" t="str">
        <f t="shared" si="24"/>
        <v>C</v>
      </c>
      <c r="U283" s="2">
        <f t="shared" si="25"/>
        <v>2490.1666666666665</v>
      </c>
      <c r="V283" s="2">
        <f t="shared" si="26"/>
        <v>177.4684777814376</v>
      </c>
      <c r="W283" s="2">
        <f t="shared" si="27"/>
        <v>7.1267710774956541E-2</v>
      </c>
      <c r="X283" s="2" t="str">
        <f t="shared" si="28"/>
        <v>X</v>
      </c>
      <c r="Y283" s="2" t="str">
        <f t="shared" si="29"/>
        <v>CX</v>
      </c>
    </row>
    <row r="284" spans="1:25" x14ac:dyDescent="0.3">
      <c r="A284" s="2" t="s">
        <v>1821</v>
      </c>
      <c r="B284" s="2" t="s">
        <v>1822</v>
      </c>
      <c r="C284" s="2" t="s">
        <v>20</v>
      </c>
      <c r="D284" s="2">
        <v>2575</v>
      </c>
      <c r="E284" s="2">
        <v>2353</v>
      </c>
      <c r="F284" s="2">
        <v>2606</v>
      </c>
      <c r="G284" s="2">
        <v>2405</v>
      </c>
      <c r="H284" s="2">
        <v>2647</v>
      </c>
      <c r="I284" s="2">
        <v>2296</v>
      </c>
      <c r="J284" s="2">
        <v>2707</v>
      </c>
      <c r="K284" s="2">
        <v>2435</v>
      </c>
      <c r="L284" s="2">
        <v>2533</v>
      </c>
      <c r="M284" s="2">
        <v>2490</v>
      </c>
      <c r="N284" s="2">
        <v>2454</v>
      </c>
      <c r="O284" s="2">
        <v>2371</v>
      </c>
      <c r="P284" s="2">
        <v>29872</v>
      </c>
      <c r="Q284" s="2">
        <v>10</v>
      </c>
      <c r="R284" s="2">
        <v>298720</v>
      </c>
      <c r="S284" s="4">
        <f>SUM($R$2:R284) / SUM($R:$R)</f>
        <v>0.95774910823856163</v>
      </c>
      <c r="T284" s="3" t="str">
        <f t="shared" si="24"/>
        <v>C</v>
      </c>
      <c r="U284" s="2">
        <f t="shared" si="25"/>
        <v>2489.3333333333335</v>
      </c>
      <c r="V284" s="2">
        <f t="shared" si="26"/>
        <v>126.62567119688094</v>
      </c>
      <c r="W284" s="2">
        <f t="shared" si="27"/>
        <v>5.0867302301907176E-2</v>
      </c>
      <c r="X284" s="2" t="str">
        <f t="shared" si="28"/>
        <v>X</v>
      </c>
      <c r="Y284" s="2" t="str">
        <f t="shared" si="29"/>
        <v>CX</v>
      </c>
    </row>
    <row r="285" spans="1:25" x14ac:dyDescent="0.3">
      <c r="A285" s="2" t="s">
        <v>1831</v>
      </c>
      <c r="B285" s="2" t="s">
        <v>1832</v>
      </c>
      <c r="C285" s="2" t="s">
        <v>41</v>
      </c>
      <c r="D285" s="2">
        <v>509</v>
      </c>
      <c r="E285" s="2">
        <v>456</v>
      </c>
      <c r="F285" s="2">
        <v>488</v>
      </c>
      <c r="G285" s="2">
        <v>498</v>
      </c>
      <c r="H285" s="2">
        <v>519</v>
      </c>
      <c r="I285" s="2">
        <v>498</v>
      </c>
      <c r="J285" s="2">
        <v>491</v>
      </c>
      <c r="K285" s="2">
        <v>481</v>
      </c>
      <c r="L285" s="2">
        <v>460</v>
      </c>
      <c r="M285" s="2">
        <v>503</v>
      </c>
      <c r="N285" s="2">
        <v>478</v>
      </c>
      <c r="O285" s="2">
        <v>506</v>
      </c>
      <c r="P285" s="2">
        <v>5887</v>
      </c>
      <c r="Q285" s="2">
        <v>50</v>
      </c>
      <c r="R285" s="2">
        <v>294350</v>
      </c>
      <c r="S285" s="4">
        <f>SUM($R$2:R285) / SUM($R:$R)</f>
        <v>0.95802361474003395</v>
      </c>
      <c r="T285" s="3" t="str">
        <f t="shared" si="24"/>
        <v>C</v>
      </c>
      <c r="U285" s="2">
        <f t="shared" si="25"/>
        <v>490.58333333333331</v>
      </c>
      <c r="V285" s="2">
        <f t="shared" si="26"/>
        <v>19.157046333984379</v>
      </c>
      <c r="W285" s="2">
        <f t="shared" si="27"/>
        <v>3.9049525396265085E-2</v>
      </c>
      <c r="X285" s="2" t="str">
        <f t="shared" si="28"/>
        <v>X</v>
      </c>
      <c r="Y285" s="2" t="str">
        <f t="shared" si="29"/>
        <v>CX</v>
      </c>
    </row>
    <row r="286" spans="1:25" x14ac:dyDescent="0.3">
      <c r="A286" s="2" t="s">
        <v>1659</v>
      </c>
      <c r="B286" s="2" t="s">
        <v>1660</v>
      </c>
      <c r="C286" s="2" t="s">
        <v>41</v>
      </c>
      <c r="D286" s="2">
        <v>464</v>
      </c>
      <c r="E286" s="2">
        <v>478</v>
      </c>
      <c r="F286" s="2">
        <v>503</v>
      </c>
      <c r="G286" s="2">
        <v>471</v>
      </c>
      <c r="H286" s="2">
        <v>487</v>
      </c>
      <c r="I286" s="2">
        <v>486</v>
      </c>
      <c r="J286" s="2">
        <v>508</v>
      </c>
      <c r="K286" s="2">
        <v>457</v>
      </c>
      <c r="L286" s="2">
        <v>482</v>
      </c>
      <c r="M286" s="2">
        <v>467</v>
      </c>
      <c r="N286" s="2">
        <v>486</v>
      </c>
      <c r="O286" s="2">
        <v>549</v>
      </c>
      <c r="P286" s="2">
        <v>5838</v>
      </c>
      <c r="Q286" s="2">
        <v>50</v>
      </c>
      <c r="R286" s="2">
        <v>291900</v>
      </c>
      <c r="S286" s="4">
        <f>SUM($R$2:R286) / SUM($R:$R)</f>
        <v>0.95829583640736782</v>
      </c>
      <c r="T286" s="3" t="str">
        <f t="shared" si="24"/>
        <v>C</v>
      </c>
      <c r="U286" s="2">
        <f t="shared" si="25"/>
        <v>486.5</v>
      </c>
      <c r="V286" s="2">
        <f t="shared" si="26"/>
        <v>24.736796294368656</v>
      </c>
      <c r="W286" s="2">
        <f t="shared" si="27"/>
        <v>5.0846446648239785E-2</v>
      </c>
      <c r="X286" s="2" t="str">
        <f t="shared" si="28"/>
        <v>X</v>
      </c>
      <c r="Y286" s="2" t="str">
        <f t="shared" si="29"/>
        <v>CX</v>
      </c>
    </row>
    <row r="287" spans="1:25" x14ac:dyDescent="0.3">
      <c r="A287" s="2" t="s">
        <v>2011</v>
      </c>
      <c r="B287" s="2" t="s">
        <v>2012</v>
      </c>
      <c r="C287" s="2" t="s">
        <v>20</v>
      </c>
      <c r="D287" s="2">
        <v>2362</v>
      </c>
      <c r="E287" s="2">
        <v>2603</v>
      </c>
      <c r="F287" s="2">
        <v>2531</v>
      </c>
      <c r="G287" s="2">
        <v>2447</v>
      </c>
      <c r="H287" s="2">
        <v>2433</v>
      </c>
      <c r="I287" s="2">
        <v>2457</v>
      </c>
      <c r="J287" s="2">
        <v>2647</v>
      </c>
      <c r="K287" s="2">
        <v>2284</v>
      </c>
      <c r="L287" s="2">
        <v>2271</v>
      </c>
      <c r="M287" s="2">
        <v>2418</v>
      </c>
      <c r="N287" s="2">
        <v>2378</v>
      </c>
      <c r="O287" s="2">
        <v>2330</v>
      </c>
      <c r="P287" s="2">
        <v>29161</v>
      </c>
      <c r="Q287" s="2">
        <v>10</v>
      </c>
      <c r="R287" s="2">
        <v>291610</v>
      </c>
      <c r="S287" s="4">
        <f>SUM($R$2:R287) / SUM($R:$R)</f>
        <v>0.95856778762494665</v>
      </c>
      <c r="T287" s="3" t="str">
        <f t="shared" si="24"/>
        <v>C</v>
      </c>
      <c r="U287" s="2">
        <f t="shared" si="25"/>
        <v>2430.0833333333335</v>
      </c>
      <c r="V287" s="2">
        <f t="shared" si="26"/>
        <v>117.6724717428023</v>
      </c>
      <c r="W287" s="2">
        <f t="shared" si="27"/>
        <v>4.8423224886445168E-2</v>
      </c>
      <c r="X287" s="2" t="str">
        <f t="shared" si="28"/>
        <v>X</v>
      </c>
      <c r="Y287" s="2" t="str">
        <f t="shared" si="29"/>
        <v>CX</v>
      </c>
    </row>
    <row r="288" spans="1:25" x14ac:dyDescent="0.3">
      <c r="A288" s="2" t="s">
        <v>823</v>
      </c>
      <c r="B288" s="2" t="s">
        <v>824</v>
      </c>
      <c r="C288" s="2" t="s">
        <v>41</v>
      </c>
      <c r="D288" s="2">
        <v>478</v>
      </c>
      <c r="E288" s="2">
        <v>501</v>
      </c>
      <c r="F288" s="2">
        <v>493</v>
      </c>
      <c r="G288" s="2">
        <v>472</v>
      </c>
      <c r="H288" s="2">
        <v>468</v>
      </c>
      <c r="I288" s="2">
        <v>485</v>
      </c>
      <c r="J288" s="2">
        <v>461</v>
      </c>
      <c r="K288" s="2">
        <v>499</v>
      </c>
      <c r="L288" s="2">
        <v>475</v>
      </c>
      <c r="M288" s="2">
        <v>494</v>
      </c>
      <c r="N288" s="2">
        <v>487</v>
      </c>
      <c r="O288" s="2">
        <v>517</v>
      </c>
      <c r="P288" s="2">
        <v>5830</v>
      </c>
      <c r="Q288" s="2">
        <v>50</v>
      </c>
      <c r="R288" s="2">
        <v>291500</v>
      </c>
      <c r="S288" s="4">
        <f>SUM($R$2:R288) / SUM($R:$R)</f>
        <v>0.95883963625813551</v>
      </c>
      <c r="T288" s="3" t="str">
        <f t="shared" si="24"/>
        <v>C</v>
      </c>
      <c r="U288" s="2">
        <f t="shared" si="25"/>
        <v>485.83333333333331</v>
      </c>
      <c r="V288" s="2">
        <f t="shared" si="26"/>
        <v>15.953531004613101</v>
      </c>
      <c r="W288" s="2">
        <f t="shared" si="27"/>
        <v>3.2837456613268819E-2</v>
      </c>
      <c r="X288" s="2" t="str">
        <f t="shared" si="28"/>
        <v>X</v>
      </c>
      <c r="Y288" s="2" t="str">
        <f t="shared" si="29"/>
        <v>CX</v>
      </c>
    </row>
    <row r="289" spans="1:25" x14ac:dyDescent="0.3">
      <c r="A289" s="2" t="s">
        <v>1277</v>
      </c>
      <c r="B289" s="2" t="s">
        <v>1278</v>
      </c>
      <c r="C289" s="2" t="s">
        <v>56</v>
      </c>
      <c r="D289" s="2">
        <v>470</v>
      </c>
      <c r="E289" s="2">
        <v>503</v>
      </c>
      <c r="F289" s="2">
        <v>476</v>
      </c>
      <c r="G289" s="2">
        <v>468</v>
      </c>
      <c r="H289" s="2">
        <v>489</v>
      </c>
      <c r="I289" s="2">
        <v>483</v>
      </c>
      <c r="J289" s="2">
        <v>488</v>
      </c>
      <c r="K289" s="2">
        <v>440</v>
      </c>
      <c r="L289" s="2">
        <v>470</v>
      </c>
      <c r="M289" s="2">
        <v>498</v>
      </c>
      <c r="N289" s="2">
        <v>506</v>
      </c>
      <c r="O289" s="2">
        <v>464</v>
      </c>
      <c r="P289" s="2">
        <v>5755</v>
      </c>
      <c r="Q289" s="2">
        <v>50</v>
      </c>
      <c r="R289" s="2">
        <v>287750</v>
      </c>
      <c r="S289" s="4">
        <f>SUM($R$2:R289) / SUM($R:$R)</f>
        <v>0.95910798769621475</v>
      </c>
      <c r="T289" s="3" t="str">
        <f t="shared" si="24"/>
        <v>C</v>
      </c>
      <c r="U289" s="2">
        <f t="shared" si="25"/>
        <v>479.58333333333331</v>
      </c>
      <c r="V289" s="2">
        <f t="shared" si="26"/>
        <v>18.821932725284924</v>
      </c>
      <c r="W289" s="2">
        <f t="shared" si="27"/>
        <v>3.9246427924138849E-2</v>
      </c>
      <c r="X289" s="2" t="str">
        <f t="shared" si="28"/>
        <v>X</v>
      </c>
      <c r="Y289" s="2" t="str">
        <f t="shared" si="29"/>
        <v>CX</v>
      </c>
    </row>
    <row r="290" spans="1:25" x14ac:dyDescent="0.3">
      <c r="A290" s="2" t="s">
        <v>1891</v>
      </c>
      <c r="B290" s="2" t="s">
        <v>1892</v>
      </c>
      <c r="C290" s="2" t="s">
        <v>20</v>
      </c>
      <c r="D290" s="2">
        <v>2260</v>
      </c>
      <c r="E290" s="2">
        <v>2257</v>
      </c>
      <c r="F290" s="2">
        <v>2615</v>
      </c>
      <c r="G290" s="2">
        <v>2305</v>
      </c>
      <c r="H290" s="2">
        <v>2372</v>
      </c>
      <c r="I290" s="2">
        <v>2820</v>
      </c>
      <c r="J290" s="2">
        <v>2619</v>
      </c>
      <c r="K290" s="2">
        <v>2356</v>
      </c>
      <c r="L290" s="2">
        <v>1997</v>
      </c>
      <c r="M290" s="2">
        <v>2365</v>
      </c>
      <c r="N290" s="2">
        <v>2398</v>
      </c>
      <c r="O290" s="2">
        <v>2290</v>
      </c>
      <c r="P290" s="2">
        <v>28654</v>
      </c>
      <c r="Q290" s="2">
        <v>10</v>
      </c>
      <c r="R290" s="2">
        <v>286540</v>
      </c>
      <c r="S290" s="4">
        <f>SUM($R$2:R290) / SUM($R:$R)</f>
        <v>0.9593752107060054</v>
      </c>
      <c r="T290" s="3" t="str">
        <f t="shared" si="24"/>
        <v>C</v>
      </c>
      <c r="U290" s="2">
        <f t="shared" si="25"/>
        <v>2387.8333333333335</v>
      </c>
      <c r="V290" s="2">
        <f t="shared" si="26"/>
        <v>212.41932514950162</v>
      </c>
      <c r="W290" s="2">
        <f t="shared" si="27"/>
        <v>8.8959024980596754E-2</v>
      </c>
      <c r="X290" s="2" t="str">
        <f t="shared" si="28"/>
        <v>X</v>
      </c>
      <c r="Y290" s="2" t="str">
        <f t="shared" si="29"/>
        <v>CX</v>
      </c>
    </row>
    <row r="291" spans="1:25" x14ac:dyDescent="0.3">
      <c r="A291" s="2" t="s">
        <v>1005</v>
      </c>
      <c r="B291" s="2" t="s">
        <v>1006</v>
      </c>
      <c r="C291" s="2" t="s">
        <v>20</v>
      </c>
      <c r="D291" s="2">
        <v>2427</v>
      </c>
      <c r="E291" s="2">
        <v>2307</v>
      </c>
      <c r="F291" s="2">
        <v>2549</v>
      </c>
      <c r="G291" s="2">
        <v>2268</v>
      </c>
      <c r="H291" s="2">
        <v>2697</v>
      </c>
      <c r="I291" s="2">
        <v>2407</v>
      </c>
      <c r="J291" s="2">
        <v>2522</v>
      </c>
      <c r="K291" s="2">
        <v>2405</v>
      </c>
      <c r="L291" s="2">
        <v>2205</v>
      </c>
      <c r="M291" s="2">
        <v>2370</v>
      </c>
      <c r="N291" s="2">
        <v>2615</v>
      </c>
      <c r="O291" s="2">
        <v>1866</v>
      </c>
      <c r="P291" s="2">
        <v>28638</v>
      </c>
      <c r="Q291" s="2">
        <v>10</v>
      </c>
      <c r="R291" s="2">
        <v>286380</v>
      </c>
      <c r="S291" s="4">
        <f>SUM($R$2:R291) / SUM($R:$R)</f>
        <v>0.95964228450213795</v>
      </c>
      <c r="T291" s="3" t="str">
        <f t="shared" si="24"/>
        <v>C</v>
      </c>
      <c r="U291" s="2">
        <f t="shared" si="25"/>
        <v>2386.5</v>
      </c>
      <c r="V291" s="2">
        <f t="shared" si="26"/>
        <v>217.48333269471479</v>
      </c>
      <c r="W291" s="2">
        <f t="shared" si="27"/>
        <v>9.1130665281673906E-2</v>
      </c>
      <c r="X291" s="2" t="str">
        <f t="shared" si="28"/>
        <v>X</v>
      </c>
      <c r="Y291" s="2" t="str">
        <f t="shared" si="29"/>
        <v>CX</v>
      </c>
    </row>
    <row r="292" spans="1:25" x14ac:dyDescent="0.3">
      <c r="A292" s="2" t="s">
        <v>333</v>
      </c>
      <c r="B292" s="2" t="s">
        <v>334</v>
      </c>
      <c r="C292" s="2" t="s">
        <v>20</v>
      </c>
      <c r="D292" s="2">
        <v>2594</v>
      </c>
      <c r="E292" s="2">
        <v>2517</v>
      </c>
      <c r="F292" s="2">
        <v>2810</v>
      </c>
      <c r="G292" s="2">
        <v>1938</v>
      </c>
      <c r="H292" s="2">
        <v>2349</v>
      </c>
      <c r="I292" s="2">
        <v>2288</v>
      </c>
      <c r="J292" s="2">
        <v>2138</v>
      </c>
      <c r="K292" s="2">
        <v>2311</v>
      </c>
      <c r="L292" s="2">
        <v>2307</v>
      </c>
      <c r="M292" s="2">
        <v>2477</v>
      </c>
      <c r="N292" s="2">
        <v>2543</v>
      </c>
      <c r="O292" s="2">
        <v>2294</v>
      </c>
      <c r="P292" s="2">
        <v>28566</v>
      </c>
      <c r="Q292" s="2">
        <v>10</v>
      </c>
      <c r="R292" s="2">
        <v>285660</v>
      </c>
      <c r="S292" s="4">
        <f>SUM($R$2:R292) / SUM($R:$R)</f>
        <v>0.95990868683680941</v>
      </c>
      <c r="T292" s="3" t="str">
        <f t="shared" si="24"/>
        <v>C</v>
      </c>
      <c r="U292" s="2">
        <f t="shared" si="25"/>
        <v>2380.5</v>
      </c>
      <c r="V292" s="2">
        <f t="shared" si="26"/>
        <v>226.89184447861737</v>
      </c>
      <c r="W292" s="2">
        <f t="shared" si="27"/>
        <v>9.531268409099658E-2</v>
      </c>
      <c r="X292" s="2" t="str">
        <f t="shared" si="28"/>
        <v>X</v>
      </c>
      <c r="Y292" s="2" t="str">
        <f t="shared" si="29"/>
        <v>CX</v>
      </c>
    </row>
    <row r="293" spans="1:25" x14ac:dyDescent="0.3">
      <c r="A293" s="2" t="s">
        <v>137</v>
      </c>
      <c r="B293" s="2" t="s">
        <v>138</v>
      </c>
      <c r="C293" s="2" t="s">
        <v>36</v>
      </c>
      <c r="D293" s="2">
        <v>254</v>
      </c>
      <c r="E293" s="2">
        <v>243</v>
      </c>
      <c r="F293" s="2">
        <v>222</v>
      </c>
      <c r="G293" s="2">
        <v>235</v>
      </c>
      <c r="H293" s="2">
        <v>251</v>
      </c>
      <c r="I293" s="2">
        <v>226</v>
      </c>
      <c r="J293" s="2">
        <v>222</v>
      </c>
      <c r="K293" s="2">
        <v>239</v>
      </c>
      <c r="L293" s="2">
        <v>239</v>
      </c>
      <c r="M293" s="2">
        <v>238</v>
      </c>
      <c r="N293" s="2">
        <v>228</v>
      </c>
      <c r="O293" s="2">
        <v>253</v>
      </c>
      <c r="P293" s="2">
        <v>2850</v>
      </c>
      <c r="Q293" s="2">
        <v>100</v>
      </c>
      <c r="R293" s="2">
        <v>285000</v>
      </c>
      <c r="S293" s="4">
        <f>SUM($R$2:R293) / SUM($R:$R)</f>
        <v>0.96017447366514164</v>
      </c>
      <c r="T293" s="3" t="str">
        <f t="shared" si="24"/>
        <v>C</v>
      </c>
      <c r="U293" s="2">
        <f t="shared" si="25"/>
        <v>237.5</v>
      </c>
      <c r="V293" s="2">
        <f t="shared" si="26"/>
        <v>11.437577620203582</v>
      </c>
      <c r="W293" s="2">
        <f t="shared" si="27"/>
        <v>4.8158221558751921E-2</v>
      </c>
      <c r="X293" s="2" t="str">
        <f t="shared" si="28"/>
        <v>X</v>
      </c>
      <c r="Y293" s="2" t="str">
        <f t="shared" si="29"/>
        <v>CX</v>
      </c>
    </row>
    <row r="294" spans="1:25" x14ac:dyDescent="0.3">
      <c r="A294" s="2" t="s">
        <v>569</v>
      </c>
      <c r="B294" s="2" t="s">
        <v>570</v>
      </c>
      <c r="C294" s="2" t="s">
        <v>20</v>
      </c>
      <c r="D294" s="2">
        <v>2693</v>
      </c>
      <c r="E294" s="2">
        <v>2095</v>
      </c>
      <c r="F294" s="2">
        <v>2551</v>
      </c>
      <c r="G294" s="2">
        <v>2427</v>
      </c>
      <c r="H294" s="2">
        <v>2157</v>
      </c>
      <c r="I294" s="2">
        <v>2451</v>
      </c>
      <c r="J294" s="2">
        <v>2450</v>
      </c>
      <c r="K294" s="2">
        <v>2523</v>
      </c>
      <c r="L294" s="2">
        <v>2262</v>
      </c>
      <c r="M294" s="2">
        <v>2567</v>
      </c>
      <c r="N294" s="2">
        <v>2209</v>
      </c>
      <c r="O294" s="2">
        <v>2090</v>
      </c>
      <c r="P294" s="2">
        <v>28475</v>
      </c>
      <c r="Q294" s="2">
        <v>10</v>
      </c>
      <c r="R294" s="2">
        <v>284750</v>
      </c>
      <c r="S294" s="4">
        <f>SUM($R$2:R294) / SUM($R:$R)</f>
        <v>0.96044002734713319</v>
      </c>
      <c r="T294" s="3" t="str">
        <f t="shared" si="24"/>
        <v>C</v>
      </c>
      <c r="U294" s="2">
        <f t="shared" si="25"/>
        <v>2372.9166666666665</v>
      </c>
      <c r="V294" s="2">
        <f t="shared" si="26"/>
        <v>202.79746203061964</v>
      </c>
      <c r="W294" s="2">
        <f t="shared" si="27"/>
        <v>8.5463372936521009E-2</v>
      </c>
      <c r="X294" s="2" t="str">
        <f t="shared" si="28"/>
        <v>X</v>
      </c>
      <c r="Y294" s="2" t="str">
        <f t="shared" si="29"/>
        <v>CX</v>
      </c>
    </row>
    <row r="295" spans="1:25" x14ac:dyDescent="0.3">
      <c r="A295" s="2" t="s">
        <v>1745</v>
      </c>
      <c r="B295" s="2" t="s">
        <v>1746</v>
      </c>
      <c r="C295" s="2" t="s">
        <v>20</v>
      </c>
      <c r="D295" s="2">
        <v>2330</v>
      </c>
      <c r="E295" s="2">
        <v>2282</v>
      </c>
      <c r="F295" s="2">
        <v>2151</v>
      </c>
      <c r="G295" s="2">
        <v>2168</v>
      </c>
      <c r="H295" s="2">
        <v>2262</v>
      </c>
      <c r="I295" s="2">
        <v>2608</v>
      </c>
      <c r="J295" s="2">
        <v>2625</v>
      </c>
      <c r="K295" s="2">
        <v>2025</v>
      </c>
      <c r="L295" s="2">
        <v>2431</v>
      </c>
      <c r="M295" s="2">
        <v>2402</v>
      </c>
      <c r="N295" s="2">
        <v>2241</v>
      </c>
      <c r="O295" s="2">
        <v>2363</v>
      </c>
      <c r="P295" s="2">
        <v>27888</v>
      </c>
      <c r="Q295" s="2">
        <v>10</v>
      </c>
      <c r="R295" s="2">
        <v>278880</v>
      </c>
      <c r="S295" s="4">
        <f>SUM($R$2:R295) / SUM($R:$R)</f>
        <v>0.9607001067530464</v>
      </c>
      <c r="T295" s="3" t="str">
        <f t="shared" si="24"/>
        <v>C</v>
      </c>
      <c r="U295" s="2">
        <f t="shared" si="25"/>
        <v>2324</v>
      </c>
      <c r="V295" s="2">
        <f t="shared" si="26"/>
        <v>177.48495454800977</v>
      </c>
      <c r="W295" s="2">
        <f t="shared" si="27"/>
        <v>7.6370462370055833E-2</v>
      </c>
      <c r="X295" s="2" t="str">
        <f t="shared" si="28"/>
        <v>X</v>
      </c>
      <c r="Y295" s="2" t="str">
        <f t="shared" si="29"/>
        <v>CX</v>
      </c>
    </row>
    <row r="296" spans="1:25" x14ac:dyDescent="0.3">
      <c r="A296" s="2" t="s">
        <v>1987</v>
      </c>
      <c r="B296" s="2" t="s">
        <v>1988</v>
      </c>
      <c r="C296" s="2" t="s">
        <v>41</v>
      </c>
      <c r="D296" s="2">
        <v>430</v>
      </c>
      <c r="E296" s="2">
        <v>421</v>
      </c>
      <c r="F296" s="2">
        <v>436</v>
      </c>
      <c r="G296" s="2">
        <v>432</v>
      </c>
      <c r="H296" s="2">
        <v>452</v>
      </c>
      <c r="I296" s="2">
        <v>439</v>
      </c>
      <c r="J296" s="2">
        <v>478</v>
      </c>
      <c r="K296" s="2">
        <v>501</v>
      </c>
      <c r="L296" s="2">
        <v>454</v>
      </c>
      <c r="M296" s="2">
        <v>468</v>
      </c>
      <c r="N296" s="2">
        <v>468</v>
      </c>
      <c r="O296" s="2">
        <v>513</v>
      </c>
      <c r="P296" s="2">
        <v>5492</v>
      </c>
      <c r="Q296" s="2">
        <v>50</v>
      </c>
      <c r="R296" s="2">
        <v>274600</v>
      </c>
      <c r="S296" s="4">
        <f>SUM($R$2:R296) / SUM($R:$R)</f>
        <v>0.96095619469360793</v>
      </c>
      <c r="T296" s="3" t="str">
        <f t="shared" si="24"/>
        <v>C</v>
      </c>
      <c r="U296" s="2">
        <f t="shared" si="25"/>
        <v>457.66666666666669</v>
      </c>
      <c r="V296" s="2">
        <f t="shared" si="26"/>
        <v>28.917856494602507</v>
      </c>
      <c r="W296" s="2">
        <f t="shared" si="27"/>
        <v>6.3185411131687921E-2</v>
      </c>
      <c r="X296" s="2" t="str">
        <f t="shared" si="28"/>
        <v>X</v>
      </c>
      <c r="Y296" s="2" t="str">
        <f t="shared" si="29"/>
        <v>CX</v>
      </c>
    </row>
    <row r="297" spans="1:25" x14ac:dyDescent="0.3">
      <c r="A297" s="2" t="s">
        <v>297</v>
      </c>
      <c r="B297" s="2" t="s">
        <v>298</v>
      </c>
      <c r="C297" s="2" t="s">
        <v>20</v>
      </c>
      <c r="D297" s="2">
        <v>2088</v>
      </c>
      <c r="E297" s="2">
        <v>2252</v>
      </c>
      <c r="F297" s="2">
        <v>2051</v>
      </c>
      <c r="G297" s="2">
        <v>2118</v>
      </c>
      <c r="H297" s="2">
        <v>2364</v>
      </c>
      <c r="I297" s="2">
        <v>2132</v>
      </c>
      <c r="J297" s="2">
        <v>2302</v>
      </c>
      <c r="K297" s="2">
        <v>2490</v>
      </c>
      <c r="L297" s="2">
        <v>2233</v>
      </c>
      <c r="M297" s="2">
        <v>2306</v>
      </c>
      <c r="N297" s="2">
        <v>2288</v>
      </c>
      <c r="O297" s="2">
        <v>2514</v>
      </c>
      <c r="P297" s="2">
        <v>27138</v>
      </c>
      <c r="Q297" s="2">
        <v>10</v>
      </c>
      <c r="R297" s="2">
        <v>271380</v>
      </c>
      <c r="S297" s="4">
        <f>SUM($R$2:R297) / SUM($R:$R)</f>
        <v>0.96120927970930192</v>
      </c>
      <c r="T297" s="3" t="str">
        <f t="shared" si="24"/>
        <v>C</v>
      </c>
      <c r="U297" s="2">
        <f t="shared" si="25"/>
        <v>2261.5</v>
      </c>
      <c r="V297" s="2">
        <f t="shared" si="26"/>
        <v>148.77530342463064</v>
      </c>
      <c r="W297" s="2">
        <f t="shared" si="27"/>
        <v>6.5786116924444235E-2</v>
      </c>
      <c r="X297" s="2" t="str">
        <f t="shared" si="28"/>
        <v>X</v>
      </c>
      <c r="Y297" s="2" t="str">
        <f t="shared" si="29"/>
        <v>CX</v>
      </c>
    </row>
    <row r="298" spans="1:25" x14ac:dyDescent="0.3">
      <c r="A298" s="2" t="s">
        <v>1351</v>
      </c>
      <c r="B298" s="2" t="s">
        <v>1352</v>
      </c>
      <c r="C298" s="2" t="s">
        <v>41</v>
      </c>
      <c r="D298" s="2">
        <v>195</v>
      </c>
      <c r="E298" s="2">
        <v>237</v>
      </c>
      <c r="F298" s="2">
        <v>212</v>
      </c>
      <c r="G298" s="2">
        <v>221</v>
      </c>
      <c r="H298" s="2">
        <v>239</v>
      </c>
      <c r="I298" s="2">
        <v>208</v>
      </c>
      <c r="J298" s="2">
        <v>222</v>
      </c>
      <c r="K298" s="2">
        <v>205</v>
      </c>
      <c r="L298" s="2">
        <v>214</v>
      </c>
      <c r="M298" s="2">
        <v>186</v>
      </c>
      <c r="N298" s="2">
        <v>227</v>
      </c>
      <c r="O298" s="2">
        <v>222</v>
      </c>
      <c r="P298" s="2">
        <v>2588</v>
      </c>
      <c r="Q298" s="2">
        <v>100</v>
      </c>
      <c r="R298" s="2">
        <v>258800</v>
      </c>
      <c r="S298" s="4">
        <f>SUM($R$2:R298) / SUM($R:$R)</f>
        <v>0.96145063280113485</v>
      </c>
      <c r="T298" s="3" t="str">
        <f t="shared" si="24"/>
        <v>C</v>
      </c>
      <c r="U298" s="2">
        <f t="shared" si="25"/>
        <v>215.66666666666666</v>
      </c>
      <c r="V298" s="2">
        <f t="shared" si="26"/>
        <v>15.761479702878232</v>
      </c>
      <c r="W298" s="2">
        <f t="shared" si="27"/>
        <v>7.3082595222001071E-2</v>
      </c>
      <c r="X298" s="2" t="str">
        <f t="shared" si="28"/>
        <v>X</v>
      </c>
      <c r="Y298" s="2" t="str">
        <f t="shared" si="29"/>
        <v>CX</v>
      </c>
    </row>
    <row r="299" spans="1:25" x14ac:dyDescent="0.3">
      <c r="A299" s="2" t="s">
        <v>247</v>
      </c>
      <c r="B299" s="2" t="s">
        <v>248</v>
      </c>
      <c r="C299" s="2" t="s">
        <v>20</v>
      </c>
      <c r="D299" s="2">
        <v>2078</v>
      </c>
      <c r="E299" s="2">
        <v>2624</v>
      </c>
      <c r="F299" s="2">
        <v>1847</v>
      </c>
      <c r="G299" s="2">
        <v>1914</v>
      </c>
      <c r="H299" s="2">
        <v>2205</v>
      </c>
      <c r="I299" s="2">
        <v>2348</v>
      </c>
      <c r="J299" s="2">
        <v>2204</v>
      </c>
      <c r="K299" s="2">
        <v>2247</v>
      </c>
      <c r="L299" s="2">
        <v>2026</v>
      </c>
      <c r="M299" s="2">
        <v>2528</v>
      </c>
      <c r="N299" s="2">
        <v>1876</v>
      </c>
      <c r="O299" s="2">
        <v>1925</v>
      </c>
      <c r="P299" s="2">
        <v>25822</v>
      </c>
      <c r="Q299" s="2">
        <v>10</v>
      </c>
      <c r="R299" s="2">
        <v>258220</v>
      </c>
      <c r="S299" s="4">
        <f>SUM($R$2:R299) / SUM($R:$R)</f>
        <v>0.96169144499345749</v>
      </c>
      <c r="T299" s="3" t="str">
        <f t="shared" si="24"/>
        <v>C</v>
      </c>
      <c r="U299" s="2">
        <f t="shared" si="25"/>
        <v>2151.8333333333335</v>
      </c>
      <c r="V299" s="2">
        <f t="shared" si="26"/>
        <v>255.10063373761562</v>
      </c>
      <c r="W299" s="2">
        <f t="shared" si="27"/>
        <v>0.1185503680912163</v>
      </c>
      <c r="X299" s="2" t="str">
        <f t="shared" si="28"/>
        <v>X</v>
      </c>
      <c r="Y299" s="2" t="str">
        <f t="shared" si="29"/>
        <v>CX</v>
      </c>
    </row>
    <row r="300" spans="1:25" x14ac:dyDescent="0.3">
      <c r="A300" s="2" t="s">
        <v>813</v>
      </c>
      <c r="B300" s="2" t="s">
        <v>814</v>
      </c>
      <c r="C300" s="2" t="s">
        <v>41</v>
      </c>
      <c r="D300" s="2">
        <v>458</v>
      </c>
      <c r="E300" s="2">
        <v>443</v>
      </c>
      <c r="F300" s="2">
        <v>423</v>
      </c>
      <c r="G300" s="2">
        <v>406</v>
      </c>
      <c r="H300" s="2">
        <v>417</v>
      </c>
      <c r="I300" s="2">
        <v>398</v>
      </c>
      <c r="J300" s="2">
        <v>481</v>
      </c>
      <c r="K300" s="2">
        <v>425</v>
      </c>
      <c r="L300" s="2">
        <v>427</v>
      </c>
      <c r="M300" s="2">
        <v>413</v>
      </c>
      <c r="N300" s="2">
        <v>413</v>
      </c>
      <c r="O300" s="2">
        <v>409</v>
      </c>
      <c r="P300" s="2">
        <v>5113</v>
      </c>
      <c r="Q300" s="2">
        <v>50</v>
      </c>
      <c r="R300" s="2">
        <v>255650</v>
      </c>
      <c r="S300" s="4">
        <f>SUM($R$2:R300) / SUM($R:$R)</f>
        <v>0.96192986044139828</v>
      </c>
      <c r="T300" s="3" t="str">
        <f t="shared" si="24"/>
        <v>C</v>
      </c>
      <c r="U300" s="2">
        <f t="shared" si="25"/>
        <v>426.08333333333331</v>
      </c>
      <c r="V300" s="2">
        <f t="shared" si="26"/>
        <v>23.819237196141703</v>
      </c>
      <c r="W300" s="2">
        <f t="shared" si="27"/>
        <v>5.5902766742362692E-2</v>
      </c>
      <c r="X300" s="2" t="str">
        <f t="shared" si="28"/>
        <v>X</v>
      </c>
      <c r="Y300" s="2" t="str">
        <f t="shared" si="29"/>
        <v>CX</v>
      </c>
    </row>
    <row r="301" spans="1:25" x14ac:dyDescent="0.3">
      <c r="A301" s="2" t="s">
        <v>1755</v>
      </c>
      <c r="B301" s="2" t="s">
        <v>1756</v>
      </c>
      <c r="C301" s="2" t="s">
        <v>41</v>
      </c>
      <c r="D301" s="2">
        <v>212</v>
      </c>
      <c r="E301" s="2">
        <v>227</v>
      </c>
      <c r="F301" s="2">
        <v>207</v>
      </c>
      <c r="G301" s="2">
        <v>203</v>
      </c>
      <c r="H301" s="2">
        <v>240</v>
      </c>
      <c r="I301" s="2">
        <v>220</v>
      </c>
      <c r="J301" s="2">
        <v>207</v>
      </c>
      <c r="K301" s="2">
        <v>187</v>
      </c>
      <c r="L301" s="2">
        <v>198</v>
      </c>
      <c r="M301" s="2">
        <v>213</v>
      </c>
      <c r="N301" s="2">
        <v>204</v>
      </c>
      <c r="O301" s="2">
        <v>230</v>
      </c>
      <c r="P301" s="2">
        <v>2548</v>
      </c>
      <c r="Q301" s="2">
        <v>100</v>
      </c>
      <c r="R301" s="2">
        <v>254800</v>
      </c>
      <c r="S301" s="4">
        <f>SUM($R$2:R301) / SUM($R:$R)</f>
        <v>0.96216748319178091</v>
      </c>
      <c r="T301" s="3" t="str">
        <f t="shared" si="24"/>
        <v>C</v>
      </c>
      <c r="U301" s="2">
        <f t="shared" si="25"/>
        <v>212.33333333333334</v>
      </c>
      <c r="V301" s="2">
        <f t="shared" si="26"/>
        <v>14.809906594348709</v>
      </c>
      <c r="W301" s="2">
        <f t="shared" si="27"/>
        <v>6.9748382704938966E-2</v>
      </c>
      <c r="X301" s="2" t="str">
        <f t="shared" si="28"/>
        <v>X</v>
      </c>
      <c r="Y301" s="2" t="str">
        <f t="shared" si="29"/>
        <v>CX</v>
      </c>
    </row>
    <row r="302" spans="1:25" x14ac:dyDescent="0.3">
      <c r="A302" s="2" t="s">
        <v>717</v>
      </c>
      <c r="B302" s="2" t="s">
        <v>718</v>
      </c>
      <c r="C302" s="2" t="s">
        <v>20</v>
      </c>
      <c r="D302" s="2">
        <v>2340</v>
      </c>
      <c r="E302" s="2">
        <v>2002</v>
      </c>
      <c r="F302" s="2">
        <v>2112</v>
      </c>
      <c r="G302" s="2">
        <v>2282</v>
      </c>
      <c r="H302" s="2">
        <v>1938</v>
      </c>
      <c r="I302" s="2">
        <v>1899</v>
      </c>
      <c r="J302" s="2">
        <v>2271</v>
      </c>
      <c r="K302" s="2">
        <v>1808</v>
      </c>
      <c r="L302" s="2">
        <v>2188</v>
      </c>
      <c r="M302" s="2">
        <v>1973</v>
      </c>
      <c r="N302" s="2">
        <v>2250</v>
      </c>
      <c r="O302" s="2">
        <v>2415</v>
      </c>
      <c r="P302" s="2">
        <v>25478</v>
      </c>
      <c r="Q302" s="2">
        <v>10</v>
      </c>
      <c r="R302" s="2">
        <v>254780</v>
      </c>
      <c r="S302" s="4">
        <f>SUM($R$2:R302) / SUM($R:$R)</f>
        <v>0.96240508729045626</v>
      </c>
      <c r="T302" s="3" t="str">
        <f t="shared" si="24"/>
        <v>C</v>
      </c>
      <c r="U302" s="2">
        <f t="shared" si="25"/>
        <v>2123.1666666666665</v>
      </c>
      <c r="V302" s="2">
        <f t="shared" si="26"/>
        <v>195.58296697232345</v>
      </c>
      <c r="W302" s="2">
        <f t="shared" si="27"/>
        <v>9.211851808100642E-2</v>
      </c>
      <c r="X302" s="2" t="str">
        <f t="shared" si="28"/>
        <v>X</v>
      </c>
      <c r="Y302" s="2" t="str">
        <f t="shared" si="29"/>
        <v>CX</v>
      </c>
    </row>
    <row r="303" spans="1:25" x14ac:dyDescent="0.3">
      <c r="A303" s="2" t="s">
        <v>1903</v>
      </c>
      <c r="B303" s="2" t="s">
        <v>1904</v>
      </c>
      <c r="C303" s="2" t="s">
        <v>20</v>
      </c>
      <c r="D303" s="2">
        <v>2028</v>
      </c>
      <c r="E303" s="2">
        <v>2023</v>
      </c>
      <c r="F303" s="2">
        <v>2036</v>
      </c>
      <c r="G303" s="2">
        <v>2156</v>
      </c>
      <c r="H303" s="2">
        <v>2332</v>
      </c>
      <c r="I303" s="2">
        <v>1933</v>
      </c>
      <c r="J303" s="2">
        <v>2036</v>
      </c>
      <c r="K303" s="2">
        <v>2358</v>
      </c>
      <c r="L303" s="2">
        <v>2192</v>
      </c>
      <c r="M303" s="2">
        <v>2206</v>
      </c>
      <c r="N303" s="2">
        <v>1926</v>
      </c>
      <c r="O303" s="2">
        <v>2205</v>
      </c>
      <c r="P303" s="2">
        <v>25431</v>
      </c>
      <c r="Q303" s="2">
        <v>10</v>
      </c>
      <c r="R303" s="2">
        <v>254310</v>
      </c>
      <c r="S303" s="4">
        <f>SUM($R$2:R303) / SUM($R:$R)</f>
        <v>0.96264225307401119</v>
      </c>
      <c r="T303" s="3" t="str">
        <f t="shared" si="24"/>
        <v>C</v>
      </c>
      <c r="U303" s="2">
        <f t="shared" si="25"/>
        <v>2119.25</v>
      </c>
      <c r="V303" s="2">
        <f t="shared" si="26"/>
        <v>143.73974271704967</v>
      </c>
      <c r="W303" s="2">
        <f t="shared" si="27"/>
        <v>6.7825760394974483E-2</v>
      </c>
      <c r="X303" s="2" t="str">
        <f t="shared" si="28"/>
        <v>X</v>
      </c>
      <c r="Y303" s="2" t="str">
        <f t="shared" si="29"/>
        <v>CX</v>
      </c>
    </row>
    <row r="304" spans="1:25" x14ac:dyDescent="0.3">
      <c r="A304" s="2" t="s">
        <v>931</v>
      </c>
      <c r="B304" s="2" t="s">
        <v>932</v>
      </c>
      <c r="C304" s="2" t="s">
        <v>25</v>
      </c>
      <c r="D304" s="2">
        <v>324</v>
      </c>
      <c r="E304" s="2">
        <v>316</v>
      </c>
      <c r="F304" s="2">
        <v>79</v>
      </c>
      <c r="G304" s="2">
        <v>259</v>
      </c>
      <c r="H304" s="2">
        <v>502</v>
      </c>
      <c r="I304" s="2">
        <v>129</v>
      </c>
      <c r="J304" s="2">
        <v>587</v>
      </c>
      <c r="K304" s="2">
        <v>465</v>
      </c>
      <c r="L304" s="2">
        <v>446</v>
      </c>
      <c r="M304" s="2">
        <v>651</v>
      </c>
      <c r="N304" s="2">
        <v>593</v>
      </c>
      <c r="O304" s="2">
        <v>658</v>
      </c>
      <c r="P304" s="2">
        <v>5009</v>
      </c>
      <c r="Q304" s="2">
        <v>50</v>
      </c>
      <c r="R304" s="2">
        <v>250450</v>
      </c>
      <c r="S304" s="4">
        <f>SUM($R$2:R304) / SUM($R:$R)</f>
        <v>0.96287581907806663</v>
      </c>
      <c r="T304" s="3" t="str">
        <f t="shared" si="24"/>
        <v>C</v>
      </c>
      <c r="U304" s="2">
        <f t="shared" si="25"/>
        <v>417.41666666666669</v>
      </c>
      <c r="V304" s="2">
        <f t="shared" si="26"/>
        <v>196.34915946915186</v>
      </c>
      <c r="W304" s="2">
        <f t="shared" si="27"/>
        <v>0.47039127842479977</v>
      </c>
      <c r="X304" s="2" t="str">
        <f t="shared" si="28"/>
        <v>Y</v>
      </c>
      <c r="Y304" s="2" t="str">
        <f t="shared" si="29"/>
        <v>CY</v>
      </c>
    </row>
    <row r="305" spans="1:25" x14ac:dyDescent="0.3">
      <c r="A305" s="2" t="s">
        <v>1241</v>
      </c>
      <c r="B305" s="2" t="s">
        <v>1242</v>
      </c>
      <c r="C305" s="2" t="s">
        <v>20</v>
      </c>
      <c r="D305" s="2">
        <v>1955</v>
      </c>
      <c r="E305" s="2">
        <v>2629</v>
      </c>
      <c r="F305" s="2">
        <v>1876</v>
      </c>
      <c r="G305" s="2">
        <v>1693</v>
      </c>
      <c r="H305" s="2">
        <v>1703</v>
      </c>
      <c r="I305" s="2">
        <v>1981</v>
      </c>
      <c r="J305" s="2">
        <v>1871</v>
      </c>
      <c r="K305" s="2">
        <v>2279</v>
      </c>
      <c r="L305" s="2">
        <v>2228</v>
      </c>
      <c r="M305" s="2">
        <v>2361</v>
      </c>
      <c r="N305" s="2">
        <v>2088</v>
      </c>
      <c r="O305" s="2">
        <v>2321</v>
      </c>
      <c r="P305" s="2">
        <v>24985</v>
      </c>
      <c r="Q305" s="2">
        <v>10</v>
      </c>
      <c r="R305" s="2">
        <v>249850</v>
      </c>
      <c r="S305" s="4">
        <f>SUM($R$2:R305) / SUM($R:$R)</f>
        <v>0.96310882553090449</v>
      </c>
      <c r="T305" s="3" t="str">
        <f t="shared" si="24"/>
        <v>C</v>
      </c>
      <c r="U305" s="2">
        <f t="shared" si="25"/>
        <v>2082.0833333333335</v>
      </c>
      <c r="V305" s="2">
        <f t="shared" si="26"/>
        <v>286.44861774157749</v>
      </c>
      <c r="W305" s="2">
        <f t="shared" si="27"/>
        <v>0.13757788324590473</v>
      </c>
      <c r="X305" s="2" t="str">
        <f t="shared" si="28"/>
        <v>X</v>
      </c>
      <c r="Y305" s="2" t="str">
        <f t="shared" si="29"/>
        <v>CX</v>
      </c>
    </row>
    <row r="306" spans="1:25" x14ac:dyDescent="0.3">
      <c r="A306" s="2" t="s">
        <v>403</v>
      </c>
      <c r="B306" s="2" t="s">
        <v>404</v>
      </c>
      <c r="C306" s="2" t="s">
        <v>25</v>
      </c>
      <c r="D306" s="2">
        <v>563</v>
      </c>
      <c r="E306" s="2">
        <v>699</v>
      </c>
      <c r="F306" s="2">
        <v>208</v>
      </c>
      <c r="G306" s="2">
        <v>430</v>
      </c>
      <c r="H306" s="2">
        <v>263</v>
      </c>
      <c r="I306" s="2">
        <v>521</v>
      </c>
      <c r="J306" s="2">
        <v>448</v>
      </c>
      <c r="K306" s="2">
        <v>331</v>
      </c>
      <c r="L306" s="2">
        <v>381</v>
      </c>
      <c r="M306" s="2">
        <v>267</v>
      </c>
      <c r="N306" s="2">
        <v>437</v>
      </c>
      <c r="O306" s="2">
        <v>435</v>
      </c>
      <c r="P306" s="2">
        <v>4983</v>
      </c>
      <c r="Q306" s="2">
        <v>50</v>
      </c>
      <c r="R306" s="2">
        <v>249150</v>
      </c>
      <c r="S306" s="4">
        <f>SUM($R$2:R306) / SUM($R:$R)</f>
        <v>0.96334117917398865</v>
      </c>
      <c r="T306" s="3" t="str">
        <f t="shared" si="24"/>
        <v>C</v>
      </c>
      <c r="U306" s="2">
        <f t="shared" si="25"/>
        <v>415.25</v>
      </c>
      <c r="V306" s="2">
        <f t="shared" si="26"/>
        <v>138.84662892427878</v>
      </c>
      <c r="W306" s="2">
        <f t="shared" si="27"/>
        <v>0.33436876321319392</v>
      </c>
      <c r="X306" s="2" t="str">
        <f t="shared" si="28"/>
        <v>Y</v>
      </c>
      <c r="Y306" s="2" t="str">
        <f t="shared" si="29"/>
        <v>CY</v>
      </c>
    </row>
    <row r="307" spans="1:25" x14ac:dyDescent="0.3">
      <c r="A307" s="2" t="s">
        <v>1687</v>
      </c>
      <c r="B307" s="2" t="s">
        <v>1688</v>
      </c>
      <c r="C307" s="2" t="s">
        <v>36</v>
      </c>
      <c r="D307" s="2">
        <v>210</v>
      </c>
      <c r="E307" s="2">
        <v>204</v>
      </c>
      <c r="F307" s="2">
        <v>200</v>
      </c>
      <c r="G307" s="2">
        <v>203</v>
      </c>
      <c r="H307" s="2">
        <v>207</v>
      </c>
      <c r="I307" s="2">
        <v>216</v>
      </c>
      <c r="J307" s="2">
        <v>209</v>
      </c>
      <c r="K307" s="2">
        <v>218</v>
      </c>
      <c r="L307" s="2">
        <v>188</v>
      </c>
      <c r="M307" s="2">
        <v>224</v>
      </c>
      <c r="N307" s="2">
        <v>211</v>
      </c>
      <c r="O307" s="2">
        <v>198</v>
      </c>
      <c r="P307" s="2">
        <v>2488</v>
      </c>
      <c r="Q307" s="2">
        <v>100</v>
      </c>
      <c r="R307" s="2">
        <v>248800</v>
      </c>
      <c r="S307" s="4">
        <f>SUM($R$2:R307) / SUM($R:$R)</f>
        <v>0.96357320641219579</v>
      </c>
      <c r="T307" s="3" t="str">
        <f t="shared" si="24"/>
        <v>C</v>
      </c>
      <c r="U307" s="2">
        <f t="shared" si="25"/>
        <v>207.33333333333334</v>
      </c>
      <c r="V307" s="2">
        <f t="shared" si="26"/>
        <v>9.6984847301321278</v>
      </c>
      <c r="W307" s="2">
        <f t="shared" si="27"/>
        <v>4.6777257540830196E-2</v>
      </c>
      <c r="X307" s="2" t="str">
        <f t="shared" si="28"/>
        <v>X</v>
      </c>
      <c r="Y307" s="2" t="str">
        <f t="shared" si="29"/>
        <v>CX</v>
      </c>
    </row>
    <row r="308" spans="1:25" x14ac:dyDescent="0.3">
      <c r="A308" s="2" t="s">
        <v>1573</v>
      </c>
      <c r="B308" s="2" t="s">
        <v>1574</v>
      </c>
      <c r="C308" s="2" t="s">
        <v>20</v>
      </c>
      <c r="D308" s="2">
        <v>1888</v>
      </c>
      <c r="E308" s="2">
        <v>2130</v>
      </c>
      <c r="F308" s="2">
        <v>2304</v>
      </c>
      <c r="G308" s="2">
        <v>1682</v>
      </c>
      <c r="H308" s="2">
        <v>2074</v>
      </c>
      <c r="I308" s="2">
        <v>2320</v>
      </c>
      <c r="J308" s="2">
        <v>1897</v>
      </c>
      <c r="K308" s="2">
        <v>2111</v>
      </c>
      <c r="L308" s="2">
        <v>1977</v>
      </c>
      <c r="M308" s="2">
        <v>2152</v>
      </c>
      <c r="N308" s="2">
        <v>2054</v>
      </c>
      <c r="O308" s="2">
        <v>2163</v>
      </c>
      <c r="P308" s="2">
        <v>24752</v>
      </c>
      <c r="Q308" s="2">
        <v>10</v>
      </c>
      <c r="R308" s="2">
        <v>247520</v>
      </c>
      <c r="S308" s="4">
        <f>SUM($R$2:R308) / SUM($R:$R)</f>
        <v>0.96380403994113895</v>
      </c>
      <c r="T308" s="3" t="str">
        <f t="shared" si="24"/>
        <v>C</v>
      </c>
      <c r="U308" s="2">
        <f t="shared" si="25"/>
        <v>2062.6666666666665</v>
      </c>
      <c r="V308" s="2">
        <f t="shared" si="26"/>
        <v>180.85219144792012</v>
      </c>
      <c r="W308" s="2">
        <f t="shared" si="27"/>
        <v>8.7678825847407951E-2</v>
      </c>
      <c r="X308" s="2" t="str">
        <f t="shared" si="28"/>
        <v>X</v>
      </c>
      <c r="Y308" s="2" t="str">
        <f t="shared" si="29"/>
        <v>CX</v>
      </c>
    </row>
    <row r="309" spans="1:25" x14ac:dyDescent="0.3">
      <c r="A309" s="2" t="s">
        <v>1667</v>
      </c>
      <c r="B309" s="2" t="s">
        <v>1668</v>
      </c>
      <c r="C309" s="2" t="s">
        <v>20</v>
      </c>
      <c r="D309" s="2">
        <v>1721</v>
      </c>
      <c r="E309" s="2">
        <v>2554</v>
      </c>
      <c r="F309" s="2">
        <v>2249</v>
      </c>
      <c r="G309" s="2">
        <v>2026</v>
      </c>
      <c r="H309" s="2">
        <v>1797</v>
      </c>
      <c r="I309" s="2">
        <v>1990</v>
      </c>
      <c r="J309" s="2">
        <v>1859</v>
      </c>
      <c r="K309" s="2">
        <v>2180</v>
      </c>
      <c r="L309" s="2">
        <v>2288</v>
      </c>
      <c r="M309" s="2">
        <v>2125</v>
      </c>
      <c r="N309" s="2">
        <v>2098</v>
      </c>
      <c r="O309" s="2">
        <v>1837</v>
      </c>
      <c r="P309" s="2">
        <v>24724</v>
      </c>
      <c r="Q309" s="2">
        <v>10</v>
      </c>
      <c r="R309" s="2">
        <v>247240</v>
      </c>
      <c r="S309" s="4">
        <f>SUM($R$2:R309) / SUM($R:$R)</f>
        <v>0.96403461234618049</v>
      </c>
      <c r="T309" s="3" t="str">
        <f t="shared" si="24"/>
        <v>C</v>
      </c>
      <c r="U309" s="2">
        <f t="shared" si="25"/>
        <v>2060.3333333333335</v>
      </c>
      <c r="V309" s="2">
        <f t="shared" si="26"/>
        <v>239.71283324895685</v>
      </c>
      <c r="W309" s="2">
        <f t="shared" si="27"/>
        <v>0.11634662671847121</v>
      </c>
      <c r="X309" s="2" t="str">
        <f t="shared" si="28"/>
        <v>X</v>
      </c>
      <c r="Y309" s="2" t="str">
        <f t="shared" si="29"/>
        <v>CX</v>
      </c>
    </row>
    <row r="310" spans="1:25" x14ac:dyDescent="0.3">
      <c r="A310" s="2" t="s">
        <v>1961</v>
      </c>
      <c r="B310" s="2" t="s">
        <v>1962</v>
      </c>
      <c r="C310" s="2" t="s">
        <v>20</v>
      </c>
      <c r="D310" s="2">
        <v>1982</v>
      </c>
      <c r="E310" s="2">
        <v>2173</v>
      </c>
      <c r="F310" s="2">
        <v>2085</v>
      </c>
      <c r="G310" s="2">
        <v>1567</v>
      </c>
      <c r="H310" s="2">
        <v>2039</v>
      </c>
      <c r="I310" s="2">
        <v>1899</v>
      </c>
      <c r="J310" s="2">
        <v>2011</v>
      </c>
      <c r="K310" s="2">
        <v>1989</v>
      </c>
      <c r="L310" s="2">
        <v>2249</v>
      </c>
      <c r="M310" s="2">
        <v>2062</v>
      </c>
      <c r="N310" s="2">
        <v>2035</v>
      </c>
      <c r="O310" s="2">
        <v>2449</v>
      </c>
      <c r="P310" s="2">
        <v>24540</v>
      </c>
      <c r="Q310" s="2">
        <v>10</v>
      </c>
      <c r="R310" s="2">
        <v>245400</v>
      </c>
      <c r="S310" s="4">
        <f>SUM($R$2:R310) / SUM($R:$R)</f>
        <v>0.96426346879415503</v>
      </c>
      <c r="T310" s="3" t="str">
        <f t="shared" si="24"/>
        <v>C</v>
      </c>
      <c r="U310" s="2">
        <f t="shared" si="25"/>
        <v>2045</v>
      </c>
      <c r="V310" s="2">
        <f t="shared" si="26"/>
        <v>209.17630667149487</v>
      </c>
      <c r="W310" s="2">
        <f t="shared" si="27"/>
        <v>0.10228670252884835</v>
      </c>
      <c r="X310" s="2" t="str">
        <f t="shared" si="28"/>
        <v>X</v>
      </c>
      <c r="Y310" s="2" t="str">
        <f t="shared" si="29"/>
        <v>CX</v>
      </c>
    </row>
    <row r="311" spans="1:25" x14ac:dyDescent="0.3">
      <c r="A311" s="2" t="s">
        <v>619</v>
      </c>
      <c r="B311" s="2" t="s">
        <v>620</v>
      </c>
      <c r="C311" s="2" t="s">
        <v>20</v>
      </c>
      <c r="D311" s="2">
        <v>1865</v>
      </c>
      <c r="E311" s="2">
        <v>2075</v>
      </c>
      <c r="F311" s="2">
        <v>1752</v>
      </c>
      <c r="G311" s="2">
        <v>2179</v>
      </c>
      <c r="H311" s="2">
        <v>2186</v>
      </c>
      <c r="I311" s="2">
        <v>2440</v>
      </c>
      <c r="J311" s="2">
        <v>2253</v>
      </c>
      <c r="K311" s="2">
        <v>1829</v>
      </c>
      <c r="L311" s="2">
        <v>1925</v>
      </c>
      <c r="M311" s="2">
        <v>1847</v>
      </c>
      <c r="N311" s="2">
        <v>1905</v>
      </c>
      <c r="O311" s="2">
        <v>2272</v>
      </c>
      <c r="P311" s="2">
        <v>24528</v>
      </c>
      <c r="Q311" s="2">
        <v>10</v>
      </c>
      <c r="R311" s="2">
        <v>245280</v>
      </c>
      <c r="S311" s="4">
        <f>SUM($R$2:R311) / SUM($R:$R)</f>
        <v>0.96449221333188595</v>
      </c>
      <c r="T311" s="3" t="str">
        <f t="shared" si="24"/>
        <v>C</v>
      </c>
      <c r="U311" s="2">
        <f t="shared" si="25"/>
        <v>2044</v>
      </c>
      <c r="V311" s="2">
        <f t="shared" si="26"/>
        <v>219.01681130991668</v>
      </c>
      <c r="W311" s="2">
        <f t="shared" si="27"/>
        <v>0.10715108185416668</v>
      </c>
      <c r="X311" s="2" t="str">
        <f t="shared" si="28"/>
        <v>X</v>
      </c>
      <c r="Y311" s="2" t="str">
        <f t="shared" si="29"/>
        <v>CX</v>
      </c>
    </row>
    <row r="312" spans="1:25" x14ac:dyDescent="0.3">
      <c r="A312" s="2" t="s">
        <v>471</v>
      </c>
      <c r="B312" s="2" t="s">
        <v>472</v>
      </c>
      <c r="C312" s="2" t="s">
        <v>25</v>
      </c>
      <c r="D312" s="2">
        <v>389</v>
      </c>
      <c r="E312" s="2">
        <v>409</v>
      </c>
      <c r="F312" s="2">
        <v>286</v>
      </c>
      <c r="G312" s="2">
        <v>218</v>
      </c>
      <c r="H312" s="2">
        <v>129</v>
      </c>
      <c r="I312" s="2">
        <v>91</v>
      </c>
      <c r="J312" s="2">
        <v>239</v>
      </c>
      <c r="K312" s="2">
        <v>15</v>
      </c>
      <c r="L312" s="2">
        <v>369</v>
      </c>
      <c r="M312" s="2">
        <v>48</v>
      </c>
      <c r="N312" s="2">
        <v>119</v>
      </c>
      <c r="O312" s="2">
        <v>138</v>
      </c>
      <c r="P312" s="2">
        <v>2450</v>
      </c>
      <c r="Q312" s="2">
        <v>100</v>
      </c>
      <c r="R312" s="2">
        <v>245000</v>
      </c>
      <c r="S312" s="4">
        <f>SUM($R$2:R312) / SUM($R:$R)</f>
        <v>0.96472069674571537</v>
      </c>
      <c r="T312" s="3" t="str">
        <f t="shared" si="24"/>
        <v>C</v>
      </c>
      <c r="U312" s="2">
        <f t="shared" si="25"/>
        <v>204.16666666666666</v>
      </c>
      <c r="V312" s="2">
        <f t="shared" si="26"/>
        <v>135.39560442263146</v>
      </c>
      <c r="W312" s="2">
        <f t="shared" si="27"/>
        <v>0.66316214411084806</v>
      </c>
      <c r="X312" s="2" t="str">
        <f t="shared" si="28"/>
        <v>Z</v>
      </c>
      <c r="Y312" s="2" t="str">
        <f t="shared" si="29"/>
        <v>CZ</v>
      </c>
    </row>
    <row r="313" spans="1:25" x14ac:dyDescent="0.3">
      <c r="A313" s="2" t="s">
        <v>1117</v>
      </c>
      <c r="B313" s="2" t="s">
        <v>1118</v>
      </c>
      <c r="C313" s="2" t="s">
        <v>20</v>
      </c>
      <c r="D313" s="2">
        <v>2108</v>
      </c>
      <c r="E313" s="2">
        <v>2141</v>
      </c>
      <c r="F313" s="2">
        <v>1954</v>
      </c>
      <c r="G313" s="2">
        <v>1954</v>
      </c>
      <c r="H313" s="2">
        <v>1994</v>
      </c>
      <c r="I313" s="2">
        <v>1890</v>
      </c>
      <c r="J313" s="2">
        <v>2066</v>
      </c>
      <c r="K313" s="2">
        <v>2085</v>
      </c>
      <c r="L313" s="2">
        <v>2062</v>
      </c>
      <c r="M313" s="2">
        <v>2140</v>
      </c>
      <c r="N313" s="2">
        <v>2018</v>
      </c>
      <c r="O313" s="2">
        <v>1979</v>
      </c>
      <c r="P313" s="2">
        <v>24391</v>
      </c>
      <c r="Q313" s="2">
        <v>10</v>
      </c>
      <c r="R313" s="2">
        <v>243910</v>
      </c>
      <c r="S313" s="4">
        <f>SUM($R$2:R313) / SUM($R:$R)</f>
        <v>0.9649481636414996</v>
      </c>
      <c r="T313" s="3" t="str">
        <f t="shared" si="24"/>
        <v>C</v>
      </c>
      <c r="U313" s="2">
        <f t="shared" si="25"/>
        <v>2032.5833333333333</v>
      </c>
      <c r="V313" s="2">
        <f t="shared" si="26"/>
        <v>80.319202202364053</v>
      </c>
      <c r="W313" s="2">
        <f t="shared" si="27"/>
        <v>3.951582249306583E-2</v>
      </c>
      <c r="X313" s="2" t="str">
        <f t="shared" si="28"/>
        <v>X</v>
      </c>
      <c r="Y313" s="2" t="str">
        <f t="shared" si="29"/>
        <v>CX</v>
      </c>
    </row>
    <row r="314" spans="1:25" x14ac:dyDescent="0.3">
      <c r="A314" s="2" t="s">
        <v>1467</v>
      </c>
      <c r="B314" s="2" t="s">
        <v>1468</v>
      </c>
      <c r="C314" s="2" t="s">
        <v>41</v>
      </c>
      <c r="D314" s="2">
        <v>203</v>
      </c>
      <c r="E314" s="2">
        <v>205</v>
      </c>
      <c r="F314" s="2">
        <v>208</v>
      </c>
      <c r="G314" s="2">
        <v>211</v>
      </c>
      <c r="H314" s="2">
        <v>219</v>
      </c>
      <c r="I314" s="2">
        <v>213</v>
      </c>
      <c r="J314" s="2">
        <v>202</v>
      </c>
      <c r="K314" s="2">
        <v>200</v>
      </c>
      <c r="L314" s="2">
        <v>177</v>
      </c>
      <c r="M314" s="2">
        <v>203</v>
      </c>
      <c r="N314" s="2">
        <v>182</v>
      </c>
      <c r="O314" s="2">
        <v>199</v>
      </c>
      <c r="P314" s="2">
        <v>2422</v>
      </c>
      <c r="Q314" s="2">
        <v>100</v>
      </c>
      <c r="R314" s="2">
        <v>242200</v>
      </c>
      <c r="S314" s="4">
        <f>SUM($R$2:R314) / SUM($R:$R)</f>
        <v>0.96517403581631389</v>
      </c>
      <c r="T314" s="3" t="str">
        <f t="shared" si="24"/>
        <v>C</v>
      </c>
      <c r="U314" s="2">
        <f t="shared" si="25"/>
        <v>201.83333333333334</v>
      </c>
      <c r="V314" s="2">
        <f t="shared" si="26"/>
        <v>11.968392717588451</v>
      </c>
      <c r="W314" s="2">
        <f t="shared" si="27"/>
        <v>5.9298394967407679E-2</v>
      </c>
      <c r="X314" s="2" t="str">
        <f t="shared" si="28"/>
        <v>X</v>
      </c>
      <c r="Y314" s="2" t="str">
        <f t="shared" si="29"/>
        <v>CX</v>
      </c>
    </row>
    <row r="315" spans="1:25" x14ac:dyDescent="0.3">
      <c r="A315" s="2" t="s">
        <v>1801</v>
      </c>
      <c r="B315" s="2" t="s">
        <v>1802</v>
      </c>
      <c r="C315" s="2" t="s">
        <v>20</v>
      </c>
      <c r="D315" s="2">
        <v>2183</v>
      </c>
      <c r="E315" s="2">
        <v>2038</v>
      </c>
      <c r="F315" s="2">
        <v>2006</v>
      </c>
      <c r="G315" s="2">
        <v>1679</v>
      </c>
      <c r="H315" s="2">
        <v>1762</v>
      </c>
      <c r="I315" s="2">
        <v>1825</v>
      </c>
      <c r="J315" s="2">
        <v>2433</v>
      </c>
      <c r="K315" s="2">
        <v>2255</v>
      </c>
      <c r="L315" s="2">
        <v>2115</v>
      </c>
      <c r="M315" s="2">
        <v>1798</v>
      </c>
      <c r="N315" s="2">
        <v>1650</v>
      </c>
      <c r="O315" s="2">
        <v>2300</v>
      </c>
      <c r="P315" s="2">
        <v>24044</v>
      </c>
      <c r="Q315" s="2">
        <v>10</v>
      </c>
      <c r="R315" s="2">
        <v>240440</v>
      </c>
      <c r="S315" s="4">
        <f>SUM($R$2:R315) / SUM($R:$R)</f>
        <v>0.96539826664089001</v>
      </c>
      <c r="T315" s="3" t="str">
        <f t="shared" si="24"/>
        <v>C</v>
      </c>
      <c r="U315" s="2">
        <f t="shared" si="25"/>
        <v>2003.6666666666667</v>
      </c>
      <c r="V315" s="2">
        <f t="shared" si="26"/>
        <v>260.0980001787201</v>
      </c>
      <c r="W315" s="2">
        <f t="shared" si="27"/>
        <v>0.12981101323176847</v>
      </c>
      <c r="X315" s="2" t="str">
        <f t="shared" si="28"/>
        <v>X</v>
      </c>
      <c r="Y315" s="2" t="str">
        <f t="shared" si="29"/>
        <v>CX</v>
      </c>
    </row>
    <row r="316" spans="1:25" x14ac:dyDescent="0.3">
      <c r="A316" s="2" t="s">
        <v>765</v>
      </c>
      <c r="B316" s="2" t="s">
        <v>766</v>
      </c>
      <c r="C316" s="2" t="s">
        <v>25</v>
      </c>
      <c r="D316" s="2">
        <v>380</v>
      </c>
      <c r="E316" s="2">
        <v>620</v>
      </c>
      <c r="F316" s="2">
        <v>540</v>
      </c>
      <c r="G316" s="2">
        <v>381</v>
      </c>
      <c r="H316" s="2">
        <v>478</v>
      </c>
      <c r="I316" s="2">
        <v>369</v>
      </c>
      <c r="J316" s="2">
        <v>535</v>
      </c>
      <c r="K316" s="2">
        <v>217</v>
      </c>
      <c r="L316" s="2">
        <v>338</v>
      </c>
      <c r="M316" s="2">
        <v>643</v>
      </c>
      <c r="N316" s="2">
        <v>163</v>
      </c>
      <c r="O316" s="2">
        <v>114</v>
      </c>
      <c r="P316" s="2">
        <v>4778</v>
      </c>
      <c r="Q316" s="2">
        <v>50</v>
      </c>
      <c r="R316" s="2">
        <v>238900</v>
      </c>
      <c r="S316" s="4">
        <f>SUM($R$2:R316) / SUM($R:$R)</f>
        <v>0.96562106128400782</v>
      </c>
      <c r="T316" s="3" t="str">
        <f t="shared" si="24"/>
        <v>C</v>
      </c>
      <c r="U316" s="2">
        <f t="shared" si="25"/>
        <v>398.16666666666669</v>
      </c>
      <c r="V316" s="2">
        <f t="shared" si="26"/>
        <v>172.76828061851745</v>
      </c>
      <c r="W316" s="2">
        <f t="shared" si="27"/>
        <v>0.43390945320682489</v>
      </c>
      <c r="X316" s="2" t="str">
        <f t="shared" si="28"/>
        <v>Y</v>
      </c>
      <c r="Y316" s="2" t="str">
        <f t="shared" si="29"/>
        <v>CY</v>
      </c>
    </row>
    <row r="317" spans="1:25" x14ac:dyDescent="0.3">
      <c r="A317" s="2" t="s">
        <v>1383</v>
      </c>
      <c r="B317" s="2" t="s">
        <v>1384</v>
      </c>
      <c r="C317" s="2" t="s">
        <v>56</v>
      </c>
      <c r="D317" s="2">
        <v>198</v>
      </c>
      <c r="E317" s="2">
        <v>192</v>
      </c>
      <c r="F317" s="2">
        <v>194</v>
      </c>
      <c r="G317" s="2">
        <v>203</v>
      </c>
      <c r="H317" s="2">
        <v>190</v>
      </c>
      <c r="I317" s="2">
        <v>215</v>
      </c>
      <c r="J317" s="2">
        <v>197</v>
      </c>
      <c r="K317" s="2">
        <v>202</v>
      </c>
      <c r="L317" s="2">
        <v>197</v>
      </c>
      <c r="M317" s="2">
        <v>186</v>
      </c>
      <c r="N317" s="2">
        <v>192</v>
      </c>
      <c r="O317" s="2">
        <v>190</v>
      </c>
      <c r="P317" s="2">
        <v>2356</v>
      </c>
      <c r="Q317" s="2">
        <v>100</v>
      </c>
      <c r="R317" s="2">
        <v>235600</v>
      </c>
      <c r="S317" s="4">
        <f>SUM($R$2:R317) / SUM($R:$R)</f>
        <v>0.96584077839542903</v>
      </c>
      <c r="T317" s="3" t="str">
        <f t="shared" si="24"/>
        <v>C</v>
      </c>
      <c r="U317" s="2">
        <f t="shared" si="25"/>
        <v>196.33333333333334</v>
      </c>
      <c r="V317" s="2">
        <f t="shared" si="26"/>
        <v>7.738138528017438</v>
      </c>
      <c r="W317" s="2">
        <f t="shared" si="27"/>
        <v>3.9413269242873195E-2</v>
      </c>
      <c r="X317" s="2" t="str">
        <f t="shared" si="28"/>
        <v>X</v>
      </c>
      <c r="Y317" s="2" t="str">
        <f t="shared" si="29"/>
        <v>CX</v>
      </c>
    </row>
    <row r="318" spans="1:25" x14ac:dyDescent="0.3">
      <c r="A318" s="2" t="s">
        <v>1931</v>
      </c>
      <c r="B318" s="2" t="s">
        <v>1932</v>
      </c>
      <c r="C318" s="2" t="s">
        <v>25</v>
      </c>
      <c r="D318" s="2">
        <v>215</v>
      </c>
      <c r="E318" s="2">
        <v>243</v>
      </c>
      <c r="F318" s="2">
        <v>158</v>
      </c>
      <c r="G318" s="2">
        <v>73</v>
      </c>
      <c r="H318" s="2">
        <v>200</v>
      </c>
      <c r="I318" s="2">
        <v>366</v>
      </c>
      <c r="J318" s="2">
        <v>54</v>
      </c>
      <c r="K318" s="2">
        <v>317</v>
      </c>
      <c r="L318" s="2">
        <v>212</v>
      </c>
      <c r="M318" s="2">
        <v>30</v>
      </c>
      <c r="N318" s="2">
        <v>114</v>
      </c>
      <c r="O318" s="2">
        <v>349</v>
      </c>
      <c r="P318" s="2">
        <v>2331</v>
      </c>
      <c r="Q318" s="2">
        <v>100</v>
      </c>
      <c r="R318" s="2">
        <v>233100</v>
      </c>
      <c r="S318" s="4">
        <f>SUM($R$2:R318) / SUM($R:$R)</f>
        <v>0.96605816404344391</v>
      </c>
      <c r="T318" s="3" t="str">
        <f t="shared" si="24"/>
        <v>C</v>
      </c>
      <c r="U318" s="2">
        <f t="shared" si="25"/>
        <v>194.25</v>
      </c>
      <c r="V318" s="2">
        <f t="shared" si="26"/>
        <v>113.12593545570031</v>
      </c>
      <c r="W318" s="2">
        <f t="shared" si="27"/>
        <v>0.58237289809884329</v>
      </c>
      <c r="X318" s="2" t="str">
        <f t="shared" si="28"/>
        <v>Z</v>
      </c>
      <c r="Y318" s="2" t="str">
        <f t="shared" si="29"/>
        <v>CZ</v>
      </c>
    </row>
    <row r="319" spans="1:25" x14ac:dyDescent="0.3">
      <c r="A319" s="2" t="s">
        <v>399</v>
      </c>
      <c r="B319" s="2" t="s">
        <v>400</v>
      </c>
      <c r="C319" s="2" t="s">
        <v>36</v>
      </c>
      <c r="D319" s="2">
        <v>385</v>
      </c>
      <c r="E319" s="2">
        <v>386</v>
      </c>
      <c r="F319" s="2">
        <v>383</v>
      </c>
      <c r="G319" s="2">
        <v>405</v>
      </c>
      <c r="H319" s="2">
        <v>403</v>
      </c>
      <c r="I319" s="2">
        <v>380</v>
      </c>
      <c r="J319" s="2">
        <v>395</v>
      </c>
      <c r="K319" s="2">
        <v>417</v>
      </c>
      <c r="L319" s="2">
        <v>362</v>
      </c>
      <c r="M319" s="2">
        <v>384</v>
      </c>
      <c r="N319" s="2">
        <v>371</v>
      </c>
      <c r="O319" s="2">
        <v>389</v>
      </c>
      <c r="P319" s="2">
        <v>4660</v>
      </c>
      <c r="Q319" s="2">
        <v>50</v>
      </c>
      <c r="R319" s="2">
        <v>233000</v>
      </c>
      <c r="S319" s="4">
        <f>SUM($R$2:R319) / SUM($R:$R)</f>
        <v>0.96627545643292256</v>
      </c>
      <c r="T319" s="3" t="str">
        <f t="shared" si="24"/>
        <v>C</v>
      </c>
      <c r="U319" s="2">
        <f t="shared" si="25"/>
        <v>388.33333333333331</v>
      </c>
      <c r="V319" s="2">
        <f t="shared" si="26"/>
        <v>15.03531197084404</v>
      </c>
      <c r="W319" s="2">
        <f t="shared" si="27"/>
        <v>3.8717541555821564E-2</v>
      </c>
      <c r="X319" s="2" t="str">
        <f t="shared" si="28"/>
        <v>X</v>
      </c>
      <c r="Y319" s="2" t="str">
        <f t="shared" si="29"/>
        <v>CX</v>
      </c>
    </row>
    <row r="320" spans="1:25" x14ac:dyDescent="0.3">
      <c r="A320" s="2" t="s">
        <v>1549</v>
      </c>
      <c r="B320" s="2" t="s">
        <v>1550</v>
      </c>
      <c r="C320" s="2" t="s">
        <v>20</v>
      </c>
      <c r="D320" s="2">
        <v>1945</v>
      </c>
      <c r="E320" s="2">
        <v>1957</v>
      </c>
      <c r="F320" s="2">
        <v>1737</v>
      </c>
      <c r="G320" s="2">
        <v>1830</v>
      </c>
      <c r="H320" s="2">
        <v>2206</v>
      </c>
      <c r="I320" s="2">
        <v>2162</v>
      </c>
      <c r="J320" s="2">
        <v>1995</v>
      </c>
      <c r="K320" s="2">
        <v>1835</v>
      </c>
      <c r="L320" s="2">
        <v>1968</v>
      </c>
      <c r="M320" s="2">
        <v>1687</v>
      </c>
      <c r="N320" s="2">
        <v>1831</v>
      </c>
      <c r="O320" s="2">
        <v>2059</v>
      </c>
      <c r="P320" s="2">
        <v>23212</v>
      </c>
      <c r="Q320" s="2">
        <v>10</v>
      </c>
      <c r="R320" s="2">
        <v>232120</v>
      </c>
      <c r="S320" s="4">
        <f>SUM($R$2:R320) / SUM($R:$R)</f>
        <v>0.96649192814728213</v>
      </c>
      <c r="T320" s="3" t="str">
        <f t="shared" si="24"/>
        <v>C</v>
      </c>
      <c r="U320" s="2">
        <f t="shared" si="25"/>
        <v>1934.3333333333333</v>
      </c>
      <c r="V320" s="2">
        <f t="shared" si="26"/>
        <v>159.02048657803545</v>
      </c>
      <c r="W320" s="2">
        <f t="shared" si="27"/>
        <v>8.2209453685008843E-2</v>
      </c>
      <c r="X320" s="2" t="str">
        <f t="shared" si="28"/>
        <v>X</v>
      </c>
      <c r="Y320" s="2" t="str">
        <f t="shared" si="29"/>
        <v>CX</v>
      </c>
    </row>
    <row r="321" spans="1:25" x14ac:dyDescent="0.3">
      <c r="A321" s="2" t="s">
        <v>139</v>
      </c>
      <c r="B321" s="2" t="s">
        <v>140</v>
      </c>
      <c r="C321" s="2" t="s">
        <v>41</v>
      </c>
      <c r="D321" s="2">
        <v>392</v>
      </c>
      <c r="E321" s="2">
        <v>371</v>
      </c>
      <c r="F321" s="2">
        <v>359</v>
      </c>
      <c r="G321" s="2">
        <v>392</v>
      </c>
      <c r="H321" s="2">
        <v>398</v>
      </c>
      <c r="I321" s="2">
        <v>378</v>
      </c>
      <c r="J321" s="2">
        <v>361</v>
      </c>
      <c r="K321" s="2">
        <v>386</v>
      </c>
      <c r="L321" s="2">
        <v>399</v>
      </c>
      <c r="M321" s="2">
        <v>365</v>
      </c>
      <c r="N321" s="2">
        <v>403</v>
      </c>
      <c r="O321" s="2">
        <v>369</v>
      </c>
      <c r="P321" s="2">
        <v>4573</v>
      </c>
      <c r="Q321" s="2">
        <v>50</v>
      </c>
      <c r="R321" s="2">
        <v>228650</v>
      </c>
      <c r="S321" s="4">
        <f>SUM($R$2:R321) / SUM($R:$R)</f>
        <v>0.96670516379043347</v>
      </c>
      <c r="T321" s="3" t="str">
        <f t="shared" si="24"/>
        <v>C</v>
      </c>
      <c r="U321" s="2">
        <f t="shared" si="25"/>
        <v>381.08333333333331</v>
      </c>
      <c r="V321" s="2">
        <f t="shared" si="26"/>
        <v>15.831259832331346</v>
      </c>
      <c r="W321" s="2">
        <f t="shared" si="27"/>
        <v>4.154277673036872E-2</v>
      </c>
      <c r="X321" s="2" t="str">
        <f t="shared" si="28"/>
        <v>X</v>
      </c>
      <c r="Y321" s="2" t="str">
        <f t="shared" si="29"/>
        <v>CX</v>
      </c>
    </row>
    <row r="322" spans="1:25" x14ac:dyDescent="0.3">
      <c r="A322" s="2" t="s">
        <v>299</v>
      </c>
      <c r="B322" s="2" t="s">
        <v>300</v>
      </c>
      <c r="C322" s="2" t="s">
        <v>36</v>
      </c>
      <c r="D322" s="2">
        <v>383</v>
      </c>
      <c r="E322" s="2">
        <v>348</v>
      </c>
      <c r="F322" s="2">
        <v>382</v>
      </c>
      <c r="G322" s="2">
        <v>391</v>
      </c>
      <c r="H322" s="2">
        <v>377</v>
      </c>
      <c r="I322" s="2">
        <v>376</v>
      </c>
      <c r="J322" s="2">
        <v>385</v>
      </c>
      <c r="K322" s="2">
        <v>347</v>
      </c>
      <c r="L322" s="2">
        <v>406</v>
      </c>
      <c r="M322" s="2">
        <v>377</v>
      </c>
      <c r="N322" s="2">
        <v>353</v>
      </c>
      <c r="O322" s="2">
        <v>384</v>
      </c>
      <c r="P322" s="2">
        <v>4509</v>
      </c>
      <c r="Q322" s="2">
        <v>50</v>
      </c>
      <c r="R322" s="2">
        <v>225450</v>
      </c>
      <c r="S322" s="4">
        <f>SUM($R$2:R322) / SUM($R:$R)</f>
        <v>0.96691541516042478</v>
      </c>
      <c r="T322" s="3" t="str">
        <f t="shared" si="24"/>
        <v>C</v>
      </c>
      <c r="U322" s="2">
        <f t="shared" si="25"/>
        <v>375.75</v>
      </c>
      <c r="V322" s="2">
        <f t="shared" si="26"/>
        <v>17.863752023682942</v>
      </c>
      <c r="W322" s="2">
        <f t="shared" si="27"/>
        <v>4.7541588885383741E-2</v>
      </c>
      <c r="X322" s="2" t="str">
        <f t="shared" si="28"/>
        <v>X</v>
      </c>
      <c r="Y322" s="2" t="str">
        <f t="shared" si="29"/>
        <v>CX</v>
      </c>
    </row>
    <row r="323" spans="1:25" x14ac:dyDescent="0.3">
      <c r="A323" s="2" t="s">
        <v>635</v>
      </c>
      <c r="B323" s="2" t="s">
        <v>636</v>
      </c>
      <c r="C323" s="2" t="s">
        <v>41</v>
      </c>
      <c r="D323" s="2">
        <v>359</v>
      </c>
      <c r="E323" s="2">
        <v>352</v>
      </c>
      <c r="F323" s="2">
        <v>377</v>
      </c>
      <c r="G323" s="2">
        <v>372</v>
      </c>
      <c r="H323" s="2">
        <v>372</v>
      </c>
      <c r="I323" s="2">
        <v>372</v>
      </c>
      <c r="J323" s="2">
        <v>360</v>
      </c>
      <c r="K323" s="2">
        <v>412</v>
      </c>
      <c r="L323" s="2">
        <v>389</v>
      </c>
      <c r="M323" s="2">
        <v>392</v>
      </c>
      <c r="N323" s="2">
        <v>385</v>
      </c>
      <c r="O323" s="2">
        <v>359</v>
      </c>
      <c r="P323" s="2">
        <v>4501</v>
      </c>
      <c r="Q323" s="2">
        <v>50</v>
      </c>
      <c r="R323" s="2">
        <v>225050</v>
      </c>
      <c r="S323" s="4">
        <f>SUM($R$2:R323) / SUM($R:$R)</f>
        <v>0.96712529349627097</v>
      </c>
      <c r="T323" s="3" t="str">
        <f t="shared" ref="T323:T386" si="30">IF(S323&lt;=0.7, "A", IF(S323&lt;=0.9, "B", "C"))</f>
        <v>C</v>
      </c>
      <c r="U323" s="2">
        <f t="shared" ref="U323:U386" si="31">AVERAGE(D323:O323)</f>
        <v>375.08333333333331</v>
      </c>
      <c r="V323" s="2">
        <f t="shared" ref="V323:V386" si="32">_xlfn.STDEV.S(D323:O323)</f>
        <v>17.191215163212831</v>
      </c>
      <c r="W323" s="2">
        <f t="shared" ref="W323:W386" si="33">IF(U323=0,0,V323/U323)</f>
        <v>4.5833055311831593E-2</v>
      </c>
      <c r="X323" s="2" t="str">
        <f t="shared" ref="X323:X386" si="34">(IF(W323&lt;=0.2, "X", IF(W323&lt;=0.5, "Y", "Z")))</f>
        <v>X</v>
      </c>
      <c r="Y323" s="2" t="str">
        <f t="shared" ref="Y323:Y386" si="35">T323&amp;X323</f>
        <v>CX</v>
      </c>
    </row>
    <row r="324" spans="1:25" x14ac:dyDescent="0.3">
      <c r="A324" s="2" t="s">
        <v>2003</v>
      </c>
      <c r="B324" s="2" t="s">
        <v>2004</v>
      </c>
      <c r="C324" s="2" t="s">
        <v>20</v>
      </c>
      <c r="D324" s="2">
        <v>2039</v>
      </c>
      <c r="E324" s="2">
        <v>1691</v>
      </c>
      <c r="F324" s="2">
        <v>2094</v>
      </c>
      <c r="G324" s="2">
        <v>1754</v>
      </c>
      <c r="H324" s="2">
        <v>2032</v>
      </c>
      <c r="I324" s="2">
        <v>1829</v>
      </c>
      <c r="J324" s="2">
        <v>1702</v>
      </c>
      <c r="K324" s="2">
        <v>1485</v>
      </c>
      <c r="L324" s="2">
        <v>1907</v>
      </c>
      <c r="M324" s="2">
        <v>1839</v>
      </c>
      <c r="N324" s="2">
        <v>2024</v>
      </c>
      <c r="O324" s="2">
        <v>1962</v>
      </c>
      <c r="P324" s="2">
        <v>22358</v>
      </c>
      <c r="Q324" s="2">
        <v>10</v>
      </c>
      <c r="R324" s="2">
        <v>223580</v>
      </c>
      <c r="S324" s="4">
        <f>SUM($R$2:R324) / SUM($R:$R)</f>
        <v>0.96733380093163412</v>
      </c>
      <c r="T324" s="3" t="str">
        <f t="shared" si="30"/>
        <v>C</v>
      </c>
      <c r="U324" s="2">
        <f t="shared" si="31"/>
        <v>1863.1666666666667</v>
      </c>
      <c r="V324" s="2">
        <f t="shared" si="32"/>
        <v>181.54830728703553</v>
      </c>
      <c r="W324" s="2">
        <f t="shared" si="33"/>
        <v>9.7440723116755806E-2</v>
      </c>
      <c r="X324" s="2" t="str">
        <f t="shared" si="34"/>
        <v>X</v>
      </c>
      <c r="Y324" s="2" t="str">
        <f t="shared" si="35"/>
        <v>CX</v>
      </c>
    </row>
    <row r="325" spans="1:25" x14ac:dyDescent="0.3">
      <c r="A325" s="2" t="s">
        <v>1863</v>
      </c>
      <c r="B325" s="2" t="s">
        <v>1864</v>
      </c>
      <c r="C325" s="2" t="s">
        <v>56</v>
      </c>
      <c r="D325" s="2">
        <v>174</v>
      </c>
      <c r="E325" s="2">
        <v>179</v>
      </c>
      <c r="F325" s="2">
        <v>177</v>
      </c>
      <c r="G325" s="2">
        <v>207</v>
      </c>
      <c r="H325" s="2">
        <v>173</v>
      </c>
      <c r="I325" s="2">
        <v>196</v>
      </c>
      <c r="J325" s="2">
        <v>197</v>
      </c>
      <c r="K325" s="2">
        <v>165</v>
      </c>
      <c r="L325" s="2">
        <v>220</v>
      </c>
      <c r="M325" s="2">
        <v>187</v>
      </c>
      <c r="N325" s="2">
        <v>183</v>
      </c>
      <c r="O325" s="2">
        <v>165</v>
      </c>
      <c r="P325" s="2">
        <v>2223</v>
      </c>
      <c r="Q325" s="2">
        <v>100</v>
      </c>
      <c r="R325" s="2">
        <v>222300</v>
      </c>
      <c r="S325" s="4">
        <f>SUM($R$2:R325) / SUM($R:$R)</f>
        <v>0.96754111465773329</v>
      </c>
      <c r="T325" s="3" t="str">
        <f t="shared" si="30"/>
        <v>C</v>
      </c>
      <c r="U325" s="2">
        <f t="shared" si="31"/>
        <v>185.25</v>
      </c>
      <c r="V325" s="2">
        <f t="shared" si="32"/>
        <v>16.912206457843613</v>
      </c>
      <c r="W325" s="2">
        <f t="shared" si="33"/>
        <v>9.1293961985660532E-2</v>
      </c>
      <c r="X325" s="2" t="str">
        <f t="shared" si="34"/>
        <v>X</v>
      </c>
      <c r="Y325" s="2" t="str">
        <f t="shared" si="35"/>
        <v>CX</v>
      </c>
    </row>
    <row r="326" spans="1:25" x14ac:dyDescent="0.3">
      <c r="A326" s="2" t="s">
        <v>673</v>
      </c>
      <c r="B326" s="2" t="s">
        <v>674</v>
      </c>
      <c r="C326" s="2" t="s">
        <v>41</v>
      </c>
      <c r="D326" s="2">
        <v>194</v>
      </c>
      <c r="E326" s="2">
        <v>206</v>
      </c>
      <c r="F326" s="2">
        <v>201</v>
      </c>
      <c r="G326" s="2">
        <v>187</v>
      </c>
      <c r="H326" s="2">
        <v>181</v>
      </c>
      <c r="I326" s="2">
        <v>185</v>
      </c>
      <c r="J326" s="2">
        <v>196</v>
      </c>
      <c r="K326" s="2">
        <v>177</v>
      </c>
      <c r="L326" s="2">
        <v>186</v>
      </c>
      <c r="M326" s="2">
        <v>153</v>
      </c>
      <c r="N326" s="2">
        <v>181</v>
      </c>
      <c r="O326" s="2">
        <v>173</v>
      </c>
      <c r="P326" s="2">
        <v>2220</v>
      </c>
      <c r="Q326" s="2">
        <v>100</v>
      </c>
      <c r="R326" s="2">
        <v>222000</v>
      </c>
      <c r="S326" s="4">
        <f>SUM($R$2:R326) / SUM($R:$R)</f>
        <v>0.96774814860822356</v>
      </c>
      <c r="T326" s="3" t="str">
        <f t="shared" si="30"/>
        <v>C</v>
      </c>
      <c r="U326" s="2">
        <f t="shared" si="31"/>
        <v>185</v>
      </c>
      <c r="V326" s="2">
        <f t="shared" si="32"/>
        <v>14.038906976360698</v>
      </c>
      <c r="W326" s="2">
        <f t="shared" si="33"/>
        <v>7.5885983656003769E-2</v>
      </c>
      <c r="X326" s="2" t="str">
        <f t="shared" si="34"/>
        <v>X</v>
      </c>
      <c r="Y326" s="2" t="str">
        <f t="shared" si="35"/>
        <v>CX</v>
      </c>
    </row>
    <row r="327" spans="1:25" x14ac:dyDescent="0.3">
      <c r="A327" s="2" t="s">
        <v>415</v>
      </c>
      <c r="B327" s="2" t="s">
        <v>416</v>
      </c>
      <c r="C327" s="2" t="s">
        <v>20</v>
      </c>
      <c r="D327" s="2">
        <v>1946</v>
      </c>
      <c r="E327" s="2">
        <v>1732</v>
      </c>
      <c r="F327" s="2">
        <v>2004</v>
      </c>
      <c r="G327" s="2">
        <v>1927</v>
      </c>
      <c r="H327" s="2">
        <v>2152</v>
      </c>
      <c r="I327" s="2">
        <v>1514</v>
      </c>
      <c r="J327" s="2">
        <v>1562</v>
      </c>
      <c r="K327" s="2">
        <v>1984</v>
      </c>
      <c r="L327" s="2">
        <v>2068</v>
      </c>
      <c r="M327" s="2">
        <v>1615</v>
      </c>
      <c r="N327" s="2">
        <v>1826</v>
      </c>
      <c r="O327" s="2">
        <v>1784</v>
      </c>
      <c r="P327" s="2">
        <v>22114</v>
      </c>
      <c r="Q327" s="2">
        <v>10</v>
      </c>
      <c r="R327" s="2">
        <v>221140</v>
      </c>
      <c r="S327" s="4">
        <f>SUM($R$2:R327) / SUM($R:$R)</f>
        <v>0.96795438053530214</v>
      </c>
      <c r="T327" s="3" t="str">
        <f t="shared" si="30"/>
        <v>C</v>
      </c>
      <c r="U327" s="2">
        <f t="shared" si="31"/>
        <v>1842.8333333333333</v>
      </c>
      <c r="V327" s="2">
        <f t="shared" si="32"/>
        <v>205.57008684645822</v>
      </c>
      <c r="W327" s="2">
        <f t="shared" si="33"/>
        <v>0.11155110075777783</v>
      </c>
      <c r="X327" s="2" t="str">
        <f t="shared" si="34"/>
        <v>X</v>
      </c>
      <c r="Y327" s="2" t="str">
        <f t="shared" si="35"/>
        <v>CX</v>
      </c>
    </row>
    <row r="328" spans="1:25" x14ac:dyDescent="0.3">
      <c r="A328" s="2" t="s">
        <v>1349</v>
      </c>
      <c r="B328" s="2" t="s">
        <v>1350</v>
      </c>
      <c r="C328" s="2" t="s">
        <v>20</v>
      </c>
      <c r="D328" s="2">
        <v>1964</v>
      </c>
      <c r="E328" s="2">
        <v>1801</v>
      </c>
      <c r="F328" s="2">
        <v>1628</v>
      </c>
      <c r="G328" s="2">
        <v>1897</v>
      </c>
      <c r="H328" s="2">
        <v>1624</v>
      </c>
      <c r="I328" s="2">
        <v>1772</v>
      </c>
      <c r="J328" s="2">
        <v>1901</v>
      </c>
      <c r="K328" s="2">
        <v>1644</v>
      </c>
      <c r="L328" s="2">
        <v>1952</v>
      </c>
      <c r="M328" s="2">
        <v>2320</v>
      </c>
      <c r="N328" s="2">
        <v>1650</v>
      </c>
      <c r="O328" s="2">
        <v>1794</v>
      </c>
      <c r="P328" s="2">
        <v>21947</v>
      </c>
      <c r="Q328" s="2">
        <v>10</v>
      </c>
      <c r="R328" s="2">
        <v>219470</v>
      </c>
      <c r="S328" s="4">
        <f>SUM($R$2:R328) / SUM($R:$R)</f>
        <v>0.96815905504482513</v>
      </c>
      <c r="T328" s="3" t="str">
        <f t="shared" si="30"/>
        <v>C</v>
      </c>
      <c r="U328" s="2">
        <f t="shared" si="31"/>
        <v>1828.9166666666667</v>
      </c>
      <c r="V328" s="2">
        <f t="shared" si="32"/>
        <v>199.58887668647637</v>
      </c>
      <c r="W328" s="2">
        <f t="shared" si="33"/>
        <v>0.10912956304905984</v>
      </c>
      <c r="X328" s="2" t="str">
        <f t="shared" si="34"/>
        <v>X</v>
      </c>
      <c r="Y328" s="2" t="str">
        <f t="shared" si="35"/>
        <v>CX</v>
      </c>
    </row>
    <row r="329" spans="1:25" x14ac:dyDescent="0.3">
      <c r="A329" s="2" t="s">
        <v>1337</v>
      </c>
      <c r="B329" s="2" t="s">
        <v>1338</v>
      </c>
      <c r="C329" s="2" t="s">
        <v>41</v>
      </c>
      <c r="D329" s="2">
        <v>369</v>
      </c>
      <c r="E329" s="2">
        <v>340</v>
      </c>
      <c r="F329" s="2">
        <v>373</v>
      </c>
      <c r="G329" s="2">
        <v>384</v>
      </c>
      <c r="H329" s="2">
        <v>340</v>
      </c>
      <c r="I329" s="2">
        <v>377</v>
      </c>
      <c r="J329" s="2">
        <v>386</v>
      </c>
      <c r="K329" s="2">
        <v>352</v>
      </c>
      <c r="L329" s="2">
        <v>369</v>
      </c>
      <c r="M329" s="2">
        <v>342</v>
      </c>
      <c r="N329" s="2">
        <v>373</v>
      </c>
      <c r="O329" s="2">
        <v>356</v>
      </c>
      <c r="P329" s="2">
        <v>4361</v>
      </c>
      <c r="Q329" s="2">
        <v>50</v>
      </c>
      <c r="R329" s="2">
        <v>218050</v>
      </c>
      <c r="S329" s="4">
        <f>SUM($R$2:R329) / SUM($R:$R)</f>
        <v>0.96836240528313333</v>
      </c>
      <c r="T329" s="3" t="str">
        <f t="shared" si="30"/>
        <v>C</v>
      </c>
      <c r="U329" s="2">
        <f t="shared" si="31"/>
        <v>363.41666666666669</v>
      </c>
      <c r="V329" s="2">
        <f t="shared" si="32"/>
        <v>16.800748540322584</v>
      </c>
      <c r="W329" s="2">
        <f t="shared" si="33"/>
        <v>4.6229989104304287E-2</v>
      </c>
      <c r="X329" s="2" t="str">
        <f t="shared" si="34"/>
        <v>X</v>
      </c>
      <c r="Y329" s="2" t="str">
        <f t="shared" si="35"/>
        <v>CX</v>
      </c>
    </row>
    <row r="330" spans="1:25" x14ac:dyDescent="0.3">
      <c r="A330" s="2" t="s">
        <v>1983</v>
      </c>
      <c r="B330" s="2" t="s">
        <v>1984</v>
      </c>
      <c r="C330" s="2" t="s">
        <v>20</v>
      </c>
      <c r="D330" s="2">
        <v>1744</v>
      </c>
      <c r="E330" s="2">
        <v>1951</v>
      </c>
      <c r="F330" s="2">
        <v>1857</v>
      </c>
      <c r="G330" s="2">
        <v>1911</v>
      </c>
      <c r="H330" s="2">
        <v>2004</v>
      </c>
      <c r="I330" s="2">
        <v>1789</v>
      </c>
      <c r="J330" s="2">
        <v>1700</v>
      </c>
      <c r="K330" s="2">
        <v>1853</v>
      </c>
      <c r="L330" s="2">
        <v>1835</v>
      </c>
      <c r="M330" s="2">
        <v>1561</v>
      </c>
      <c r="N330" s="2">
        <v>1724</v>
      </c>
      <c r="O330" s="2">
        <v>1755</v>
      </c>
      <c r="P330" s="2">
        <v>21684</v>
      </c>
      <c r="Q330" s="2">
        <v>10</v>
      </c>
      <c r="R330" s="2">
        <v>216840</v>
      </c>
      <c r="S330" s="4">
        <f>SUM($R$2:R330) / SUM($R:$R)</f>
        <v>0.96856462709315283</v>
      </c>
      <c r="T330" s="3" t="str">
        <f t="shared" si="30"/>
        <v>C</v>
      </c>
      <c r="U330" s="2">
        <f t="shared" si="31"/>
        <v>1807</v>
      </c>
      <c r="V330" s="2">
        <f t="shared" si="32"/>
        <v>121.21056059601408</v>
      </c>
      <c r="W330" s="2">
        <f t="shared" si="33"/>
        <v>6.7078340119542931E-2</v>
      </c>
      <c r="X330" s="2" t="str">
        <f t="shared" si="34"/>
        <v>X</v>
      </c>
      <c r="Y330" s="2" t="str">
        <f t="shared" si="35"/>
        <v>CX</v>
      </c>
    </row>
    <row r="331" spans="1:25" x14ac:dyDescent="0.3">
      <c r="A331" s="2" t="s">
        <v>1229</v>
      </c>
      <c r="B331" s="2" t="s">
        <v>1230</v>
      </c>
      <c r="C331" s="2" t="s">
        <v>25</v>
      </c>
      <c r="D331" s="2">
        <v>396</v>
      </c>
      <c r="E331" s="2">
        <v>434</v>
      </c>
      <c r="F331" s="2">
        <v>117</v>
      </c>
      <c r="G331" s="2">
        <v>146</v>
      </c>
      <c r="H331" s="2">
        <v>564</v>
      </c>
      <c r="I331" s="2">
        <v>255</v>
      </c>
      <c r="J331" s="2">
        <v>484</v>
      </c>
      <c r="K331" s="2">
        <v>523</v>
      </c>
      <c r="L331" s="2">
        <v>156</v>
      </c>
      <c r="M331" s="2">
        <v>129</v>
      </c>
      <c r="N331" s="2">
        <v>531</v>
      </c>
      <c r="O331" s="2">
        <v>588</v>
      </c>
      <c r="P331" s="2">
        <v>4323</v>
      </c>
      <c r="Q331" s="2">
        <v>50</v>
      </c>
      <c r="R331" s="2">
        <v>216150</v>
      </c>
      <c r="S331" s="4">
        <f>SUM($R$2:R331) / SUM($R:$R)</f>
        <v>0.96876620541927216</v>
      </c>
      <c r="T331" s="3" t="str">
        <f t="shared" si="30"/>
        <v>C</v>
      </c>
      <c r="U331" s="2">
        <f t="shared" si="31"/>
        <v>360.25</v>
      </c>
      <c r="V331" s="2">
        <f t="shared" si="32"/>
        <v>186.45112691338909</v>
      </c>
      <c r="W331" s="2">
        <f t="shared" si="33"/>
        <v>0.51756038005104532</v>
      </c>
      <c r="X331" s="2" t="str">
        <f t="shared" si="34"/>
        <v>Z</v>
      </c>
      <c r="Y331" s="2" t="str">
        <f t="shared" si="35"/>
        <v>CZ</v>
      </c>
    </row>
    <row r="332" spans="1:25" x14ac:dyDescent="0.3">
      <c r="A332" s="2" t="s">
        <v>1421</v>
      </c>
      <c r="B332" s="2" t="s">
        <v>1422</v>
      </c>
      <c r="C332" s="2" t="s">
        <v>20</v>
      </c>
      <c r="D332" s="2">
        <v>1860</v>
      </c>
      <c r="E332" s="2">
        <v>2057</v>
      </c>
      <c r="F332" s="2">
        <v>1611</v>
      </c>
      <c r="G332" s="2">
        <v>1741</v>
      </c>
      <c r="H332" s="2">
        <v>2037</v>
      </c>
      <c r="I332" s="2">
        <v>1703</v>
      </c>
      <c r="J332" s="2">
        <v>1887</v>
      </c>
      <c r="K332" s="2">
        <v>1486</v>
      </c>
      <c r="L332" s="2">
        <v>1713</v>
      </c>
      <c r="M332" s="2">
        <v>1536</v>
      </c>
      <c r="N332" s="2">
        <v>1965</v>
      </c>
      <c r="O332" s="2">
        <v>1800</v>
      </c>
      <c r="P332" s="2">
        <v>21396</v>
      </c>
      <c r="Q332" s="2">
        <v>10</v>
      </c>
      <c r="R332" s="2">
        <v>213960</v>
      </c>
      <c r="S332" s="4">
        <f>SUM($R$2:R332) / SUM($R:$R)</f>
        <v>0.96896574138344749</v>
      </c>
      <c r="T332" s="3" t="str">
        <f t="shared" si="30"/>
        <v>C</v>
      </c>
      <c r="U332" s="2">
        <f t="shared" si="31"/>
        <v>1783</v>
      </c>
      <c r="V332" s="2">
        <f t="shared" si="32"/>
        <v>186.25886190021575</v>
      </c>
      <c r="W332" s="2">
        <f t="shared" si="33"/>
        <v>0.10446374756041264</v>
      </c>
      <c r="X332" s="2" t="str">
        <f t="shared" si="34"/>
        <v>X</v>
      </c>
      <c r="Y332" s="2" t="str">
        <f t="shared" si="35"/>
        <v>CX</v>
      </c>
    </row>
    <row r="333" spans="1:25" x14ac:dyDescent="0.3">
      <c r="A333" s="2" t="s">
        <v>1075</v>
      </c>
      <c r="B333" s="2" t="s">
        <v>1076</v>
      </c>
      <c r="C333" s="2" t="s">
        <v>20</v>
      </c>
      <c r="D333" s="2">
        <v>1626</v>
      </c>
      <c r="E333" s="2">
        <v>1613</v>
      </c>
      <c r="F333" s="2">
        <v>1196</v>
      </c>
      <c r="G333" s="2">
        <v>1905</v>
      </c>
      <c r="H333" s="2">
        <v>1538</v>
      </c>
      <c r="I333" s="2">
        <v>1417</v>
      </c>
      <c r="J333" s="2">
        <v>1739</v>
      </c>
      <c r="K333" s="2">
        <v>1785</v>
      </c>
      <c r="L333" s="2">
        <v>1763</v>
      </c>
      <c r="M333" s="2">
        <v>2115</v>
      </c>
      <c r="N333" s="2">
        <v>2067</v>
      </c>
      <c r="O333" s="2">
        <v>2060</v>
      </c>
      <c r="P333" s="2">
        <v>20824</v>
      </c>
      <c r="Q333" s="2">
        <v>10</v>
      </c>
      <c r="R333" s="2">
        <v>208240</v>
      </c>
      <c r="S333" s="4">
        <f>SUM($R$2:R333) / SUM($R:$R)</f>
        <v>0.96915994295934893</v>
      </c>
      <c r="T333" s="3" t="str">
        <f t="shared" si="30"/>
        <v>C</v>
      </c>
      <c r="U333" s="2">
        <f t="shared" si="31"/>
        <v>1735.3333333333333</v>
      </c>
      <c r="V333" s="2">
        <f t="shared" si="32"/>
        <v>277.92521339818023</v>
      </c>
      <c r="W333" s="2">
        <f t="shared" si="33"/>
        <v>0.16015667310690371</v>
      </c>
      <c r="X333" s="2" t="str">
        <f t="shared" si="34"/>
        <v>X</v>
      </c>
      <c r="Y333" s="2" t="str">
        <f t="shared" si="35"/>
        <v>CX</v>
      </c>
    </row>
    <row r="334" spans="1:25" x14ac:dyDescent="0.3">
      <c r="A334" s="2" t="s">
        <v>923</v>
      </c>
      <c r="B334" s="2" t="s">
        <v>924</v>
      </c>
      <c r="C334" s="2" t="s">
        <v>20</v>
      </c>
      <c r="D334" s="2">
        <v>1896</v>
      </c>
      <c r="E334" s="2">
        <v>1684</v>
      </c>
      <c r="F334" s="2">
        <v>1716</v>
      </c>
      <c r="G334" s="2">
        <v>1810</v>
      </c>
      <c r="H334" s="2">
        <v>1670</v>
      </c>
      <c r="I334" s="2">
        <v>1664</v>
      </c>
      <c r="J334" s="2">
        <v>1809</v>
      </c>
      <c r="K334" s="2">
        <v>1927</v>
      </c>
      <c r="L334" s="2">
        <v>1674</v>
      </c>
      <c r="M334" s="2">
        <v>1630</v>
      </c>
      <c r="N334" s="2">
        <v>1947</v>
      </c>
      <c r="O334" s="2">
        <v>1393</v>
      </c>
      <c r="P334" s="2">
        <v>20820</v>
      </c>
      <c r="Q334" s="2">
        <v>10</v>
      </c>
      <c r="R334" s="2">
        <v>208200</v>
      </c>
      <c r="S334" s="4">
        <f>SUM($R$2:R334) / SUM($R:$R)</f>
        <v>0.96935410723183579</v>
      </c>
      <c r="T334" s="3" t="str">
        <f t="shared" si="30"/>
        <v>C</v>
      </c>
      <c r="U334" s="2">
        <f t="shared" si="31"/>
        <v>1735</v>
      </c>
      <c r="V334" s="2">
        <f t="shared" si="32"/>
        <v>154.55743269089325</v>
      </c>
      <c r="W334" s="2">
        <f t="shared" si="33"/>
        <v>8.9082093769967285E-2</v>
      </c>
      <c r="X334" s="2" t="str">
        <f t="shared" si="34"/>
        <v>X</v>
      </c>
      <c r="Y334" s="2" t="str">
        <f t="shared" si="35"/>
        <v>CX</v>
      </c>
    </row>
    <row r="335" spans="1:25" x14ac:dyDescent="0.3">
      <c r="A335" s="2" t="s">
        <v>1519</v>
      </c>
      <c r="B335" s="2" t="s">
        <v>1520</v>
      </c>
      <c r="C335" s="2" t="s">
        <v>41</v>
      </c>
      <c r="D335" s="2">
        <v>350</v>
      </c>
      <c r="E335" s="2">
        <v>366</v>
      </c>
      <c r="F335" s="2">
        <v>367</v>
      </c>
      <c r="G335" s="2">
        <v>308</v>
      </c>
      <c r="H335" s="2">
        <v>313</v>
      </c>
      <c r="I335" s="2">
        <v>339</v>
      </c>
      <c r="J335" s="2">
        <v>362</v>
      </c>
      <c r="K335" s="2">
        <v>313</v>
      </c>
      <c r="L335" s="2">
        <v>359</v>
      </c>
      <c r="M335" s="2">
        <v>378</v>
      </c>
      <c r="N335" s="2">
        <v>333</v>
      </c>
      <c r="O335" s="2">
        <v>362</v>
      </c>
      <c r="P335" s="2">
        <v>4150</v>
      </c>
      <c r="Q335" s="2">
        <v>50</v>
      </c>
      <c r="R335" s="2">
        <v>207500</v>
      </c>
      <c r="S335" s="4">
        <f>SUM($R$2:R335) / SUM($R:$R)</f>
        <v>0.96954761869456885</v>
      </c>
      <c r="T335" s="3" t="str">
        <f t="shared" si="30"/>
        <v>C</v>
      </c>
      <c r="U335" s="2">
        <f t="shared" si="31"/>
        <v>345.83333333333331</v>
      </c>
      <c r="V335" s="2">
        <f t="shared" si="32"/>
        <v>24.124048104944929</v>
      </c>
      <c r="W335" s="2">
        <f t="shared" si="33"/>
        <v>6.9756283676949193E-2</v>
      </c>
      <c r="X335" s="2" t="str">
        <f t="shared" si="34"/>
        <v>X</v>
      </c>
      <c r="Y335" s="2" t="str">
        <f t="shared" si="35"/>
        <v>CX</v>
      </c>
    </row>
    <row r="336" spans="1:25" x14ac:dyDescent="0.3">
      <c r="A336" s="2" t="s">
        <v>2019</v>
      </c>
      <c r="B336" s="2" t="s">
        <v>2020</v>
      </c>
      <c r="C336" s="2" t="s">
        <v>56</v>
      </c>
      <c r="D336" s="2">
        <v>322</v>
      </c>
      <c r="E336" s="2">
        <v>357</v>
      </c>
      <c r="F336" s="2">
        <v>342</v>
      </c>
      <c r="G336" s="2">
        <v>361</v>
      </c>
      <c r="H336" s="2">
        <v>365</v>
      </c>
      <c r="I336" s="2">
        <v>330</v>
      </c>
      <c r="J336" s="2">
        <v>329</v>
      </c>
      <c r="K336" s="2">
        <v>326</v>
      </c>
      <c r="L336" s="2">
        <v>337</v>
      </c>
      <c r="M336" s="2">
        <v>351</v>
      </c>
      <c r="N336" s="2">
        <v>350</v>
      </c>
      <c r="O336" s="2">
        <v>341</v>
      </c>
      <c r="P336" s="2">
        <v>4111</v>
      </c>
      <c r="Q336" s="2">
        <v>50</v>
      </c>
      <c r="R336" s="2">
        <v>205550</v>
      </c>
      <c r="S336" s="4">
        <f>SUM($R$2:R336) / SUM($R:$R)</f>
        <v>0.96973931161584492</v>
      </c>
      <c r="T336" s="3" t="str">
        <f t="shared" si="30"/>
        <v>C</v>
      </c>
      <c r="U336" s="2">
        <f t="shared" si="31"/>
        <v>342.58333333333331</v>
      </c>
      <c r="V336" s="2">
        <f t="shared" si="32"/>
        <v>14.304851899925001</v>
      </c>
      <c r="W336" s="2">
        <f t="shared" si="33"/>
        <v>4.1755831379007548E-2</v>
      </c>
      <c r="X336" s="2" t="str">
        <f t="shared" si="34"/>
        <v>X</v>
      </c>
      <c r="Y336" s="2" t="str">
        <f t="shared" si="35"/>
        <v>CX</v>
      </c>
    </row>
    <row r="337" spans="1:25" x14ac:dyDescent="0.3">
      <c r="A337" s="2" t="s">
        <v>1437</v>
      </c>
      <c r="B337" s="2" t="s">
        <v>1438</v>
      </c>
      <c r="C337" s="2" t="s">
        <v>20</v>
      </c>
      <c r="D337" s="2">
        <v>2041</v>
      </c>
      <c r="E337" s="2">
        <v>1780</v>
      </c>
      <c r="F337" s="2">
        <v>1624</v>
      </c>
      <c r="G337" s="2">
        <v>1767</v>
      </c>
      <c r="H337" s="2">
        <v>1715</v>
      </c>
      <c r="I337" s="2">
        <v>1331</v>
      </c>
      <c r="J337" s="2">
        <v>1778</v>
      </c>
      <c r="K337" s="2">
        <v>1567</v>
      </c>
      <c r="L337" s="2">
        <v>1556</v>
      </c>
      <c r="M337" s="2">
        <v>1605</v>
      </c>
      <c r="N337" s="2">
        <v>1635</v>
      </c>
      <c r="O337" s="2">
        <v>2075</v>
      </c>
      <c r="P337" s="2">
        <v>20474</v>
      </c>
      <c r="Q337" s="2">
        <v>10</v>
      </c>
      <c r="R337" s="2">
        <v>204740</v>
      </c>
      <c r="S337" s="4">
        <f>SUM($R$2:R337) / SUM($R:$R)</f>
        <v>0.96993024914297732</v>
      </c>
      <c r="T337" s="3" t="str">
        <f t="shared" si="30"/>
        <v>C</v>
      </c>
      <c r="U337" s="2">
        <f t="shared" si="31"/>
        <v>1706.1666666666667</v>
      </c>
      <c r="V337" s="2">
        <f t="shared" si="32"/>
        <v>206.10228410949571</v>
      </c>
      <c r="W337" s="2">
        <f t="shared" si="33"/>
        <v>0.12079844726550495</v>
      </c>
      <c r="X337" s="2" t="str">
        <f t="shared" si="34"/>
        <v>X</v>
      </c>
      <c r="Y337" s="2" t="str">
        <f t="shared" si="35"/>
        <v>CX</v>
      </c>
    </row>
    <row r="338" spans="1:25" x14ac:dyDescent="0.3">
      <c r="A338" s="2" t="s">
        <v>1553</v>
      </c>
      <c r="B338" s="2" t="s">
        <v>1554</v>
      </c>
      <c r="C338" s="2" t="s">
        <v>20</v>
      </c>
      <c r="D338" s="2">
        <v>1715</v>
      </c>
      <c r="E338" s="2">
        <v>1605</v>
      </c>
      <c r="F338" s="2">
        <v>1304</v>
      </c>
      <c r="G338" s="2">
        <v>2003</v>
      </c>
      <c r="H338" s="2">
        <v>1590</v>
      </c>
      <c r="I338" s="2">
        <v>1591</v>
      </c>
      <c r="J338" s="2">
        <v>1696</v>
      </c>
      <c r="K338" s="2">
        <v>1801</v>
      </c>
      <c r="L338" s="2">
        <v>1630</v>
      </c>
      <c r="M338" s="2">
        <v>1832</v>
      </c>
      <c r="N338" s="2">
        <v>1870</v>
      </c>
      <c r="O338" s="2">
        <v>1575</v>
      </c>
      <c r="P338" s="2">
        <v>20212</v>
      </c>
      <c r="Q338" s="2">
        <v>10</v>
      </c>
      <c r="R338" s="2">
        <v>202120</v>
      </c>
      <c r="S338" s="4">
        <f>SUM($R$2:R338) / SUM($R:$R)</f>
        <v>0.97011874329645986</v>
      </c>
      <c r="T338" s="3" t="str">
        <f t="shared" si="30"/>
        <v>C</v>
      </c>
      <c r="U338" s="2">
        <f t="shared" si="31"/>
        <v>1684.3333333333333</v>
      </c>
      <c r="V338" s="2">
        <f t="shared" si="32"/>
        <v>179.89306587946888</v>
      </c>
      <c r="W338" s="2">
        <f t="shared" si="33"/>
        <v>0.10680372009467774</v>
      </c>
      <c r="X338" s="2" t="str">
        <f t="shared" si="34"/>
        <v>X</v>
      </c>
      <c r="Y338" s="2" t="str">
        <f t="shared" si="35"/>
        <v>CX</v>
      </c>
    </row>
    <row r="339" spans="1:25" x14ac:dyDescent="0.3">
      <c r="A339" s="2" t="s">
        <v>1477</v>
      </c>
      <c r="B339" s="2" t="s">
        <v>1478</v>
      </c>
      <c r="C339" s="2" t="s">
        <v>20</v>
      </c>
      <c r="D339" s="2">
        <v>1923</v>
      </c>
      <c r="E339" s="2">
        <v>1451</v>
      </c>
      <c r="F339" s="2">
        <v>1689</v>
      </c>
      <c r="G339" s="2">
        <v>1799</v>
      </c>
      <c r="H339" s="2">
        <v>2097</v>
      </c>
      <c r="I339" s="2">
        <v>1374</v>
      </c>
      <c r="J339" s="2">
        <v>1572</v>
      </c>
      <c r="K339" s="2">
        <v>1698</v>
      </c>
      <c r="L339" s="2">
        <v>1626</v>
      </c>
      <c r="M339" s="2">
        <v>1558</v>
      </c>
      <c r="N339" s="2">
        <v>1476</v>
      </c>
      <c r="O339" s="2">
        <v>1739</v>
      </c>
      <c r="P339" s="2">
        <v>20002</v>
      </c>
      <c r="Q339" s="2">
        <v>10</v>
      </c>
      <c r="R339" s="2">
        <v>200020</v>
      </c>
      <c r="S339" s="4">
        <f>SUM($R$2:R339) / SUM($R:$R)</f>
        <v>0.97030527902068087</v>
      </c>
      <c r="T339" s="3" t="str">
        <f t="shared" si="30"/>
        <v>C</v>
      </c>
      <c r="U339" s="2">
        <f t="shared" si="31"/>
        <v>1666.8333333333333</v>
      </c>
      <c r="V339" s="2">
        <f t="shared" si="32"/>
        <v>205.83790327401448</v>
      </c>
      <c r="W339" s="2">
        <f t="shared" si="33"/>
        <v>0.12349039292511618</v>
      </c>
      <c r="X339" s="2" t="str">
        <f t="shared" si="34"/>
        <v>X</v>
      </c>
      <c r="Y339" s="2" t="str">
        <f t="shared" si="35"/>
        <v>CX</v>
      </c>
    </row>
    <row r="340" spans="1:25" x14ac:dyDescent="0.3">
      <c r="A340" s="2" t="s">
        <v>1781</v>
      </c>
      <c r="B340" s="2" t="s">
        <v>1782</v>
      </c>
      <c r="C340" s="2" t="s">
        <v>20</v>
      </c>
      <c r="D340" s="2">
        <v>1716</v>
      </c>
      <c r="E340" s="2">
        <v>1489</v>
      </c>
      <c r="F340" s="2">
        <v>1539</v>
      </c>
      <c r="G340" s="2">
        <v>1809</v>
      </c>
      <c r="H340" s="2">
        <v>1612</v>
      </c>
      <c r="I340" s="2">
        <v>1655</v>
      </c>
      <c r="J340" s="2">
        <v>1685</v>
      </c>
      <c r="K340" s="2">
        <v>1452</v>
      </c>
      <c r="L340" s="2">
        <v>1712</v>
      </c>
      <c r="M340" s="2">
        <v>1800</v>
      </c>
      <c r="N340" s="2">
        <v>1788</v>
      </c>
      <c r="O340" s="2">
        <v>1663</v>
      </c>
      <c r="P340" s="2">
        <v>19920</v>
      </c>
      <c r="Q340" s="2">
        <v>10</v>
      </c>
      <c r="R340" s="2">
        <v>199200</v>
      </c>
      <c r="S340" s="4">
        <f>SUM($R$2:R340) / SUM($R:$R)</f>
        <v>0.97049105002490466</v>
      </c>
      <c r="T340" s="3" t="str">
        <f t="shared" si="30"/>
        <v>C</v>
      </c>
      <c r="U340" s="2">
        <f t="shared" si="31"/>
        <v>1660</v>
      </c>
      <c r="V340" s="2">
        <f t="shared" si="32"/>
        <v>118.37306204615059</v>
      </c>
      <c r="W340" s="2">
        <f t="shared" si="33"/>
        <v>7.1309073521777469E-2</v>
      </c>
      <c r="X340" s="2" t="str">
        <f t="shared" si="34"/>
        <v>X</v>
      </c>
      <c r="Y340" s="2" t="str">
        <f t="shared" si="35"/>
        <v>CX</v>
      </c>
    </row>
    <row r="341" spans="1:25" x14ac:dyDescent="0.3">
      <c r="A341" s="2" t="s">
        <v>361</v>
      </c>
      <c r="B341" s="2" t="s">
        <v>362</v>
      </c>
      <c r="C341" s="2" t="s">
        <v>20</v>
      </c>
      <c r="D341" s="2">
        <v>1514</v>
      </c>
      <c r="E341" s="2">
        <v>1843</v>
      </c>
      <c r="F341" s="2">
        <v>2114</v>
      </c>
      <c r="G341" s="2">
        <v>1927</v>
      </c>
      <c r="H341" s="2">
        <v>1488</v>
      </c>
      <c r="I341" s="2">
        <v>1771</v>
      </c>
      <c r="J341" s="2">
        <v>1514</v>
      </c>
      <c r="K341" s="2">
        <v>1516</v>
      </c>
      <c r="L341" s="2">
        <v>1441</v>
      </c>
      <c r="M341" s="2">
        <v>1252</v>
      </c>
      <c r="N341" s="2">
        <v>1794</v>
      </c>
      <c r="O341" s="2">
        <v>1732</v>
      </c>
      <c r="P341" s="2">
        <v>19906</v>
      </c>
      <c r="Q341" s="2">
        <v>10</v>
      </c>
      <c r="R341" s="2">
        <v>199060</v>
      </c>
      <c r="S341" s="4">
        <f>SUM($R$2:R341) / SUM($R:$R)</f>
        <v>0.97067669046717775</v>
      </c>
      <c r="T341" s="3" t="str">
        <f t="shared" si="30"/>
        <v>C</v>
      </c>
      <c r="U341" s="2">
        <f t="shared" si="31"/>
        <v>1658.8333333333333</v>
      </c>
      <c r="V341" s="2">
        <f t="shared" si="32"/>
        <v>243.78001757670191</v>
      </c>
      <c r="W341" s="2">
        <f t="shared" si="33"/>
        <v>0.14695871651363523</v>
      </c>
      <c r="X341" s="2" t="str">
        <f t="shared" si="34"/>
        <v>X</v>
      </c>
      <c r="Y341" s="2" t="str">
        <f t="shared" si="35"/>
        <v>CX</v>
      </c>
    </row>
    <row r="342" spans="1:25" x14ac:dyDescent="0.3">
      <c r="A342" s="2" t="s">
        <v>28</v>
      </c>
      <c r="B342" s="2" t="s">
        <v>29</v>
      </c>
      <c r="C342" s="2" t="s">
        <v>20</v>
      </c>
      <c r="D342" s="2">
        <v>1494</v>
      </c>
      <c r="E342" s="2">
        <v>2051</v>
      </c>
      <c r="F342" s="2">
        <v>1400</v>
      </c>
      <c r="G342" s="2">
        <v>1918</v>
      </c>
      <c r="H342" s="2">
        <v>1669</v>
      </c>
      <c r="I342" s="2">
        <v>1733</v>
      </c>
      <c r="J342" s="2">
        <v>1695</v>
      </c>
      <c r="K342" s="2">
        <v>1560</v>
      </c>
      <c r="L342" s="2">
        <v>1679</v>
      </c>
      <c r="M342" s="2">
        <v>1381</v>
      </c>
      <c r="N342" s="2">
        <v>1591</v>
      </c>
      <c r="O342" s="2">
        <v>1662</v>
      </c>
      <c r="P342" s="2">
        <v>19833</v>
      </c>
      <c r="Q342" s="2">
        <v>10</v>
      </c>
      <c r="R342" s="2">
        <v>198330</v>
      </c>
      <c r="S342" s="4">
        <f>SUM($R$2:R342) / SUM($R:$R)</f>
        <v>0.97086165012213599</v>
      </c>
      <c r="T342" s="3" t="str">
        <f t="shared" si="30"/>
        <v>C</v>
      </c>
      <c r="U342" s="2">
        <f t="shared" si="31"/>
        <v>1652.75</v>
      </c>
      <c r="V342" s="2">
        <f t="shared" si="32"/>
        <v>193.90068920126939</v>
      </c>
      <c r="W342" s="2">
        <f t="shared" si="33"/>
        <v>0.11732003581985744</v>
      </c>
      <c r="X342" s="2" t="str">
        <f t="shared" si="34"/>
        <v>X</v>
      </c>
      <c r="Y342" s="2" t="str">
        <f t="shared" si="35"/>
        <v>CX</v>
      </c>
    </row>
    <row r="343" spans="1:25" x14ac:dyDescent="0.3">
      <c r="A343" s="2" t="s">
        <v>1439</v>
      </c>
      <c r="B343" s="2" t="s">
        <v>1440</v>
      </c>
      <c r="C343" s="2" t="s">
        <v>56</v>
      </c>
      <c r="D343" s="2">
        <v>176</v>
      </c>
      <c r="E343" s="2">
        <v>163</v>
      </c>
      <c r="F343" s="2">
        <v>155</v>
      </c>
      <c r="G343" s="2">
        <v>158</v>
      </c>
      <c r="H343" s="2">
        <v>145</v>
      </c>
      <c r="I343" s="2">
        <v>178</v>
      </c>
      <c r="J343" s="2">
        <v>153</v>
      </c>
      <c r="K343" s="2">
        <v>170</v>
      </c>
      <c r="L343" s="2">
        <v>168</v>
      </c>
      <c r="M343" s="2">
        <v>175</v>
      </c>
      <c r="N343" s="2">
        <v>148</v>
      </c>
      <c r="O343" s="2">
        <v>165</v>
      </c>
      <c r="P343" s="2">
        <v>1954</v>
      </c>
      <c r="Q343" s="2">
        <v>100</v>
      </c>
      <c r="R343" s="2">
        <v>195400</v>
      </c>
      <c r="S343" s="4">
        <f>SUM($R$2:R343) / SUM($R:$R)</f>
        <v>0.97104387730198205</v>
      </c>
      <c r="T343" s="3" t="str">
        <f t="shared" si="30"/>
        <v>C</v>
      </c>
      <c r="U343" s="2">
        <f t="shared" si="31"/>
        <v>162.83333333333334</v>
      </c>
      <c r="V343" s="2">
        <f t="shared" si="32"/>
        <v>11.09326850214156</v>
      </c>
      <c r="W343" s="2">
        <f t="shared" si="33"/>
        <v>6.8126520995751644E-2</v>
      </c>
      <c r="X343" s="2" t="str">
        <f t="shared" si="34"/>
        <v>X</v>
      </c>
      <c r="Y343" s="2" t="str">
        <f t="shared" si="35"/>
        <v>CX</v>
      </c>
    </row>
    <row r="344" spans="1:25" x14ac:dyDescent="0.3">
      <c r="A344" s="2" t="s">
        <v>1423</v>
      </c>
      <c r="B344" s="2" t="s">
        <v>1424</v>
      </c>
      <c r="C344" s="2" t="s">
        <v>56</v>
      </c>
      <c r="D344" s="2">
        <v>338</v>
      </c>
      <c r="E344" s="2">
        <v>313</v>
      </c>
      <c r="F344" s="2">
        <v>297</v>
      </c>
      <c r="G344" s="2">
        <v>333</v>
      </c>
      <c r="H344" s="2">
        <v>321</v>
      </c>
      <c r="I344" s="2">
        <v>324</v>
      </c>
      <c r="J344" s="2">
        <v>333</v>
      </c>
      <c r="K344" s="2">
        <v>311</v>
      </c>
      <c r="L344" s="2">
        <v>304</v>
      </c>
      <c r="M344" s="2">
        <v>331</v>
      </c>
      <c r="N344" s="2">
        <v>327</v>
      </c>
      <c r="O344" s="2">
        <v>332</v>
      </c>
      <c r="P344" s="2">
        <v>3864</v>
      </c>
      <c r="Q344" s="2">
        <v>50</v>
      </c>
      <c r="R344" s="2">
        <v>193200</v>
      </c>
      <c r="S344" s="4">
        <f>SUM($R$2:R344) / SUM($R:$R)</f>
        <v>0.97122405279403046</v>
      </c>
      <c r="T344" s="3" t="str">
        <f t="shared" si="30"/>
        <v>C</v>
      </c>
      <c r="U344" s="2">
        <f t="shared" si="31"/>
        <v>322</v>
      </c>
      <c r="V344" s="2">
        <f t="shared" si="32"/>
        <v>13.003496033409981</v>
      </c>
      <c r="W344" s="2">
        <f t="shared" si="33"/>
        <v>4.0383528054068266E-2</v>
      </c>
      <c r="X344" s="2" t="str">
        <f t="shared" si="34"/>
        <v>X</v>
      </c>
      <c r="Y344" s="2" t="str">
        <f t="shared" si="35"/>
        <v>CX</v>
      </c>
    </row>
    <row r="345" spans="1:25" x14ac:dyDescent="0.3">
      <c r="A345" s="2" t="s">
        <v>1333</v>
      </c>
      <c r="B345" s="2" t="s">
        <v>1334</v>
      </c>
      <c r="C345" s="2" t="s">
        <v>20</v>
      </c>
      <c r="D345" s="2">
        <v>1538</v>
      </c>
      <c r="E345" s="2">
        <v>1601</v>
      </c>
      <c r="F345" s="2">
        <v>1583</v>
      </c>
      <c r="G345" s="2">
        <v>1702</v>
      </c>
      <c r="H345" s="2">
        <v>1643</v>
      </c>
      <c r="I345" s="2">
        <v>1356</v>
      </c>
      <c r="J345" s="2">
        <v>1861</v>
      </c>
      <c r="K345" s="2">
        <v>1824</v>
      </c>
      <c r="L345" s="2">
        <v>1526</v>
      </c>
      <c r="M345" s="2">
        <v>1335</v>
      </c>
      <c r="N345" s="2">
        <v>1695</v>
      </c>
      <c r="O345" s="2">
        <v>1491</v>
      </c>
      <c r="P345" s="2">
        <v>19155</v>
      </c>
      <c r="Q345" s="2">
        <v>10</v>
      </c>
      <c r="R345" s="2">
        <v>191550</v>
      </c>
      <c r="S345" s="4">
        <f>SUM($R$2:R345) / SUM($R:$R)</f>
        <v>0.97140268952023057</v>
      </c>
      <c r="T345" s="3" t="str">
        <f t="shared" si="30"/>
        <v>C</v>
      </c>
      <c r="U345" s="2">
        <f t="shared" si="31"/>
        <v>1596.25</v>
      </c>
      <c r="V345" s="2">
        <f t="shared" si="32"/>
        <v>162.55299835046807</v>
      </c>
      <c r="W345" s="2">
        <f t="shared" si="33"/>
        <v>0.10183429810522666</v>
      </c>
      <c r="X345" s="2" t="str">
        <f t="shared" si="34"/>
        <v>X</v>
      </c>
      <c r="Y345" s="2" t="str">
        <f t="shared" si="35"/>
        <v>CX</v>
      </c>
    </row>
    <row r="346" spans="1:25" x14ac:dyDescent="0.3">
      <c r="A346" s="2" t="s">
        <v>567</v>
      </c>
      <c r="B346" s="2" t="s">
        <v>568</v>
      </c>
      <c r="C346" s="2" t="s">
        <v>36</v>
      </c>
      <c r="D346" s="2">
        <v>343</v>
      </c>
      <c r="E346" s="2">
        <v>272</v>
      </c>
      <c r="F346" s="2">
        <v>305</v>
      </c>
      <c r="G346" s="2">
        <v>303</v>
      </c>
      <c r="H346" s="2">
        <v>306</v>
      </c>
      <c r="I346" s="2">
        <v>323</v>
      </c>
      <c r="J346" s="2">
        <v>324</v>
      </c>
      <c r="K346" s="2">
        <v>334</v>
      </c>
      <c r="L346" s="2">
        <v>321</v>
      </c>
      <c r="M346" s="2">
        <v>377</v>
      </c>
      <c r="N346" s="2">
        <v>295</v>
      </c>
      <c r="O346" s="2">
        <v>307</v>
      </c>
      <c r="P346" s="2">
        <v>3810</v>
      </c>
      <c r="Q346" s="2">
        <v>50</v>
      </c>
      <c r="R346" s="2">
        <v>190500</v>
      </c>
      <c r="S346" s="4">
        <f>SUM($R$2:R346) / SUM($R:$R)</f>
        <v>0.97158034703179996</v>
      </c>
      <c r="T346" s="3" t="str">
        <f t="shared" si="30"/>
        <v>C</v>
      </c>
      <c r="U346" s="2">
        <f t="shared" si="31"/>
        <v>317.5</v>
      </c>
      <c r="V346" s="2">
        <f t="shared" si="32"/>
        <v>26.514147167125703</v>
      </c>
      <c r="W346" s="2">
        <f t="shared" si="33"/>
        <v>8.3509124935828988E-2</v>
      </c>
      <c r="X346" s="2" t="str">
        <f t="shared" si="34"/>
        <v>X</v>
      </c>
      <c r="Y346" s="2" t="str">
        <f t="shared" si="35"/>
        <v>CX</v>
      </c>
    </row>
    <row r="347" spans="1:25" x14ac:dyDescent="0.3">
      <c r="A347" s="2" t="s">
        <v>841</v>
      </c>
      <c r="B347" s="2" t="s">
        <v>842</v>
      </c>
      <c r="C347" s="2" t="s">
        <v>20</v>
      </c>
      <c r="D347" s="2">
        <v>1486</v>
      </c>
      <c r="E347" s="2">
        <v>1573</v>
      </c>
      <c r="F347" s="2">
        <v>1708</v>
      </c>
      <c r="G347" s="2">
        <v>1434</v>
      </c>
      <c r="H347" s="2">
        <v>1495</v>
      </c>
      <c r="I347" s="2">
        <v>1547</v>
      </c>
      <c r="J347" s="2">
        <v>1432</v>
      </c>
      <c r="K347" s="2">
        <v>1577</v>
      </c>
      <c r="L347" s="2">
        <v>1648</v>
      </c>
      <c r="M347" s="2">
        <v>1838</v>
      </c>
      <c r="N347" s="2">
        <v>1853</v>
      </c>
      <c r="O347" s="2">
        <v>1372</v>
      </c>
      <c r="P347" s="2">
        <v>18963</v>
      </c>
      <c r="Q347" s="2">
        <v>10</v>
      </c>
      <c r="R347" s="2">
        <v>189630</v>
      </c>
      <c r="S347" s="4">
        <f>SUM($R$2:R347) / SUM($R:$R)</f>
        <v>0.97175719319410392</v>
      </c>
      <c r="T347" s="3" t="str">
        <f t="shared" si="30"/>
        <v>C</v>
      </c>
      <c r="U347" s="2">
        <f t="shared" si="31"/>
        <v>1580.25</v>
      </c>
      <c r="V347" s="2">
        <f t="shared" si="32"/>
        <v>155.44430455369479</v>
      </c>
      <c r="W347" s="2">
        <f t="shared" si="33"/>
        <v>9.8366906852520045E-2</v>
      </c>
      <c r="X347" s="2" t="str">
        <f t="shared" si="34"/>
        <v>X</v>
      </c>
      <c r="Y347" s="2" t="str">
        <f t="shared" si="35"/>
        <v>CX</v>
      </c>
    </row>
    <row r="348" spans="1:25" x14ac:dyDescent="0.3">
      <c r="A348" s="2" t="s">
        <v>799</v>
      </c>
      <c r="B348" s="2" t="s">
        <v>800</v>
      </c>
      <c r="C348" s="2" t="s">
        <v>41</v>
      </c>
      <c r="D348" s="2">
        <v>334</v>
      </c>
      <c r="E348" s="2">
        <v>283</v>
      </c>
      <c r="F348" s="2">
        <v>305</v>
      </c>
      <c r="G348" s="2">
        <v>316</v>
      </c>
      <c r="H348" s="2">
        <v>315</v>
      </c>
      <c r="I348" s="2">
        <v>331</v>
      </c>
      <c r="J348" s="2">
        <v>319</v>
      </c>
      <c r="K348" s="2">
        <v>306</v>
      </c>
      <c r="L348" s="2">
        <v>300</v>
      </c>
      <c r="M348" s="2">
        <v>321</v>
      </c>
      <c r="N348" s="2">
        <v>327</v>
      </c>
      <c r="O348" s="2">
        <v>324</v>
      </c>
      <c r="P348" s="2">
        <v>3781</v>
      </c>
      <c r="Q348" s="2">
        <v>50</v>
      </c>
      <c r="R348" s="2">
        <v>189050</v>
      </c>
      <c r="S348" s="4">
        <f>SUM($R$2:R348) / SUM($R:$R)</f>
        <v>0.97193349845689758</v>
      </c>
      <c r="T348" s="3" t="str">
        <f t="shared" si="30"/>
        <v>C</v>
      </c>
      <c r="U348" s="2">
        <f t="shared" si="31"/>
        <v>315.08333333333331</v>
      </c>
      <c r="V348" s="2">
        <f t="shared" si="32"/>
        <v>14.53808999167568</v>
      </c>
      <c r="W348" s="2">
        <f t="shared" si="33"/>
        <v>4.6140460169295995E-2</v>
      </c>
      <c r="X348" s="2" t="str">
        <f t="shared" si="34"/>
        <v>X</v>
      </c>
      <c r="Y348" s="2" t="str">
        <f t="shared" si="35"/>
        <v>CX</v>
      </c>
    </row>
    <row r="349" spans="1:25" x14ac:dyDescent="0.3">
      <c r="A349" s="2" t="s">
        <v>1009</v>
      </c>
      <c r="B349" s="2" t="s">
        <v>1010</v>
      </c>
      <c r="C349" s="2" t="s">
        <v>41</v>
      </c>
      <c r="D349" s="2">
        <v>312</v>
      </c>
      <c r="E349" s="2">
        <v>297</v>
      </c>
      <c r="F349" s="2">
        <v>327</v>
      </c>
      <c r="G349" s="2">
        <v>358</v>
      </c>
      <c r="H349" s="2">
        <v>310</v>
      </c>
      <c r="I349" s="2">
        <v>302</v>
      </c>
      <c r="J349" s="2">
        <v>283</v>
      </c>
      <c r="K349" s="2">
        <v>321</v>
      </c>
      <c r="L349" s="2">
        <v>323</v>
      </c>
      <c r="M349" s="2">
        <v>310</v>
      </c>
      <c r="N349" s="2">
        <v>330</v>
      </c>
      <c r="O349" s="2">
        <v>283</v>
      </c>
      <c r="P349" s="2">
        <v>3756</v>
      </c>
      <c r="Q349" s="2">
        <v>50</v>
      </c>
      <c r="R349" s="2">
        <v>187800</v>
      </c>
      <c r="S349" s="4">
        <f>SUM($R$2:R349) / SUM($R:$R)</f>
        <v>0.97210863798798808</v>
      </c>
      <c r="T349" s="3" t="str">
        <f t="shared" si="30"/>
        <v>C</v>
      </c>
      <c r="U349" s="2">
        <f t="shared" si="31"/>
        <v>313</v>
      </c>
      <c r="V349" s="2">
        <f t="shared" si="32"/>
        <v>21.04108535050587</v>
      </c>
      <c r="W349" s="2">
        <f t="shared" si="33"/>
        <v>6.7223914857846234E-2</v>
      </c>
      <c r="X349" s="2" t="str">
        <f t="shared" si="34"/>
        <v>X</v>
      </c>
      <c r="Y349" s="2" t="str">
        <f t="shared" si="35"/>
        <v>CX</v>
      </c>
    </row>
    <row r="350" spans="1:25" x14ac:dyDescent="0.3">
      <c r="A350" s="2" t="s">
        <v>1953</v>
      </c>
      <c r="B350" s="2" t="s">
        <v>1954</v>
      </c>
      <c r="C350" s="2" t="s">
        <v>36</v>
      </c>
      <c r="D350" s="2">
        <v>284</v>
      </c>
      <c r="E350" s="2">
        <v>311</v>
      </c>
      <c r="F350" s="2">
        <v>311</v>
      </c>
      <c r="G350" s="2">
        <v>291</v>
      </c>
      <c r="H350" s="2">
        <v>334</v>
      </c>
      <c r="I350" s="2">
        <v>323</v>
      </c>
      <c r="J350" s="2">
        <v>322</v>
      </c>
      <c r="K350" s="2">
        <v>303</v>
      </c>
      <c r="L350" s="2">
        <v>338</v>
      </c>
      <c r="M350" s="2">
        <v>277</v>
      </c>
      <c r="N350" s="2">
        <v>302</v>
      </c>
      <c r="O350" s="2">
        <v>349</v>
      </c>
      <c r="P350" s="2">
        <v>3745</v>
      </c>
      <c r="Q350" s="2">
        <v>50</v>
      </c>
      <c r="R350" s="2">
        <v>187250</v>
      </c>
      <c r="S350" s="4">
        <f>SUM($R$2:R350) / SUM($R:$R)</f>
        <v>0.97228326459712922</v>
      </c>
      <c r="T350" s="3" t="str">
        <f t="shared" si="30"/>
        <v>C</v>
      </c>
      <c r="U350" s="2">
        <f t="shared" si="31"/>
        <v>312.08333333333331</v>
      </c>
      <c r="V350" s="2">
        <f t="shared" si="32"/>
        <v>22.121393731093452</v>
      </c>
      <c r="W350" s="2">
        <f t="shared" si="33"/>
        <v>7.088297056692161E-2</v>
      </c>
      <c r="X350" s="2" t="str">
        <f t="shared" si="34"/>
        <v>X</v>
      </c>
      <c r="Y350" s="2" t="str">
        <f t="shared" si="35"/>
        <v>CX</v>
      </c>
    </row>
    <row r="351" spans="1:25" x14ac:dyDescent="0.3">
      <c r="A351" s="2" t="s">
        <v>755</v>
      </c>
      <c r="B351" s="2" t="s">
        <v>756</v>
      </c>
      <c r="C351" s="2" t="s">
        <v>20</v>
      </c>
      <c r="D351" s="2">
        <v>1665</v>
      </c>
      <c r="E351" s="2">
        <v>1524</v>
      </c>
      <c r="F351" s="2">
        <v>1819</v>
      </c>
      <c r="G351" s="2">
        <v>1739</v>
      </c>
      <c r="H351" s="2">
        <v>1554</v>
      </c>
      <c r="I351" s="2">
        <v>1515</v>
      </c>
      <c r="J351" s="2">
        <v>1644</v>
      </c>
      <c r="K351" s="2">
        <v>1497</v>
      </c>
      <c r="L351" s="2">
        <v>1330</v>
      </c>
      <c r="M351" s="2">
        <v>1432</v>
      </c>
      <c r="N351" s="2">
        <v>1252</v>
      </c>
      <c r="O351" s="2">
        <v>1696</v>
      </c>
      <c r="P351" s="2">
        <v>18667</v>
      </c>
      <c r="Q351" s="2">
        <v>10</v>
      </c>
      <c r="R351" s="2">
        <v>186670</v>
      </c>
      <c r="S351" s="4">
        <f>SUM($R$2:R351) / SUM($R:$R)</f>
        <v>0.97245735030675995</v>
      </c>
      <c r="T351" s="3" t="str">
        <f t="shared" si="30"/>
        <v>C</v>
      </c>
      <c r="U351" s="2">
        <f t="shared" si="31"/>
        <v>1555.5833333333333</v>
      </c>
      <c r="V351" s="2">
        <f t="shared" si="32"/>
        <v>167.04352091232988</v>
      </c>
      <c r="W351" s="2">
        <f t="shared" si="33"/>
        <v>0.10738320302930084</v>
      </c>
      <c r="X351" s="2" t="str">
        <f t="shared" si="34"/>
        <v>X</v>
      </c>
      <c r="Y351" s="2" t="str">
        <f t="shared" si="35"/>
        <v>CX</v>
      </c>
    </row>
    <row r="352" spans="1:25" x14ac:dyDescent="0.3">
      <c r="A352" s="2" t="s">
        <v>1123</v>
      </c>
      <c r="B352" s="2" t="s">
        <v>1124</v>
      </c>
      <c r="C352" s="2" t="s">
        <v>56</v>
      </c>
      <c r="D352" s="2">
        <v>296</v>
      </c>
      <c r="E352" s="2">
        <v>313</v>
      </c>
      <c r="F352" s="2">
        <v>296</v>
      </c>
      <c r="G352" s="2">
        <v>317</v>
      </c>
      <c r="H352" s="2">
        <v>295</v>
      </c>
      <c r="I352" s="2">
        <v>315</v>
      </c>
      <c r="J352" s="2">
        <v>292</v>
      </c>
      <c r="K352" s="2">
        <v>341</v>
      </c>
      <c r="L352" s="2">
        <v>313</v>
      </c>
      <c r="M352" s="2">
        <v>317</v>
      </c>
      <c r="N352" s="2">
        <v>305</v>
      </c>
      <c r="O352" s="2">
        <v>275</v>
      </c>
      <c r="P352" s="2">
        <v>3675</v>
      </c>
      <c r="Q352" s="2">
        <v>50</v>
      </c>
      <c r="R352" s="2">
        <v>183750</v>
      </c>
      <c r="S352" s="4">
        <f>SUM($R$2:R352) / SUM($R:$R)</f>
        <v>0.97262871286713204</v>
      </c>
      <c r="T352" s="3" t="str">
        <f t="shared" si="30"/>
        <v>C</v>
      </c>
      <c r="U352" s="2">
        <f t="shared" si="31"/>
        <v>306.25</v>
      </c>
      <c r="V352" s="2">
        <f t="shared" si="32"/>
        <v>16.852973840623122</v>
      </c>
      <c r="W352" s="2">
        <f t="shared" si="33"/>
        <v>5.5030118663259173E-2</v>
      </c>
      <c r="X352" s="2" t="str">
        <f t="shared" si="34"/>
        <v>X</v>
      </c>
      <c r="Y352" s="2" t="str">
        <f t="shared" si="35"/>
        <v>CX</v>
      </c>
    </row>
    <row r="353" spans="1:25" x14ac:dyDescent="0.3">
      <c r="A353" s="2" t="s">
        <v>283</v>
      </c>
      <c r="B353" s="2" t="s">
        <v>284</v>
      </c>
      <c r="C353" s="2" t="s">
        <v>41</v>
      </c>
      <c r="D353" s="2">
        <v>151</v>
      </c>
      <c r="E353" s="2">
        <v>159</v>
      </c>
      <c r="F353" s="2">
        <v>163</v>
      </c>
      <c r="G353" s="2">
        <v>134</v>
      </c>
      <c r="H353" s="2">
        <v>174</v>
      </c>
      <c r="I353" s="2">
        <v>157</v>
      </c>
      <c r="J353" s="2">
        <v>151</v>
      </c>
      <c r="K353" s="2">
        <v>155</v>
      </c>
      <c r="L353" s="2">
        <v>168</v>
      </c>
      <c r="M353" s="2">
        <v>125</v>
      </c>
      <c r="N353" s="2">
        <v>144</v>
      </c>
      <c r="O353" s="2">
        <v>155</v>
      </c>
      <c r="P353" s="2">
        <v>1836</v>
      </c>
      <c r="Q353" s="2">
        <v>100</v>
      </c>
      <c r="R353" s="2">
        <v>183600</v>
      </c>
      <c r="S353" s="4">
        <f>SUM($R$2:R353) / SUM($R:$R)</f>
        <v>0.97279993553969979</v>
      </c>
      <c r="T353" s="3" t="str">
        <f t="shared" si="30"/>
        <v>C</v>
      </c>
      <c r="U353" s="2">
        <f t="shared" si="31"/>
        <v>153</v>
      </c>
      <c r="V353" s="2">
        <f t="shared" si="32"/>
        <v>13.684762594679064</v>
      </c>
      <c r="W353" s="2">
        <f t="shared" si="33"/>
        <v>8.9442892775680155E-2</v>
      </c>
      <c r="X353" s="2" t="str">
        <f t="shared" si="34"/>
        <v>X</v>
      </c>
      <c r="Y353" s="2" t="str">
        <f t="shared" si="35"/>
        <v>CX</v>
      </c>
    </row>
    <row r="354" spans="1:25" x14ac:dyDescent="0.3">
      <c r="A354" s="2" t="s">
        <v>1047</v>
      </c>
      <c r="B354" s="2" t="s">
        <v>1048</v>
      </c>
      <c r="C354" s="2" t="s">
        <v>56</v>
      </c>
      <c r="D354" s="2">
        <v>319</v>
      </c>
      <c r="E354" s="2">
        <v>290</v>
      </c>
      <c r="F354" s="2">
        <v>300</v>
      </c>
      <c r="G354" s="2">
        <v>318</v>
      </c>
      <c r="H354" s="2">
        <v>304</v>
      </c>
      <c r="I354" s="2">
        <v>301</v>
      </c>
      <c r="J354" s="2">
        <v>313</v>
      </c>
      <c r="K354" s="2">
        <v>277</v>
      </c>
      <c r="L354" s="2">
        <v>328</v>
      </c>
      <c r="M354" s="2">
        <v>332</v>
      </c>
      <c r="N354" s="2">
        <v>284</v>
      </c>
      <c r="O354" s="2">
        <v>300</v>
      </c>
      <c r="P354" s="2">
        <v>3666</v>
      </c>
      <c r="Q354" s="2">
        <v>50</v>
      </c>
      <c r="R354" s="2">
        <v>183300</v>
      </c>
      <c r="S354" s="4">
        <f>SUM($R$2:R354) / SUM($R:$R)</f>
        <v>0.97297087843665864</v>
      </c>
      <c r="T354" s="3" t="str">
        <f t="shared" si="30"/>
        <v>C</v>
      </c>
      <c r="U354" s="2">
        <f t="shared" si="31"/>
        <v>305.5</v>
      </c>
      <c r="V354" s="2">
        <f t="shared" si="32"/>
        <v>17.058722109231979</v>
      </c>
      <c r="W354" s="2">
        <f t="shared" si="33"/>
        <v>5.5838697575227428E-2</v>
      </c>
      <c r="X354" s="2" t="str">
        <f t="shared" si="34"/>
        <v>X</v>
      </c>
      <c r="Y354" s="2" t="str">
        <f t="shared" si="35"/>
        <v>CX</v>
      </c>
    </row>
    <row r="355" spans="1:25" x14ac:dyDescent="0.3">
      <c r="A355" s="2" t="s">
        <v>46</v>
      </c>
      <c r="B355" s="2" t="s">
        <v>47</v>
      </c>
      <c r="C355" s="2" t="s">
        <v>41</v>
      </c>
      <c r="D355" s="2">
        <v>277</v>
      </c>
      <c r="E355" s="2">
        <v>292</v>
      </c>
      <c r="F355" s="2">
        <v>311</v>
      </c>
      <c r="G355" s="2">
        <v>304</v>
      </c>
      <c r="H355" s="2">
        <v>282</v>
      </c>
      <c r="I355" s="2">
        <v>278</v>
      </c>
      <c r="J355" s="2">
        <v>336</v>
      </c>
      <c r="K355" s="2">
        <v>316</v>
      </c>
      <c r="L355" s="2">
        <v>296</v>
      </c>
      <c r="M355" s="2">
        <v>313</v>
      </c>
      <c r="N355" s="2">
        <v>309</v>
      </c>
      <c r="O355" s="2">
        <v>335</v>
      </c>
      <c r="P355" s="2">
        <v>3649</v>
      </c>
      <c r="Q355" s="2">
        <v>50</v>
      </c>
      <c r="R355" s="2">
        <v>182450</v>
      </c>
      <c r="S355" s="4">
        <f>SUM($R$2:R355) / SUM($R:$R)</f>
        <v>0.97314102863605945</v>
      </c>
      <c r="T355" s="3" t="str">
        <f t="shared" si="30"/>
        <v>C</v>
      </c>
      <c r="U355" s="2">
        <f t="shared" si="31"/>
        <v>304.08333333333331</v>
      </c>
      <c r="V355" s="2">
        <f t="shared" si="32"/>
        <v>19.956581659070562</v>
      </c>
      <c r="W355" s="2">
        <f t="shared" si="33"/>
        <v>6.5628659881843451E-2</v>
      </c>
      <c r="X355" s="2" t="str">
        <f t="shared" si="34"/>
        <v>X</v>
      </c>
      <c r="Y355" s="2" t="str">
        <f t="shared" si="35"/>
        <v>CX</v>
      </c>
    </row>
    <row r="356" spans="1:25" x14ac:dyDescent="0.3">
      <c r="A356" s="2" t="s">
        <v>553</v>
      </c>
      <c r="B356" s="2" t="s">
        <v>554</v>
      </c>
      <c r="C356" s="2" t="s">
        <v>56</v>
      </c>
      <c r="D356" s="2">
        <v>144</v>
      </c>
      <c r="E356" s="2">
        <v>156</v>
      </c>
      <c r="F356" s="2">
        <v>146</v>
      </c>
      <c r="G356" s="2">
        <v>154</v>
      </c>
      <c r="H356" s="2">
        <v>163</v>
      </c>
      <c r="I356" s="2">
        <v>149</v>
      </c>
      <c r="J356" s="2">
        <v>149</v>
      </c>
      <c r="K356" s="2">
        <v>142</v>
      </c>
      <c r="L356" s="2">
        <v>155</v>
      </c>
      <c r="M356" s="2">
        <v>157</v>
      </c>
      <c r="N356" s="2">
        <v>139</v>
      </c>
      <c r="O356" s="2">
        <v>148</v>
      </c>
      <c r="P356" s="2">
        <v>1802</v>
      </c>
      <c r="Q356" s="2">
        <v>100</v>
      </c>
      <c r="R356" s="2">
        <v>180200</v>
      </c>
      <c r="S356" s="4">
        <f>SUM($R$2:R356) / SUM($R:$R)</f>
        <v>0.97330908051839438</v>
      </c>
      <c r="T356" s="3" t="str">
        <f t="shared" si="30"/>
        <v>C</v>
      </c>
      <c r="U356" s="2">
        <f t="shared" si="31"/>
        <v>150.16666666666666</v>
      </c>
      <c r="V356" s="2">
        <f t="shared" si="32"/>
        <v>6.9913366303438629</v>
      </c>
      <c r="W356" s="2">
        <f t="shared" si="33"/>
        <v>4.6557180668216624E-2</v>
      </c>
      <c r="X356" s="2" t="str">
        <f t="shared" si="34"/>
        <v>X</v>
      </c>
      <c r="Y356" s="2" t="str">
        <f t="shared" si="35"/>
        <v>CX</v>
      </c>
    </row>
    <row r="357" spans="1:25" x14ac:dyDescent="0.3">
      <c r="A357" s="2" t="s">
        <v>431</v>
      </c>
      <c r="B357" s="2" t="s">
        <v>432</v>
      </c>
      <c r="C357" s="2" t="s">
        <v>56</v>
      </c>
      <c r="D357" s="2">
        <v>320</v>
      </c>
      <c r="E357" s="2">
        <v>292</v>
      </c>
      <c r="F357" s="2">
        <v>327</v>
      </c>
      <c r="G357" s="2">
        <v>278</v>
      </c>
      <c r="H357" s="2">
        <v>308</v>
      </c>
      <c r="I357" s="2">
        <v>293</v>
      </c>
      <c r="J357" s="2">
        <v>293</v>
      </c>
      <c r="K357" s="2">
        <v>306</v>
      </c>
      <c r="L357" s="2">
        <v>294</v>
      </c>
      <c r="M357" s="2">
        <v>262</v>
      </c>
      <c r="N357" s="2">
        <v>283</v>
      </c>
      <c r="O357" s="2">
        <v>301</v>
      </c>
      <c r="P357" s="2">
        <v>3557</v>
      </c>
      <c r="Q357" s="2">
        <v>50</v>
      </c>
      <c r="R357" s="2">
        <v>177850</v>
      </c>
      <c r="S357" s="4">
        <f>SUM($R$2:R357) / SUM($R:$R)</f>
        <v>0.97347494082512731</v>
      </c>
      <c r="T357" s="3" t="str">
        <f t="shared" si="30"/>
        <v>C</v>
      </c>
      <c r="U357" s="2">
        <f t="shared" si="31"/>
        <v>296.41666666666669</v>
      </c>
      <c r="V357" s="2">
        <f t="shared" si="32"/>
        <v>17.814490186532439</v>
      </c>
      <c r="W357" s="2">
        <f t="shared" si="33"/>
        <v>6.0099488962156097E-2</v>
      </c>
      <c r="X357" s="2" t="str">
        <f t="shared" si="34"/>
        <v>X</v>
      </c>
      <c r="Y357" s="2" t="str">
        <f t="shared" si="35"/>
        <v>CX</v>
      </c>
    </row>
    <row r="358" spans="1:25" x14ac:dyDescent="0.3">
      <c r="A358" s="2" t="s">
        <v>703</v>
      </c>
      <c r="B358" s="2" t="s">
        <v>704</v>
      </c>
      <c r="C358" s="2" t="s">
        <v>25</v>
      </c>
      <c r="D358" s="2">
        <v>413</v>
      </c>
      <c r="E358" s="2">
        <v>395</v>
      </c>
      <c r="F358" s="2">
        <v>175</v>
      </c>
      <c r="G358" s="2">
        <v>376</v>
      </c>
      <c r="H358" s="2">
        <v>331</v>
      </c>
      <c r="I358" s="2">
        <v>263</v>
      </c>
      <c r="J358" s="2">
        <v>459</v>
      </c>
      <c r="K358" s="2">
        <v>9</v>
      </c>
      <c r="L358" s="2">
        <v>10</v>
      </c>
      <c r="M358" s="2">
        <v>516</v>
      </c>
      <c r="N358" s="2">
        <v>77</v>
      </c>
      <c r="O358" s="2">
        <v>520</v>
      </c>
      <c r="P358" s="2">
        <v>3544</v>
      </c>
      <c r="Q358" s="2">
        <v>50</v>
      </c>
      <c r="R358" s="2">
        <v>177200</v>
      </c>
      <c r="S358" s="4">
        <f>SUM($R$2:R358) / SUM($R:$R)</f>
        <v>0.97364019495137455</v>
      </c>
      <c r="T358" s="3" t="str">
        <f t="shared" si="30"/>
        <v>C</v>
      </c>
      <c r="U358" s="2">
        <f t="shared" si="31"/>
        <v>295.33333333333331</v>
      </c>
      <c r="V358" s="2">
        <f t="shared" si="32"/>
        <v>186.86666774775944</v>
      </c>
      <c r="W358" s="2">
        <f t="shared" si="33"/>
        <v>0.63273138063575429</v>
      </c>
      <c r="X358" s="2" t="str">
        <f t="shared" si="34"/>
        <v>Z</v>
      </c>
      <c r="Y358" s="2" t="str">
        <f t="shared" si="35"/>
        <v>CZ</v>
      </c>
    </row>
    <row r="359" spans="1:25" x14ac:dyDescent="0.3">
      <c r="A359" s="2" t="s">
        <v>801</v>
      </c>
      <c r="B359" s="2" t="s">
        <v>802</v>
      </c>
      <c r="C359" s="2" t="s">
        <v>41</v>
      </c>
      <c r="D359" s="2">
        <v>277</v>
      </c>
      <c r="E359" s="2">
        <v>265</v>
      </c>
      <c r="F359" s="2">
        <v>323</v>
      </c>
      <c r="G359" s="2">
        <v>291</v>
      </c>
      <c r="H359" s="2">
        <v>261</v>
      </c>
      <c r="I359" s="2">
        <v>292</v>
      </c>
      <c r="J359" s="2">
        <v>299</v>
      </c>
      <c r="K359" s="2">
        <v>287</v>
      </c>
      <c r="L359" s="2">
        <v>289</v>
      </c>
      <c r="M359" s="2">
        <v>327</v>
      </c>
      <c r="N359" s="2">
        <v>314</v>
      </c>
      <c r="O359" s="2">
        <v>291</v>
      </c>
      <c r="P359" s="2">
        <v>3516</v>
      </c>
      <c r="Q359" s="2">
        <v>50</v>
      </c>
      <c r="R359" s="2">
        <v>175800</v>
      </c>
      <c r="S359" s="4">
        <f>SUM($R$2:R359) / SUM($R:$R)</f>
        <v>0.97380414345811417</v>
      </c>
      <c r="T359" s="3" t="str">
        <f t="shared" si="30"/>
        <v>C</v>
      </c>
      <c r="U359" s="2">
        <f t="shared" si="31"/>
        <v>293</v>
      </c>
      <c r="V359" s="2">
        <f t="shared" si="32"/>
        <v>20.57801121232432</v>
      </c>
      <c r="W359" s="2">
        <f t="shared" si="33"/>
        <v>7.0232120178581298E-2</v>
      </c>
      <c r="X359" s="2" t="str">
        <f t="shared" si="34"/>
        <v>X</v>
      </c>
      <c r="Y359" s="2" t="str">
        <f t="shared" si="35"/>
        <v>CX</v>
      </c>
    </row>
    <row r="360" spans="1:25" x14ac:dyDescent="0.3">
      <c r="A360" s="2" t="s">
        <v>1207</v>
      </c>
      <c r="B360" s="2" t="s">
        <v>1208</v>
      </c>
      <c r="C360" s="2" t="s">
        <v>36</v>
      </c>
      <c r="D360" s="2">
        <v>300</v>
      </c>
      <c r="E360" s="2">
        <v>270</v>
      </c>
      <c r="F360" s="2">
        <v>278</v>
      </c>
      <c r="G360" s="2">
        <v>284</v>
      </c>
      <c r="H360" s="2">
        <v>288</v>
      </c>
      <c r="I360" s="2">
        <v>297</v>
      </c>
      <c r="J360" s="2">
        <v>300</v>
      </c>
      <c r="K360" s="2">
        <v>305</v>
      </c>
      <c r="L360" s="2">
        <v>287</v>
      </c>
      <c r="M360" s="2">
        <v>274</v>
      </c>
      <c r="N360" s="2">
        <v>327</v>
      </c>
      <c r="O360" s="2">
        <v>273</v>
      </c>
      <c r="P360" s="2">
        <v>3483</v>
      </c>
      <c r="Q360" s="2">
        <v>50</v>
      </c>
      <c r="R360" s="2">
        <v>174150</v>
      </c>
      <c r="S360" s="4">
        <f>SUM($R$2:R360) / SUM($R:$R)</f>
        <v>0.9739665531990056</v>
      </c>
      <c r="T360" s="3" t="str">
        <f t="shared" si="30"/>
        <v>C</v>
      </c>
      <c r="U360" s="2">
        <f t="shared" si="31"/>
        <v>290.25</v>
      </c>
      <c r="V360" s="2">
        <f t="shared" si="32"/>
        <v>16.460006627635913</v>
      </c>
      <c r="W360" s="2">
        <f t="shared" si="33"/>
        <v>5.6709755823035016E-2</v>
      </c>
      <c r="X360" s="2" t="str">
        <f t="shared" si="34"/>
        <v>X</v>
      </c>
      <c r="Y360" s="2" t="str">
        <f t="shared" si="35"/>
        <v>CX</v>
      </c>
    </row>
    <row r="361" spans="1:25" x14ac:dyDescent="0.3">
      <c r="A361" s="2" t="s">
        <v>189</v>
      </c>
      <c r="B361" s="2" t="s">
        <v>190</v>
      </c>
      <c r="C361" s="2" t="s">
        <v>36</v>
      </c>
      <c r="D361" s="2">
        <v>274</v>
      </c>
      <c r="E361" s="2">
        <v>280</v>
      </c>
      <c r="F361" s="2">
        <v>302</v>
      </c>
      <c r="G361" s="2">
        <v>269</v>
      </c>
      <c r="H361" s="2">
        <v>276</v>
      </c>
      <c r="I361" s="2">
        <v>295</v>
      </c>
      <c r="J361" s="2">
        <v>285</v>
      </c>
      <c r="K361" s="2">
        <v>288</v>
      </c>
      <c r="L361" s="2">
        <v>270</v>
      </c>
      <c r="M361" s="2">
        <v>277</v>
      </c>
      <c r="N361" s="2">
        <v>270</v>
      </c>
      <c r="O361" s="2">
        <v>285</v>
      </c>
      <c r="P361" s="2">
        <v>3371</v>
      </c>
      <c r="Q361" s="2">
        <v>50</v>
      </c>
      <c r="R361" s="2">
        <v>168550</v>
      </c>
      <c r="S361" s="4">
        <f>SUM($R$2:R361) / SUM($R:$R)</f>
        <v>0.97412374046186667</v>
      </c>
      <c r="T361" s="3" t="str">
        <f t="shared" si="30"/>
        <v>C</v>
      </c>
      <c r="U361" s="2">
        <f t="shared" si="31"/>
        <v>280.91666666666669</v>
      </c>
      <c r="V361" s="2">
        <f t="shared" si="32"/>
        <v>10.422513510607116</v>
      </c>
      <c r="W361" s="2">
        <f t="shared" si="33"/>
        <v>3.7101798317201243E-2</v>
      </c>
      <c r="X361" s="2" t="str">
        <f t="shared" si="34"/>
        <v>X</v>
      </c>
      <c r="Y361" s="2" t="str">
        <f t="shared" si="35"/>
        <v>CX</v>
      </c>
    </row>
    <row r="362" spans="1:25" x14ac:dyDescent="0.3">
      <c r="A362" s="2" t="s">
        <v>1139</v>
      </c>
      <c r="B362" s="2" t="s">
        <v>1140</v>
      </c>
      <c r="C362" s="2" t="s">
        <v>25</v>
      </c>
      <c r="D362" s="2">
        <v>506</v>
      </c>
      <c r="E362" s="2">
        <v>216</v>
      </c>
      <c r="F362" s="2">
        <v>214</v>
      </c>
      <c r="G362" s="2">
        <v>122</v>
      </c>
      <c r="H362" s="2">
        <v>34</v>
      </c>
      <c r="I362" s="2">
        <v>454</v>
      </c>
      <c r="J362" s="2">
        <v>20</v>
      </c>
      <c r="K362" s="2">
        <v>393</v>
      </c>
      <c r="L362" s="2">
        <v>342</v>
      </c>
      <c r="M362" s="2">
        <v>395</v>
      </c>
      <c r="N362" s="2">
        <v>412</v>
      </c>
      <c r="O362" s="2">
        <v>260</v>
      </c>
      <c r="P362" s="2">
        <v>3368</v>
      </c>
      <c r="Q362" s="2">
        <v>50</v>
      </c>
      <c r="R362" s="2">
        <v>168400</v>
      </c>
      <c r="S362" s="4">
        <f>SUM($R$2:R362) / SUM($R:$R)</f>
        <v>0.97428078783692329</v>
      </c>
      <c r="T362" s="3" t="str">
        <f t="shared" si="30"/>
        <v>C</v>
      </c>
      <c r="U362" s="2">
        <f t="shared" si="31"/>
        <v>280.66666666666669</v>
      </c>
      <c r="V362" s="2">
        <f t="shared" si="32"/>
        <v>162.52011530511501</v>
      </c>
      <c r="W362" s="2">
        <f t="shared" si="33"/>
        <v>0.5790502920609798</v>
      </c>
      <c r="X362" s="2" t="str">
        <f t="shared" si="34"/>
        <v>Z</v>
      </c>
      <c r="Y362" s="2" t="str">
        <f t="shared" si="35"/>
        <v>CZ</v>
      </c>
    </row>
    <row r="363" spans="1:25" x14ac:dyDescent="0.3">
      <c r="A363" s="2" t="s">
        <v>37</v>
      </c>
      <c r="B363" s="2" t="s">
        <v>38</v>
      </c>
      <c r="C363" s="2" t="s">
        <v>20</v>
      </c>
      <c r="D363" s="2">
        <v>1335</v>
      </c>
      <c r="E363" s="2">
        <v>1601</v>
      </c>
      <c r="F363" s="2">
        <v>1238</v>
      </c>
      <c r="G363" s="2">
        <v>1134</v>
      </c>
      <c r="H363" s="2">
        <v>1442</v>
      </c>
      <c r="I363" s="2">
        <v>1551</v>
      </c>
      <c r="J363" s="2">
        <v>1301</v>
      </c>
      <c r="K363" s="2">
        <v>1128</v>
      </c>
      <c r="L363" s="2">
        <v>1167</v>
      </c>
      <c r="M363" s="2">
        <v>1353</v>
      </c>
      <c r="N363" s="2">
        <v>1645</v>
      </c>
      <c r="O363" s="2">
        <v>1480</v>
      </c>
      <c r="P363" s="2">
        <v>16375</v>
      </c>
      <c r="Q363" s="2">
        <v>10</v>
      </c>
      <c r="R363" s="2">
        <v>163750</v>
      </c>
      <c r="S363" s="4">
        <f>SUM($R$2:R363) / SUM($R:$R)</f>
        <v>0.97443349869004392</v>
      </c>
      <c r="T363" s="3" t="str">
        <f t="shared" si="30"/>
        <v>C</v>
      </c>
      <c r="U363" s="2">
        <f t="shared" si="31"/>
        <v>1364.5833333333333</v>
      </c>
      <c r="V363" s="2">
        <f t="shared" si="32"/>
        <v>180.365012901028</v>
      </c>
      <c r="W363" s="2">
        <f t="shared" si="33"/>
        <v>0.13217588731678387</v>
      </c>
      <c r="X363" s="2" t="str">
        <f t="shared" si="34"/>
        <v>X</v>
      </c>
      <c r="Y363" s="2" t="str">
        <f t="shared" si="35"/>
        <v>CX</v>
      </c>
    </row>
    <row r="364" spans="1:25" x14ac:dyDescent="0.3">
      <c r="A364" s="2" t="s">
        <v>1929</v>
      </c>
      <c r="B364" s="2" t="s">
        <v>1930</v>
      </c>
      <c r="C364" s="2" t="s">
        <v>25</v>
      </c>
      <c r="D364" s="2">
        <v>227</v>
      </c>
      <c r="E364" s="2">
        <v>265</v>
      </c>
      <c r="F364" s="2">
        <v>75</v>
      </c>
      <c r="G364" s="2">
        <v>378</v>
      </c>
      <c r="H364" s="2">
        <v>329</v>
      </c>
      <c r="I364" s="2">
        <v>377</v>
      </c>
      <c r="J364" s="2">
        <v>11</v>
      </c>
      <c r="K364" s="2">
        <v>283</v>
      </c>
      <c r="L364" s="2">
        <v>402</v>
      </c>
      <c r="M364" s="2">
        <v>183</v>
      </c>
      <c r="N364" s="2">
        <v>445</v>
      </c>
      <c r="O364" s="2">
        <v>268</v>
      </c>
      <c r="P364" s="2">
        <v>3243</v>
      </c>
      <c r="Q364" s="2">
        <v>50</v>
      </c>
      <c r="R364" s="2">
        <v>162150</v>
      </c>
      <c r="S364" s="4">
        <f>SUM($R$2:R364) / SUM($R:$R)</f>
        <v>0.97458471740658459</v>
      </c>
      <c r="T364" s="3" t="str">
        <f t="shared" si="30"/>
        <v>C</v>
      </c>
      <c r="U364" s="2">
        <f t="shared" si="31"/>
        <v>270.25</v>
      </c>
      <c r="V364" s="2">
        <f t="shared" si="32"/>
        <v>131.20568515953042</v>
      </c>
      <c r="W364" s="2">
        <f t="shared" si="33"/>
        <v>0.48549744739881745</v>
      </c>
      <c r="X364" s="2" t="str">
        <f t="shared" si="34"/>
        <v>Y</v>
      </c>
      <c r="Y364" s="2" t="str">
        <f t="shared" si="35"/>
        <v>CY</v>
      </c>
    </row>
    <row r="365" spans="1:25" x14ac:dyDescent="0.3">
      <c r="A365" s="2" t="s">
        <v>547</v>
      </c>
      <c r="B365" s="2" t="s">
        <v>548</v>
      </c>
      <c r="C365" s="2" t="s">
        <v>41</v>
      </c>
      <c r="D365" s="2">
        <v>136</v>
      </c>
      <c r="E365" s="2">
        <v>127</v>
      </c>
      <c r="F365" s="2">
        <v>116</v>
      </c>
      <c r="G365" s="2">
        <v>138</v>
      </c>
      <c r="H365" s="2">
        <v>141</v>
      </c>
      <c r="I365" s="2">
        <v>128</v>
      </c>
      <c r="J365" s="2">
        <v>158</v>
      </c>
      <c r="K365" s="2">
        <v>123</v>
      </c>
      <c r="L365" s="2">
        <v>129</v>
      </c>
      <c r="M365" s="2">
        <v>144</v>
      </c>
      <c r="N365" s="2">
        <v>140</v>
      </c>
      <c r="O365" s="2">
        <v>141</v>
      </c>
      <c r="P365" s="2">
        <v>1621</v>
      </c>
      <c r="Q365" s="2">
        <v>100</v>
      </c>
      <c r="R365" s="2">
        <v>162100</v>
      </c>
      <c r="S365" s="4">
        <f>SUM($R$2:R365) / SUM($R:$R)</f>
        <v>0.97473588949385703</v>
      </c>
      <c r="T365" s="3" t="str">
        <f t="shared" si="30"/>
        <v>C</v>
      </c>
      <c r="U365" s="2">
        <f t="shared" si="31"/>
        <v>135.08333333333334</v>
      </c>
      <c r="V365" s="2">
        <f t="shared" si="32"/>
        <v>11.163726433354944</v>
      </c>
      <c r="W365" s="2">
        <f t="shared" si="33"/>
        <v>8.2643255521443124E-2</v>
      </c>
      <c r="X365" s="2" t="str">
        <f t="shared" si="34"/>
        <v>X</v>
      </c>
      <c r="Y365" s="2" t="str">
        <f t="shared" si="35"/>
        <v>CX</v>
      </c>
    </row>
    <row r="366" spans="1:25" x14ac:dyDescent="0.3">
      <c r="A366" s="2" t="s">
        <v>1639</v>
      </c>
      <c r="B366" s="2" t="s">
        <v>1640</v>
      </c>
      <c r="C366" s="2" t="s">
        <v>25</v>
      </c>
      <c r="D366" s="2">
        <v>105</v>
      </c>
      <c r="E366" s="2">
        <v>367</v>
      </c>
      <c r="F366" s="2">
        <v>419</v>
      </c>
      <c r="G366" s="2">
        <v>320</v>
      </c>
      <c r="H366" s="2">
        <v>166</v>
      </c>
      <c r="I366" s="2">
        <v>466</v>
      </c>
      <c r="J366" s="2">
        <v>11</v>
      </c>
      <c r="K366" s="2">
        <v>77</v>
      </c>
      <c r="L366" s="2">
        <v>504</v>
      </c>
      <c r="M366" s="2">
        <v>354</v>
      </c>
      <c r="N366" s="2">
        <v>387</v>
      </c>
      <c r="O366" s="2">
        <v>60</v>
      </c>
      <c r="P366" s="2">
        <v>3236</v>
      </c>
      <c r="Q366" s="2">
        <v>50</v>
      </c>
      <c r="R366" s="2">
        <v>161800</v>
      </c>
      <c r="S366" s="4">
        <f>SUM($R$2:R366) / SUM($R:$R)</f>
        <v>0.97488678180552069</v>
      </c>
      <c r="T366" s="3" t="str">
        <f t="shared" si="30"/>
        <v>C</v>
      </c>
      <c r="U366" s="2">
        <f t="shared" si="31"/>
        <v>269.66666666666669</v>
      </c>
      <c r="V366" s="2">
        <f t="shared" si="32"/>
        <v>174.38115689141381</v>
      </c>
      <c r="W366" s="2">
        <f t="shared" si="33"/>
        <v>0.64665447549349986</v>
      </c>
      <c r="X366" s="2" t="str">
        <f t="shared" si="34"/>
        <v>Z</v>
      </c>
      <c r="Y366" s="2" t="str">
        <f t="shared" si="35"/>
        <v>CZ</v>
      </c>
    </row>
    <row r="367" spans="1:25" x14ac:dyDescent="0.3">
      <c r="A367" s="2" t="s">
        <v>1733</v>
      </c>
      <c r="B367" s="2" t="s">
        <v>1734</v>
      </c>
      <c r="C367" s="2" t="s">
        <v>25</v>
      </c>
      <c r="D367" s="2">
        <v>79</v>
      </c>
      <c r="E367" s="2">
        <v>254</v>
      </c>
      <c r="F367" s="2">
        <v>453</v>
      </c>
      <c r="G367" s="2">
        <v>224</v>
      </c>
      <c r="H367" s="2">
        <v>94</v>
      </c>
      <c r="I367" s="2">
        <v>182</v>
      </c>
      <c r="J367" s="2">
        <v>194</v>
      </c>
      <c r="K367" s="2">
        <v>594</v>
      </c>
      <c r="L367" s="2">
        <v>235</v>
      </c>
      <c r="M367" s="2">
        <v>481</v>
      </c>
      <c r="N367" s="2">
        <v>221</v>
      </c>
      <c r="O367" s="2">
        <v>104</v>
      </c>
      <c r="P367" s="2">
        <v>3115</v>
      </c>
      <c r="Q367" s="2">
        <v>50</v>
      </c>
      <c r="R367" s="2">
        <v>155750</v>
      </c>
      <c r="S367" s="4">
        <f>SUM($R$2:R367) / SUM($R:$R)</f>
        <v>0.97503203197574084</v>
      </c>
      <c r="T367" s="3" t="str">
        <f t="shared" si="30"/>
        <v>C</v>
      </c>
      <c r="U367" s="2">
        <f t="shared" si="31"/>
        <v>259.58333333333331</v>
      </c>
      <c r="V367" s="2">
        <f t="shared" si="32"/>
        <v>164.09944785976211</v>
      </c>
      <c r="W367" s="2">
        <f t="shared" si="33"/>
        <v>0.6321648071644127</v>
      </c>
      <c r="X367" s="2" t="str">
        <f t="shared" si="34"/>
        <v>Z</v>
      </c>
      <c r="Y367" s="2" t="str">
        <f t="shared" si="35"/>
        <v>CZ</v>
      </c>
    </row>
    <row r="368" spans="1:25" x14ac:dyDescent="0.3">
      <c r="A368" s="2" t="s">
        <v>601</v>
      </c>
      <c r="B368" s="2" t="s">
        <v>602</v>
      </c>
      <c r="C368" s="2" t="s">
        <v>41</v>
      </c>
      <c r="D368" s="2">
        <v>251</v>
      </c>
      <c r="E368" s="2">
        <v>266</v>
      </c>
      <c r="F368" s="2">
        <v>243</v>
      </c>
      <c r="G368" s="2">
        <v>277</v>
      </c>
      <c r="H368" s="2">
        <v>268</v>
      </c>
      <c r="I368" s="2">
        <v>260</v>
      </c>
      <c r="J368" s="2">
        <v>259</v>
      </c>
      <c r="K368" s="2">
        <v>250</v>
      </c>
      <c r="L368" s="2">
        <v>276</v>
      </c>
      <c r="M368" s="2">
        <v>255</v>
      </c>
      <c r="N368" s="2">
        <v>257</v>
      </c>
      <c r="O368" s="2">
        <v>235</v>
      </c>
      <c r="P368" s="2">
        <v>3097</v>
      </c>
      <c r="Q368" s="2">
        <v>50</v>
      </c>
      <c r="R368" s="2">
        <v>154850</v>
      </c>
      <c r="S368" s="4">
        <f>SUM($R$2:R368) / SUM($R:$R)</f>
        <v>0.97517644281913463</v>
      </c>
      <c r="T368" s="3" t="str">
        <f t="shared" si="30"/>
        <v>C</v>
      </c>
      <c r="U368" s="2">
        <f t="shared" si="31"/>
        <v>258.08333333333331</v>
      </c>
      <c r="V368" s="2">
        <f t="shared" si="32"/>
        <v>12.544164404457581</v>
      </c>
      <c r="W368" s="2">
        <f t="shared" si="33"/>
        <v>4.860509294591249E-2</v>
      </c>
      <c r="X368" s="2" t="str">
        <f t="shared" si="34"/>
        <v>X</v>
      </c>
      <c r="Y368" s="2" t="str">
        <f t="shared" si="35"/>
        <v>CX</v>
      </c>
    </row>
    <row r="369" spans="1:25" x14ac:dyDescent="0.3">
      <c r="A369" s="2" t="s">
        <v>945</v>
      </c>
      <c r="B369" s="2" t="s">
        <v>946</v>
      </c>
      <c r="C369" s="2" t="s">
        <v>25</v>
      </c>
      <c r="D369" s="2">
        <v>456</v>
      </c>
      <c r="E369" s="2">
        <v>309</v>
      </c>
      <c r="F369" s="2">
        <v>14</v>
      </c>
      <c r="G369" s="2">
        <v>119</v>
      </c>
      <c r="H369" s="2">
        <v>343</v>
      </c>
      <c r="I369" s="2">
        <v>192</v>
      </c>
      <c r="J369" s="2">
        <v>211</v>
      </c>
      <c r="K369" s="2">
        <v>368</v>
      </c>
      <c r="L369" s="2">
        <v>316</v>
      </c>
      <c r="M369" s="2">
        <v>113</v>
      </c>
      <c r="N369" s="2">
        <v>536</v>
      </c>
      <c r="O369" s="2">
        <v>96</v>
      </c>
      <c r="P369" s="2">
        <v>3073</v>
      </c>
      <c r="Q369" s="2">
        <v>50</v>
      </c>
      <c r="R369" s="2">
        <v>153650</v>
      </c>
      <c r="S369" s="4">
        <f>SUM($R$2:R369) / SUM($R:$R)</f>
        <v>0.97531973456009347</v>
      </c>
      <c r="T369" s="3" t="str">
        <f t="shared" si="30"/>
        <v>C</v>
      </c>
      <c r="U369" s="2">
        <f t="shared" si="31"/>
        <v>256.08333333333331</v>
      </c>
      <c r="V369" s="2">
        <f t="shared" si="32"/>
        <v>157.94847165126257</v>
      </c>
      <c r="W369" s="2">
        <f t="shared" si="33"/>
        <v>0.61678544087704223</v>
      </c>
      <c r="X369" s="2" t="str">
        <f t="shared" si="34"/>
        <v>Z</v>
      </c>
      <c r="Y369" s="2" t="str">
        <f t="shared" si="35"/>
        <v>CZ</v>
      </c>
    </row>
    <row r="370" spans="1:25" x14ac:dyDescent="0.3">
      <c r="A370" s="2" t="s">
        <v>1985</v>
      </c>
      <c r="B370" s="2" t="s">
        <v>1986</v>
      </c>
      <c r="C370" s="2" t="s">
        <v>20</v>
      </c>
      <c r="D370" s="2">
        <v>1296</v>
      </c>
      <c r="E370" s="2">
        <v>1125</v>
      </c>
      <c r="F370" s="2">
        <v>1384</v>
      </c>
      <c r="G370" s="2">
        <v>1153</v>
      </c>
      <c r="H370" s="2">
        <v>1223</v>
      </c>
      <c r="I370" s="2">
        <v>1110</v>
      </c>
      <c r="J370" s="2">
        <v>1401</v>
      </c>
      <c r="K370" s="2">
        <v>1464</v>
      </c>
      <c r="L370" s="2">
        <v>1404</v>
      </c>
      <c r="M370" s="2">
        <v>1230</v>
      </c>
      <c r="N370" s="2">
        <v>1340</v>
      </c>
      <c r="O370" s="2">
        <v>1202</v>
      </c>
      <c r="P370" s="2">
        <v>15332</v>
      </c>
      <c r="Q370" s="2">
        <v>10</v>
      </c>
      <c r="R370" s="2">
        <v>153320</v>
      </c>
      <c r="S370" s="4">
        <f>SUM($R$2:R370) / SUM($R:$R)</f>
        <v>0.97546271854788247</v>
      </c>
      <c r="T370" s="3" t="str">
        <f t="shared" si="30"/>
        <v>C</v>
      </c>
      <c r="U370" s="2">
        <f t="shared" si="31"/>
        <v>1277.6666666666667</v>
      </c>
      <c r="V370" s="2">
        <f t="shared" si="32"/>
        <v>120.36560467126309</v>
      </c>
      <c r="W370" s="2">
        <f t="shared" si="33"/>
        <v>9.4207360817581326E-2</v>
      </c>
      <c r="X370" s="2" t="str">
        <f t="shared" si="34"/>
        <v>X</v>
      </c>
      <c r="Y370" s="2" t="str">
        <f t="shared" si="35"/>
        <v>CX</v>
      </c>
    </row>
    <row r="371" spans="1:25" x14ac:dyDescent="0.3">
      <c r="A371" s="2" t="s">
        <v>929</v>
      </c>
      <c r="B371" s="2" t="s">
        <v>930</v>
      </c>
      <c r="C371" s="2" t="s">
        <v>41</v>
      </c>
      <c r="D371" s="2">
        <v>234</v>
      </c>
      <c r="E371" s="2">
        <v>252</v>
      </c>
      <c r="F371" s="2">
        <v>262</v>
      </c>
      <c r="G371" s="2">
        <v>250</v>
      </c>
      <c r="H371" s="2">
        <v>241</v>
      </c>
      <c r="I371" s="2">
        <v>236</v>
      </c>
      <c r="J371" s="2">
        <v>280</v>
      </c>
      <c r="K371" s="2">
        <v>268</v>
      </c>
      <c r="L371" s="2">
        <v>264</v>
      </c>
      <c r="M371" s="2">
        <v>238</v>
      </c>
      <c r="N371" s="2">
        <v>225</v>
      </c>
      <c r="O371" s="2">
        <v>244</v>
      </c>
      <c r="P371" s="2">
        <v>2994</v>
      </c>
      <c r="Q371" s="2">
        <v>50</v>
      </c>
      <c r="R371" s="2">
        <v>149700</v>
      </c>
      <c r="S371" s="4">
        <f>SUM($R$2:R371) / SUM($R:$R)</f>
        <v>0.97560232657665913</v>
      </c>
      <c r="T371" s="3" t="str">
        <f t="shared" si="30"/>
        <v>C</v>
      </c>
      <c r="U371" s="2">
        <f t="shared" si="31"/>
        <v>249.5</v>
      </c>
      <c r="V371" s="2">
        <f t="shared" si="32"/>
        <v>16.245279034510023</v>
      </c>
      <c r="W371" s="2">
        <f t="shared" si="33"/>
        <v>6.5111338815671438E-2</v>
      </c>
      <c r="X371" s="2" t="str">
        <f t="shared" si="34"/>
        <v>X</v>
      </c>
      <c r="Y371" s="2" t="str">
        <f t="shared" si="35"/>
        <v>CX</v>
      </c>
    </row>
    <row r="372" spans="1:25" x14ac:dyDescent="0.3">
      <c r="A372" s="2" t="s">
        <v>1015</v>
      </c>
      <c r="B372" s="2" t="s">
        <v>1016</v>
      </c>
      <c r="C372" s="2" t="s">
        <v>36</v>
      </c>
      <c r="D372" s="2">
        <v>240</v>
      </c>
      <c r="E372" s="2">
        <v>262</v>
      </c>
      <c r="F372" s="2">
        <v>238</v>
      </c>
      <c r="G372" s="2">
        <v>269</v>
      </c>
      <c r="H372" s="2">
        <v>246</v>
      </c>
      <c r="I372" s="2">
        <v>229</v>
      </c>
      <c r="J372" s="2">
        <v>234</v>
      </c>
      <c r="K372" s="2">
        <v>257</v>
      </c>
      <c r="L372" s="2">
        <v>278</v>
      </c>
      <c r="M372" s="2">
        <v>257</v>
      </c>
      <c r="N372" s="2">
        <v>231</v>
      </c>
      <c r="O372" s="2">
        <v>245</v>
      </c>
      <c r="P372" s="2">
        <v>2986</v>
      </c>
      <c r="Q372" s="2">
        <v>50</v>
      </c>
      <c r="R372" s="2">
        <v>149300</v>
      </c>
      <c r="S372" s="4">
        <f>SUM($R$2:R372) / SUM($R:$R)</f>
        <v>0.97574156157129066</v>
      </c>
      <c r="T372" s="3" t="str">
        <f t="shared" si="30"/>
        <v>C</v>
      </c>
      <c r="U372" s="2">
        <f t="shared" si="31"/>
        <v>248.83333333333334</v>
      </c>
      <c r="V372" s="2">
        <f t="shared" si="32"/>
        <v>15.706590008559138</v>
      </c>
      <c r="W372" s="2">
        <f t="shared" si="33"/>
        <v>6.3120924347859889E-2</v>
      </c>
      <c r="X372" s="2" t="str">
        <f t="shared" si="34"/>
        <v>X</v>
      </c>
      <c r="Y372" s="2" t="str">
        <f t="shared" si="35"/>
        <v>CX</v>
      </c>
    </row>
    <row r="373" spans="1:25" x14ac:dyDescent="0.3">
      <c r="A373" s="2" t="s">
        <v>585</v>
      </c>
      <c r="B373" s="2" t="s">
        <v>586</v>
      </c>
      <c r="C373" s="2" t="s">
        <v>25</v>
      </c>
      <c r="D373" s="2">
        <v>418</v>
      </c>
      <c r="E373" s="2">
        <v>347</v>
      </c>
      <c r="F373" s="2">
        <v>454</v>
      </c>
      <c r="G373" s="2">
        <v>55</v>
      </c>
      <c r="H373" s="2">
        <v>361</v>
      </c>
      <c r="I373" s="2">
        <v>130</v>
      </c>
      <c r="J373" s="2">
        <v>26</v>
      </c>
      <c r="K373" s="2">
        <v>57</v>
      </c>
      <c r="L373" s="2">
        <v>383</v>
      </c>
      <c r="M373" s="2">
        <v>429</v>
      </c>
      <c r="N373" s="2">
        <v>56</v>
      </c>
      <c r="O373" s="2">
        <v>256</v>
      </c>
      <c r="P373" s="2">
        <v>2972</v>
      </c>
      <c r="Q373" s="2">
        <v>50</v>
      </c>
      <c r="R373" s="2">
        <v>148600</v>
      </c>
      <c r="S373" s="4">
        <f>SUM($R$2:R373) / SUM($R:$R)</f>
        <v>0.97588014375616849</v>
      </c>
      <c r="T373" s="3" t="str">
        <f t="shared" si="30"/>
        <v>C</v>
      </c>
      <c r="U373" s="2">
        <f t="shared" si="31"/>
        <v>247.66666666666666</v>
      </c>
      <c r="V373" s="2">
        <f t="shared" si="32"/>
        <v>170.22890115335522</v>
      </c>
      <c r="W373" s="2">
        <f t="shared" si="33"/>
        <v>0.68733069106334543</v>
      </c>
      <c r="X373" s="2" t="str">
        <f t="shared" si="34"/>
        <v>Z</v>
      </c>
      <c r="Y373" s="2" t="str">
        <f t="shared" si="35"/>
        <v>CZ</v>
      </c>
    </row>
    <row r="374" spans="1:25" x14ac:dyDescent="0.3">
      <c r="A374" s="2" t="s">
        <v>379</v>
      </c>
      <c r="B374" s="2" t="s">
        <v>380</v>
      </c>
      <c r="C374" s="2" t="s">
        <v>20</v>
      </c>
      <c r="D374" s="2">
        <v>1124</v>
      </c>
      <c r="E374" s="2">
        <v>640</v>
      </c>
      <c r="F374" s="2">
        <v>1113</v>
      </c>
      <c r="G374" s="2">
        <v>1202</v>
      </c>
      <c r="H374" s="2">
        <v>1456</v>
      </c>
      <c r="I374" s="2">
        <v>1239</v>
      </c>
      <c r="J374" s="2">
        <v>1199</v>
      </c>
      <c r="K374" s="2">
        <v>1501</v>
      </c>
      <c r="L374" s="2">
        <v>1579</v>
      </c>
      <c r="M374" s="2">
        <v>970</v>
      </c>
      <c r="N374" s="2">
        <v>1455</v>
      </c>
      <c r="O374" s="2">
        <v>1292</v>
      </c>
      <c r="P374" s="2">
        <v>14770</v>
      </c>
      <c r="Q374" s="2">
        <v>10</v>
      </c>
      <c r="R374" s="2">
        <v>147700</v>
      </c>
      <c r="S374" s="4">
        <f>SUM($R$2:R374) / SUM($R:$R)</f>
        <v>0.97601788661421995</v>
      </c>
      <c r="T374" s="3" t="str">
        <f t="shared" si="30"/>
        <v>C</v>
      </c>
      <c r="U374" s="2">
        <f t="shared" si="31"/>
        <v>1230.8333333333333</v>
      </c>
      <c r="V374" s="2">
        <f t="shared" si="32"/>
        <v>259.93524834722484</v>
      </c>
      <c r="W374" s="2">
        <f t="shared" si="33"/>
        <v>0.21118638999097483</v>
      </c>
      <c r="X374" s="2" t="str">
        <f t="shared" si="34"/>
        <v>Y</v>
      </c>
      <c r="Y374" s="2" t="str">
        <f t="shared" si="35"/>
        <v>CY</v>
      </c>
    </row>
    <row r="375" spans="1:25" x14ac:dyDescent="0.3">
      <c r="A375" s="2" t="s">
        <v>1193</v>
      </c>
      <c r="B375" s="2" t="s">
        <v>1194</v>
      </c>
      <c r="C375" s="2" t="s">
        <v>20</v>
      </c>
      <c r="D375" s="2">
        <v>1316</v>
      </c>
      <c r="E375" s="2">
        <v>1372</v>
      </c>
      <c r="F375" s="2">
        <v>1219</v>
      </c>
      <c r="G375" s="2">
        <v>1307</v>
      </c>
      <c r="H375" s="2">
        <v>1182</v>
      </c>
      <c r="I375" s="2">
        <v>1214</v>
      </c>
      <c r="J375" s="2">
        <v>1320</v>
      </c>
      <c r="K375" s="2">
        <v>1155</v>
      </c>
      <c r="L375" s="2">
        <v>1072</v>
      </c>
      <c r="M375" s="2">
        <v>1241</v>
      </c>
      <c r="N375" s="2">
        <v>1425</v>
      </c>
      <c r="O375" s="2">
        <v>946</v>
      </c>
      <c r="P375" s="2">
        <v>14769</v>
      </c>
      <c r="Q375" s="2">
        <v>10</v>
      </c>
      <c r="R375" s="2">
        <v>147690</v>
      </c>
      <c r="S375" s="4">
        <f>SUM($R$2:R375) / SUM($R:$R)</f>
        <v>0.97615562014641777</v>
      </c>
      <c r="T375" s="3" t="str">
        <f t="shared" si="30"/>
        <v>C</v>
      </c>
      <c r="U375" s="2">
        <f t="shared" si="31"/>
        <v>1230.75</v>
      </c>
      <c r="V375" s="2">
        <f t="shared" si="32"/>
        <v>132.68357780140622</v>
      </c>
      <c r="W375" s="2">
        <f t="shared" si="33"/>
        <v>0.10780709144944645</v>
      </c>
      <c r="X375" s="2" t="str">
        <f t="shared" si="34"/>
        <v>X</v>
      </c>
      <c r="Y375" s="2" t="str">
        <f t="shared" si="35"/>
        <v>CX</v>
      </c>
    </row>
    <row r="376" spans="1:25" x14ac:dyDescent="0.3">
      <c r="A376" s="2" t="s">
        <v>747</v>
      </c>
      <c r="B376" s="2" t="s">
        <v>748</v>
      </c>
      <c r="C376" s="2" t="s">
        <v>20</v>
      </c>
      <c r="D376" s="2">
        <v>1394</v>
      </c>
      <c r="E376" s="2">
        <v>1265</v>
      </c>
      <c r="F376" s="2">
        <v>1557</v>
      </c>
      <c r="G376" s="2">
        <v>1164</v>
      </c>
      <c r="H376" s="2">
        <v>1307</v>
      </c>
      <c r="I376" s="2">
        <v>1118</v>
      </c>
      <c r="J376" s="2">
        <v>968</v>
      </c>
      <c r="K376" s="2">
        <v>1367</v>
      </c>
      <c r="L376" s="2">
        <v>853</v>
      </c>
      <c r="M376" s="2">
        <v>1318</v>
      </c>
      <c r="N376" s="2">
        <v>1335</v>
      </c>
      <c r="O376" s="2">
        <v>1013</v>
      </c>
      <c r="P376" s="2">
        <v>14659</v>
      </c>
      <c r="Q376" s="2">
        <v>10</v>
      </c>
      <c r="R376" s="2">
        <v>146590</v>
      </c>
      <c r="S376" s="4">
        <f>SUM($R$2:R376) / SUM($R:$R)</f>
        <v>0.97629232783471676</v>
      </c>
      <c r="T376" s="3" t="str">
        <f t="shared" si="30"/>
        <v>C</v>
      </c>
      <c r="U376" s="2">
        <f t="shared" si="31"/>
        <v>1221.5833333333333</v>
      </c>
      <c r="V376" s="2">
        <f t="shared" si="32"/>
        <v>202.80508256735487</v>
      </c>
      <c r="W376" s="2">
        <f t="shared" si="33"/>
        <v>0.16601821343940643</v>
      </c>
      <c r="X376" s="2" t="str">
        <f t="shared" si="34"/>
        <v>X</v>
      </c>
      <c r="Y376" s="2" t="str">
        <f t="shared" si="35"/>
        <v>CX</v>
      </c>
    </row>
    <row r="377" spans="1:25" x14ac:dyDescent="0.3">
      <c r="A377" s="2" t="s">
        <v>71</v>
      </c>
      <c r="B377" s="2" t="s">
        <v>72</v>
      </c>
      <c r="C377" s="2" t="s">
        <v>20</v>
      </c>
      <c r="D377" s="2">
        <v>968</v>
      </c>
      <c r="E377" s="2">
        <v>1246</v>
      </c>
      <c r="F377" s="2">
        <v>1270</v>
      </c>
      <c r="G377" s="2">
        <v>1481</v>
      </c>
      <c r="H377" s="2">
        <v>1313</v>
      </c>
      <c r="I377" s="2">
        <v>1066</v>
      </c>
      <c r="J377" s="2">
        <v>1480</v>
      </c>
      <c r="K377" s="2">
        <v>1346</v>
      </c>
      <c r="L377" s="2">
        <v>958</v>
      </c>
      <c r="M377" s="2">
        <v>1152</v>
      </c>
      <c r="N377" s="2">
        <v>853</v>
      </c>
      <c r="O377" s="2">
        <v>1362</v>
      </c>
      <c r="P377" s="2">
        <v>14495</v>
      </c>
      <c r="Q377" s="2">
        <v>10</v>
      </c>
      <c r="R377" s="2">
        <v>144950</v>
      </c>
      <c r="S377" s="4">
        <f>SUM($R$2:R377) / SUM($R:$R)</f>
        <v>0.9764275060830212</v>
      </c>
      <c r="T377" s="3" t="str">
        <f t="shared" si="30"/>
        <v>C</v>
      </c>
      <c r="U377" s="2">
        <f t="shared" si="31"/>
        <v>1207.9166666666667</v>
      </c>
      <c r="V377" s="2">
        <f t="shared" si="32"/>
        <v>208.24175563003425</v>
      </c>
      <c r="W377" s="2">
        <f t="shared" si="33"/>
        <v>0.17239745205659956</v>
      </c>
      <c r="X377" s="2" t="str">
        <f t="shared" si="34"/>
        <v>X</v>
      </c>
      <c r="Y377" s="2" t="str">
        <f t="shared" si="35"/>
        <v>CX</v>
      </c>
    </row>
    <row r="378" spans="1:25" x14ac:dyDescent="0.3">
      <c r="A378" s="2" t="s">
        <v>343</v>
      </c>
      <c r="B378" s="2" t="s">
        <v>344</v>
      </c>
      <c r="C378" s="2" t="s">
        <v>20</v>
      </c>
      <c r="D378" s="2">
        <v>1551</v>
      </c>
      <c r="E378" s="2">
        <v>1174</v>
      </c>
      <c r="F378" s="2">
        <v>1023</v>
      </c>
      <c r="G378" s="2">
        <v>1262</v>
      </c>
      <c r="H378" s="2">
        <v>1223</v>
      </c>
      <c r="I378" s="2">
        <v>1177</v>
      </c>
      <c r="J378" s="2">
        <v>1179</v>
      </c>
      <c r="K378" s="2">
        <v>1029</v>
      </c>
      <c r="L378" s="2">
        <v>1348</v>
      </c>
      <c r="M378" s="2">
        <v>958</v>
      </c>
      <c r="N378" s="2">
        <v>1190</v>
      </c>
      <c r="O378" s="2">
        <v>1306</v>
      </c>
      <c r="P378" s="2">
        <v>14420</v>
      </c>
      <c r="Q378" s="2">
        <v>10</v>
      </c>
      <c r="R378" s="2">
        <v>144200</v>
      </c>
      <c r="S378" s="4">
        <f>SUM($R$2:R378) / SUM($R:$R)</f>
        <v>0.97656198489230361</v>
      </c>
      <c r="T378" s="3" t="str">
        <f t="shared" si="30"/>
        <v>C</v>
      </c>
      <c r="U378" s="2">
        <f t="shared" si="31"/>
        <v>1201.6666666666667</v>
      </c>
      <c r="V378" s="2">
        <f t="shared" si="32"/>
        <v>159.98882536734982</v>
      </c>
      <c r="W378" s="2">
        <f t="shared" si="33"/>
        <v>0.13313910571485421</v>
      </c>
      <c r="X378" s="2" t="str">
        <f t="shared" si="34"/>
        <v>X</v>
      </c>
      <c r="Y378" s="2" t="str">
        <f t="shared" si="35"/>
        <v>CX</v>
      </c>
    </row>
    <row r="379" spans="1:25" x14ac:dyDescent="0.3">
      <c r="A379" s="2" t="s">
        <v>1601</v>
      </c>
      <c r="B379" s="2" t="s">
        <v>1602</v>
      </c>
      <c r="C379" s="2" t="s">
        <v>20</v>
      </c>
      <c r="D379" s="2">
        <v>1124</v>
      </c>
      <c r="E379" s="2">
        <v>1206</v>
      </c>
      <c r="F379" s="2">
        <v>1260</v>
      </c>
      <c r="G379" s="2">
        <v>823</v>
      </c>
      <c r="H379" s="2">
        <v>1210</v>
      </c>
      <c r="I379" s="2">
        <v>1291</v>
      </c>
      <c r="J379" s="2">
        <v>1077</v>
      </c>
      <c r="K379" s="2">
        <v>1409</v>
      </c>
      <c r="L379" s="2">
        <v>1412</v>
      </c>
      <c r="M379" s="2">
        <v>1165</v>
      </c>
      <c r="N379" s="2">
        <v>1251</v>
      </c>
      <c r="O379" s="2">
        <v>1180</v>
      </c>
      <c r="P379" s="2">
        <v>14408</v>
      </c>
      <c r="Q379" s="2">
        <v>10</v>
      </c>
      <c r="R379" s="2">
        <v>144080</v>
      </c>
      <c r="S379" s="4">
        <f>SUM($R$2:R379) / SUM($R:$R)</f>
        <v>0.97669635179134262</v>
      </c>
      <c r="T379" s="3" t="str">
        <f t="shared" si="30"/>
        <v>C</v>
      </c>
      <c r="U379" s="2">
        <f t="shared" si="31"/>
        <v>1200.6666666666667</v>
      </c>
      <c r="V379" s="2">
        <f t="shared" si="32"/>
        <v>156.05845835533086</v>
      </c>
      <c r="W379" s="2">
        <f t="shared" si="33"/>
        <v>0.129976506126039</v>
      </c>
      <c r="X379" s="2" t="str">
        <f t="shared" si="34"/>
        <v>X</v>
      </c>
      <c r="Y379" s="2" t="str">
        <f t="shared" si="35"/>
        <v>CX</v>
      </c>
    </row>
    <row r="380" spans="1:25" x14ac:dyDescent="0.3">
      <c r="A380" s="2" t="s">
        <v>1345</v>
      </c>
      <c r="B380" s="2" t="s">
        <v>1346</v>
      </c>
      <c r="C380" s="2" t="s">
        <v>41</v>
      </c>
      <c r="D380" s="2">
        <v>253</v>
      </c>
      <c r="E380" s="2">
        <v>233</v>
      </c>
      <c r="F380" s="2">
        <v>219</v>
      </c>
      <c r="G380" s="2">
        <v>249</v>
      </c>
      <c r="H380" s="2">
        <v>234</v>
      </c>
      <c r="I380" s="2">
        <v>243</v>
      </c>
      <c r="J380" s="2">
        <v>250</v>
      </c>
      <c r="K380" s="2">
        <v>226</v>
      </c>
      <c r="L380" s="2">
        <v>227</v>
      </c>
      <c r="M380" s="2">
        <v>238</v>
      </c>
      <c r="N380" s="2">
        <v>234</v>
      </c>
      <c r="O380" s="2">
        <v>225</v>
      </c>
      <c r="P380" s="2">
        <v>2831</v>
      </c>
      <c r="Q380" s="2">
        <v>50</v>
      </c>
      <c r="R380" s="2">
        <v>141550</v>
      </c>
      <c r="S380" s="4">
        <f>SUM($R$2:R380) / SUM($R:$R)</f>
        <v>0.97682835924941425</v>
      </c>
      <c r="T380" s="3" t="str">
        <f t="shared" si="30"/>
        <v>C</v>
      </c>
      <c r="U380" s="2">
        <f t="shared" si="31"/>
        <v>235.91666666666666</v>
      </c>
      <c r="V380" s="2">
        <f t="shared" si="32"/>
        <v>10.933337952696732</v>
      </c>
      <c r="W380" s="2">
        <f t="shared" si="33"/>
        <v>4.634406762004973E-2</v>
      </c>
      <c r="X380" s="2" t="str">
        <f t="shared" si="34"/>
        <v>X</v>
      </c>
      <c r="Y380" s="2" t="str">
        <f t="shared" si="35"/>
        <v>CX</v>
      </c>
    </row>
    <row r="381" spans="1:25" x14ac:dyDescent="0.3">
      <c r="A381" s="2" t="s">
        <v>1547</v>
      </c>
      <c r="B381" s="2" t="s">
        <v>1548</v>
      </c>
      <c r="C381" s="2" t="s">
        <v>36</v>
      </c>
      <c r="D381" s="2">
        <v>242</v>
      </c>
      <c r="E381" s="2">
        <v>242</v>
      </c>
      <c r="F381" s="2">
        <v>254</v>
      </c>
      <c r="G381" s="2">
        <v>224</v>
      </c>
      <c r="H381" s="2">
        <v>241</v>
      </c>
      <c r="I381" s="2">
        <v>242</v>
      </c>
      <c r="J381" s="2">
        <v>226</v>
      </c>
      <c r="K381" s="2">
        <v>236</v>
      </c>
      <c r="L381" s="2">
        <v>237</v>
      </c>
      <c r="M381" s="2">
        <v>241</v>
      </c>
      <c r="N381" s="2">
        <v>233</v>
      </c>
      <c r="O381" s="2">
        <v>211</v>
      </c>
      <c r="P381" s="2">
        <v>2829</v>
      </c>
      <c r="Q381" s="2">
        <v>50</v>
      </c>
      <c r="R381" s="2">
        <v>141450</v>
      </c>
      <c r="S381" s="4">
        <f>SUM($R$2:R381) / SUM($R:$R)</f>
        <v>0.97696027344894965</v>
      </c>
      <c r="T381" s="3" t="str">
        <f t="shared" si="30"/>
        <v>C</v>
      </c>
      <c r="U381" s="2">
        <f t="shared" si="31"/>
        <v>235.75</v>
      </c>
      <c r="V381" s="2">
        <f t="shared" si="32"/>
        <v>11.120210920171024</v>
      </c>
      <c r="W381" s="2">
        <f t="shared" si="33"/>
        <v>4.7169505493832552E-2</v>
      </c>
      <c r="X381" s="2" t="str">
        <f t="shared" si="34"/>
        <v>X</v>
      </c>
      <c r="Y381" s="2" t="str">
        <f t="shared" si="35"/>
        <v>CX</v>
      </c>
    </row>
    <row r="382" spans="1:25" x14ac:dyDescent="0.3">
      <c r="A382" s="2" t="s">
        <v>697</v>
      </c>
      <c r="B382" s="2" t="s">
        <v>698</v>
      </c>
      <c r="C382" s="2" t="s">
        <v>41</v>
      </c>
      <c r="D382" s="2">
        <v>238</v>
      </c>
      <c r="E382" s="2">
        <v>241</v>
      </c>
      <c r="F382" s="2">
        <v>226</v>
      </c>
      <c r="G382" s="2">
        <v>232</v>
      </c>
      <c r="H382" s="2">
        <v>249</v>
      </c>
      <c r="I382" s="2">
        <v>233</v>
      </c>
      <c r="J382" s="2">
        <v>231</v>
      </c>
      <c r="K382" s="2">
        <v>216</v>
      </c>
      <c r="L382" s="2">
        <v>239</v>
      </c>
      <c r="M382" s="2">
        <v>234</v>
      </c>
      <c r="N382" s="2">
        <v>226</v>
      </c>
      <c r="O382" s="2">
        <v>234</v>
      </c>
      <c r="P382" s="2">
        <v>2799</v>
      </c>
      <c r="Q382" s="2">
        <v>50</v>
      </c>
      <c r="R382" s="2">
        <v>139950</v>
      </c>
      <c r="S382" s="4">
        <f>SUM($R$2:R382) / SUM($R:$R)</f>
        <v>0.9770907887704412</v>
      </c>
      <c r="T382" s="3" t="str">
        <f t="shared" si="30"/>
        <v>C</v>
      </c>
      <c r="U382" s="2">
        <f t="shared" si="31"/>
        <v>233.25</v>
      </c>
      <c r="V382" s="2">
        <f t="shared" si="32"/>
        <v>8.3896581358458011</v>
      </c>
      <c r="W382" s="2">
        <f t="shared" si="33"/>
        <v>3.5968523626348559E-2</v>
      </c>
      <c r="X382" s="2" t="str">
        <f t="shared" si="34"/>
        <v>X</v>
      </c>
      <c r="Y382" s="2" t="str">
        <f t="shared" si="35"/>
        <v>CX</v>
      </c>
    </row>
    <row r="383" spans="1:25" x14ac:dyDescent="0.3">
      <c r="A383" s="2" t="s">
        <v>83</v>
      </c>
      <c r="B383" s="2" t="s">
        <v>84</v>
      </c>
      <c r="C383" s="2" t="s">
        <v>20</v>
      </c>
      <c r="D383" s="2">
        <v>1045</v>
      </c>
      <c r="E383" s="2">
        <v>1321</v>
      </c>
      <c r="F383" s="2">
        <v>1217</v>
      </c>
      <c r="G383" s="2">
        <v>1313</v>
      </c>
      <c r="H383" s="2">
        <v>1356</v>
      </c>
      <c r="I383" s="2">
        <v>1386</v>
      </c>
      <c r="J383" s="2">
        <v>949</v>
      </c>
      <c r="K383" s="2">
        <v>1280</v>
      </c>
      <c r="L383" s="2">
        <v>1136</v>
      </c>
      <c r="M383" s="2">
        <v>767</v>
      </c>
      <c r="N383" s="2">
        <v>1158</v>
      </c>
      <c r="O383" s="2">
        <v>979</v>
      </c>
      <c r="P383" s="2">
        <v>13907</v>
      </c>
      <c r="Q383" s="2">
        <v>10</v>
      </c>
      <c r="R383" s="2">
        <v>139070</v>
      </c>
      <c r="S383" s="4">
        <f>SUM($R$2:R383) / SUM($R:$R)</f>
        <v>0.97722048341681367</v>
      </c>
      <c r="T383" s="3" t="str">
        <f t="shared" si="30"/>
        <v>C</v>
      </c>
      <c r="U383" s="2">
        <f t="shared" si="31"/>
        <v>1158.9166666666667</v>
      </c>
      <c r="V383" s="2">
        <f t="shared" si="32"/>
        <v>191.16697048930956</v>
      </c>
      <c r="W383" s="2">
        <f t="shared" si="33"/>
        <v>0.16495316357745846</v>
      </c>
      <c r="X383" s="2" t="str">
        <f t="shared" si="34"/>
        <v>X</v>
      </c>
      <c r="Y383" s="2" t="str">
        <f t="shared" si="35"/>
        <v>CX</v>
      </c>
    </row>
    <row r="384" spans="1:25" x14ac:dyDescent="0.3">
      <c r="A384" s="2" t="s">
        <v>761</v>
      </c>
      <c r="B384" s="2" t="s">
        <v>762</v>
      </c>
      <c r="C384" s="2" t="s">
        <v>56</v>
      </c>
      <c r="D384" s="2">
        <v>218</v>
      </c>
      <c r="E384" s="2">
        <v>252</v>
      </c>
      <c r="F384" s="2">
        <v>222</v>
      </c>
      <c r="G384" s="2">
        <v>235</v>
      </c>
      <c r="H384" s="2">
        <v>221</v>
      </c>
      <c r="I384" s="2">
        <v>232</v>
      </c>
      <c r="J384" s="2">
        <v>239</v>
      </c>
      <c r="K384" s="2">
        <v>266</v>
      </c>
      <c r="L384" s="2">
        <v>215</v>
      </c>
      <c r="M384" s="2">
        <v>229</v>
      </c>
      <c r="N384" s="2">
        <v>229</v>
      </c>
      <c r="O384" s="2">
        <v>191</v>
      </c>
      <c r="P384" s="2">
        <v>2749</v>
      </c>
      <c r="Q384" s="2">
        <v>50</v>
      </c>
      <c r="R384" s="2">
        <v>137450</v>
      </c>
      <c r="S384" s="4">
        <f>SUM($R$2:R384) / SUM($R:$R)</f>
        <v>0.97734866727489889</v>
      </c>
      <c r="T384" s="3" t="str">
        <f t="shared" si="30"/>
        <v>C</v>
      </c>
      <c r="U384" s="2">
        <f t="shared" si="31"/>
        <v>229.08333333333334</v>
      </c>
      <c r="V384" s="2">
        <f t="shared" si="32"/>
        <v>18.870170463812276</v>
      </c>
      <c r="W384" s="2">
        <f t="shared" si="33"/>
        <v>8.2372515665968454E-2</v>
      </c>
      <c r="X384" s="2" t="str">
        <f t="shared" si="34"/>
        <v>X</v>
      </c>
      <c r="Y384" s="2" t="str">
        <f t="shared" si="35"/>
        <v>CX</v>
      </c>
    </row>
    <row r="385" spans="1:25" x14ac:dyDescent="0.3">
      <c r="A385" s="2" t="s">
        <v>1143</v>
      </c>
      <c r="B385" s="2" t="s">
        <v>1144</v>
      </c>
      <c r="C385" s="2" t="s">
        <v>20</v>
      </c>
      <c r="D385" s="2">
        <v>1138</v>
      </c>
      <c r="E385" s="2">
        <v>942</v>
      </c>
      <c r="F385" s="2">
        <v>1020</v>
      </c>
      <c r="G385" s="2">
        <v>1456</v>
      </c>
      <c r="H385" s="2">
        <v>864</v>
      </c>
      <c r="I385" s="2">
        <v>896</v>
      </c>
      <c r="J385" s="2">
        <v>1492</v>
      </c>
      <c r="K385" s="2">
        <v>1063</v>
      </c>
      <c r="L385" s="2">
        <v>1251</v>
      </c>
      <c r="M385" s="2">
        <v>1134</v>
      </c>
      <c r="N385" s="2">
        <v>1095</v>
      </c>
      <c r="O385" s="2">
        <v>958</v>
      </c>
      <c r="P385" s="2">
        <v>13309</v>
      </c>
      <c r="Q385" s="2">
        <v>10</v>
      </c>
      <c r="R385" s="2">
        <v>133090</v>
      </c>
      <c r="S385" s="4">
        <f>SUM($R$2:R385) / SUM($R:$R)</f>
        <v>0.97747278506080315</v>
      </c>
      <c r="T385" s="3" t="str">
        <f t="shared" si="30"/>
        <v>C</v>
      </c>
      <c r="U385" s="2">
        <f t="shared" si="31"/>
        <v>1109.0833333333333</v>
      </c>
      <c r="V385" s="2">
        <f t="shared" si="32"/>
        <v>203.39055950798118</v>
      </c>
      <c r="W385" s="2">
        <f t="shared" si="33"/>
        <v>0.18338618334178183</v>
      </c>
      <c r="X385" s="2" t="str">
        <f t="shared" si="34"/>
        <v>X</v>
      </c>
      <c r="Y385" s="2" t="str">
        <f t="shared" si="35"/>
        <v>CX</v>
      </c>
    </row>
    <row r="386" spans="1:25" x14ac:dyDescent="0.3">
      <c r="A386" s="2" t="s">
        <v>817</v>
      </c>
      <c r="B386" s="2" t="s">
        <v>818</v>
      </c>
      <c r="C386" s="2" t="s">
        <v>25</v>
      </c>
      <c r="D386" s="2">
        <v>154</v>
      </c>
      <c r="E386" s="2">
        <v>266</v>
      </c>
      <c r="F386" s="2">
        <v>56</v>
      </c>
      <c r="G386" s="2">
        <v>488</v>
      </c>
      <c r="H386" s="2">
        <v>224</v>
      </c>
      <c r="I386" s="2">
        <v>87</v>
      </c>
      <c r="J386" s="2">
        <v>6</v>
      </c>
      <c r="K386" s="2">
        <v>213</v>
      </c>
      <c r="L386" s="2">
        <v>309</v>
      </c>
      <c r="M386" s="2">
        <v>368</v>
      </c>
      <c r="N386" s="2">
        <v>451</v>
      </c>
      <c r="O386" s="2">
        <v>12</v>
      </c>
      <c r="P386" s="2">
        <v>2634</v>
      </c>
      <c r="Q386" s="2">
        <v>50</v>
      </c>
      <c r="R386" s="2">
        <v>131700</v>
      </c>
      <c r="S386" s="4">
        <f>SUM($R$2:R386) / SUM($R:$R)</f>
        <v>0.97759560655305355</v>
      </c>
      <c r="T386" s="3" t="str">
        <f t="shared" si="30"/>
        <v>C</v>
      </c>
      <c r="U386" s="2">
        <f t="shared" si="31"/>
        <v>219.5</v>
      </c>
      <c r="V386" s="2">
        <f t="shared" si="32"/>
        <v>163.81502872558315</v>
      </c>
      <c r="W386" s="2">
        <f t="shared" si="33"/>
        <v>0.74630992585687084</v>
      </c>
      <c r="X386" s="2" t="str">
        <f t="shared" si="34"/>
        <v>Z</v>
      </c>
      <c r="Y386" s="2" t="str">
        <f t="shared" si="35"/>
        <v>CZ</v>
      </c>
    </row>
    <row r="387" spans="1:25" x14ac:dyDescent="0.3">
      <c r="A387" s="2" t="s">
        <v>791</v>
      </c>
      <c r="B387" s="2" t="s">
        <v>792</v>
      </c>
      <c r="C387" s="2" t="s">
        <v>36</v>
      </c>
      <c r="D387" s="2">
        <v>211</v>
      </c>
      <c r="E387" s="2">
        <v>215</v>
      </c>
      <c r="F387" s="2">
        <v>242</v>
      </c>
      <c r="G387" s="2">
        <v>209</v>
      </c>
      <c r="H387" s="2">
        <v>205</v>
      </c>
      <c r="I387" s="2">
        <v>211</v>
      </c>
      <c r="J387" s="2">
        <v>180</v>
      </c>
      <c r="K387" s="2">
        <v>224</v>
      </c>
      <c r="L387" s="2">
        <v>205</v>
      </c>
      <c r="M387" s="2">
        <v>221</v>
      </c>
      <c r="N387" s="2">
        <v>218</v>
      </c>
      <c r="O387" s="2">
        <v>219</v>
      </c>
      <c r="P387" s="2">
        <v>2560</v>
      </c>
      <c r="Q387" s="2">
        <v>50</v>
      </c>
      <c r="R387" s="2">
        <v>128000</v>
      </c>
      <c r="S387" s="4">
        <f>SUM($R$2:R387) / SUM($R:$R)</f>
        <v>0.97771497747946234</v>
      </c>
      <c r="T387" s="3" t="str">
        <f t="shared" ref="T387:T450" si="36">IF(S387&lt;=0.7, "A", IF(S387&lt;=0.9, "B", "C"))</f>
        <v>C</v>
      </c>
      <c r="U387" s="2">
        <f t="shared" ref="U387:U450" si="37">AVERAGE(D387:O387)</f>
        <v>213.33333333333334</v>
      </c>
      <c r="V387" s="2">
        <f t="shared" ref="V387:V450" si="38">_xlfn.STDEV.S(D387:O387)</f>
        <v>14.556056742084646</v>
      </c>
      <c r="W387" s="2">
        <f t="shared" ref="W387:W450" si="39">IF(U387=0,0,V387/U387)</f>
        <v>6.823151597852177E-2</v>
      </c>
      <c r="X387" s="2" t="str">
        <f t="shared" ref="X387:X450" si="40">(IF(W387&lt;=0.2, "X", IF(W387&lt;=0.5, "Y", "Z")))</f>
        <v>X</v>
      </c>
      <c r="Y387" s="2" t="str">
        <f t="shared" ref="Y387:Y450" si="41">T387&amp;X387</f>
        <v>CX</v>
      </c>
    </row>
    <row r="388" spans="1:25" x14ac:dyDescent="0.3">
      <c r="A388" s="2" t="s">
        <v>1091</v>
      </c>
      <c r="B388" s="2" t="s">
        <v>1092</v>
      </c>
      <c r="C388" s="2" t="s">
        <v>41</v>
      </c>
      <c r="D388" s="2">
        <v>231</v>
      </c>
      <c r="E388" s="2">
        <v>213</v>
      </c>
      <c r="F388" s="2">
        <v>218</v>
      </c>
      <c r="G388" s="2">
        <v>187</v>
      </c>
      <c r="H388" s="2">
        <v>196</v>
      </c>
      <c r="I388" s="2">
        <v>214</v>
      </c>
      <c r="J388" s="2">
        <v>217</v>
      </c>
      <c r="K388" s="2">
        <v>227</v>
      </c>
      <c r="L388" s="2">
        <v>208</v>
      </c>
      <c r="M388" s="2">
        <v>211</v>
      </c>
      <c r="N388" s="2">
        <v>200</v>
      </c>
      <c r="O388" s="2">
        <v>227</v>
      </c>
      <c r="P388" s="2">
        <v>2549</v>
      </c>
      <c r="Q388" s="2">
        <v>50</v>
      </c>
      <c r="R388" s="2">
        <v>127450</v>
      </c>
      <c r="S388" s="4">
        <f>SUM($R$2:R388) / SUM($R:$R)</f>
        <v>0.97783383548392178</v>
      </c>
      <c r="T388" s="3" t="str">
        <f t="shared" si="36"/>
        <v>C</v>
      </c>
      <c r="U388" s="2">
        <f t="shared" si="37"/>
        <v>212.41666666666666</v>
      </c>
      <c r="V388" s="2">
        <f t="shared" si="38"/>
        <v>13.200952674528892</v>
      </c>
      <c r="W388" s="2">
        <f t="shared" si="39"/>
        <v>6.214650141010071E-2</v>
      </c>
      <c r="X388" s="2" t="str">
        <f t="shared" si="40"/>
        <v>X</v>
      </c>
      <c r="Y388" s="2" t="str">
        <f t="shared" si="41"/>
        <v>CX</v>
      </c>
    </row>
    <row r="389" spans="1:25" x14ac:dyDescent="0.3">
      <c r="A389" s="2" t="s">
        <v>561</v>
      </c>
      <c r="B389" s="2" t="s">
        <v>562</v>
      </c>
      <c r="C389" s="2" t="s">
        <v>20</v>
      </c>
      <c r="D389" s="2">
        <v>1083</v>
      </c>
      <c r="E389" s="2">
        <v>926</v>
      </c>
      <c r="F389" s="2">
        <v>967</v>
      </c>
      <c r="G389" s="2">
        <v>1356</v>
      </c>
      <c r="H389" s="2">
        <v>1060</v>
      </c>
      <c r="I389" s="2">
        <v>878</v>
      </c>
      <c r="J389" s="2">
        <v>1173</v>
      </c>
      <c r="K389" s="2">
        <v>1274</v>
      </c>
      <c r="L389" s="2">
        <v>728</v>
      </c>
      <c r="M389" s="2">
        <v>1209</v>
      </c>
      <c r="N389" s="2">
        <v>1313</v>
      </c>
      <c r="O389" s="2">
        <v>508</v>
      </c>
      <c r="P389" s="2">
        <v>12475</v>
      </c>
      <c r="Q389" s="2">
        <v>10</v>
      </c>
      <c r="R389" s="2">
        <v>124750</v>
      </c>
      <c r="S389" s="4">
        <f>SUM($R$2:R389) / SUM($R:$R)</f>
        <v>0.97795017550790231</v>
      </c>
      <c r="T389" s="3" t="str">
        <f t="shared" si="36"/>
        <v>C</v>
      </c>
      <c r="U389" s="2">
        <f t="shared" si="37"/>
        <v>1039.5833333333333</v>
      </c>
      <c r="V389" s="2">
        <f t="shared" si="38"/>
        <v>252.7260314445208</v>
      </c>
      <c r="W389" s="2">
        <f t="shared" si="39"/>
        <v>0.24310319657989979</v>
      </c>
      <c r="X389" s="2" t="str">
        <f t="shared" si="40"/>
        <v>Y</v>
      </c>
      <c r="Y389" s="2" t="str">
        <f t="shared" si="41"/>
        <v>CY</v>
      </c>
    </row>
    <row r="390" spans="1:25" x14ac:dyDescent="0.3">
      <c r="A390" s="2" t="s">
        <v>1579</v>
      </c>
      <c r="B390" s="2" t="s">
        <v>1580</v>
      </c>
      <c r="C390" s="2" t="s">
        <v>41</v>
      </c>
      <c r="D390" s="2">
        <v>205</v>
      </c>
      <c r="E390" s="2">
        <v>187</v>
      </c>
      <c r="F390" s="2">
        <v>207</v>
      </c>
      <c r="G390" s="2">
        <v>212</v>
      </c>
      <c r="H390" s="2">
        <v>194</v>
      </c>
      <c r="I390" s="2">
        <v>206</v>
      </c>
      <c r="J390" s="2">
        <v>196</v>
      </c>
      <c r="K390" s="2">
        <v>192</v>
      </c>
      <c r="L390" s="2">
        <v>231</v>
      </c>
      <c r="M390" s="2">
        <v>204</v>
      </c>
      <c r="N390" s="2">
        <v>209</v>
      </c>
      <c r="O390" s="2">
        <v>226</v>
      </c>
      <c r="P390" s="2">
        <v>2469</v>
      </c>
      <c r="Q390" s="2">
        <v>50</v>
      </c>
      <c r="R390" s="2">
        <v>123450</v>
      </c>
      <c r="S390" s="4">
        <f>SUM($R$2:R390) / SUM($R:$R)</f>
        <v>0.97806530317091145</v>
      </c>
      <c r="T390" s="3" t="str">
        <f t="shared" si="36"/>
        <v>C</v>
      </c>
      <c r="U390" s="2">
        <f t="shared" si="37"/>
        <v>205.75</v>
      </c>
      <c r="V390" s="2">
        <f t="shared" si="38"/>
        <v>13.060175412994337</v>
      </c>
      <c r="W390" s="2">
        <f t="shared" si="39"/>
        <v>6.3475943684055097E-2</v>
      </c>
      <c r="X390" s="2" t="str">
        <f t="shared" si="40"/>
        <v>X</v>
      </c>
      <c r="Y390" s="2" t="str">
        <f t="shared" si="41"/>
        <v>CX</v>
      </c>
    </row>
    <row r="391" spans="1:25" x14ac:dyDescent="0.3">
      <c r="A391" s="2" t="s">
        <v>449</v>
      </c>
      <c r="B391" s="2" t="s">
        <v>450</v>
      </c>
      <c r="C391" s="2" t="s">
        <v>20</v>
      </c>
      <c r="D391" s="2">
        <v>910</v>
      </c>
      <c r="E391" s="2">
        <v>1221</v>
      </c>
      <c r="F391" s="2">
        <v>800</v>
      </c>
      <c r="G391" s="2">
        <v>1117</v>
      </c>
      <c r="H391" s="2">
        <v>1099</v>
      </c>
      <c r="I391" s="2">
        <v>601</v>
      </c>
      <c r="J391" s="2">
        <v>906</v>
      </c>
      <c r="K391" s="2">
        <v>1272</v>
      </c>
      <c r="L391" s="2">
        <v>914</v>
      </c>
      <c r="M391" s="2">
        <v>1209</v>
      </c>
      <c r="N391" s="2">
        <v>1263</v>
      </c>
      <c r="O391" s="2">
        <v>1023</v>
      </c>
      <c r="P391" s="2">
        <v>12335</v>
      </c>
      <c r="Q391" s="2">
        <v>10</v>
      </c>
      <c r="R391" s="2">
        <v>123350</v>
      </c>
      <c r="S391" s="4">
        <f>SUM($R$2:R391) / SUM($R:$R)</f>
        <v>0.97818033757538436</v>
      </c>
      <c r="T391" s="3" t="str">
        <f t="shared" si="36"/>
        <v>C</v>
      </c>
      <c r="U391" s="2">
        <f t="shared" si="37"/>
        <v>1027.9166666666667</v>
      </c>
      <c r="V391" s="2">
        <f t="shared" si="38"/>
        <v>207.55610778482963</v>
      </c>
      <c r="W391" s="2">
        <f t="shared" si="39"/>
        <v>0.20191919687214879</v>
      </c>
      <c r="X391" s="2" t="str">
        <f t="shared" si="40"/>
        <v>Y</v>
      </c>
      <c r="Y391" s="2" t="str">
        <f t="shared" si="41"/>
        <v>CY</v>
      </c>
    </row>
    <row r="392" spans="1:25" x14ac:dyDescent="0.3">
      <c r="A392" s="2" t="s">
        <v>1925</v>
      </c>
      <c r="B392" s="2" t="s">
        <v>1926</v>
      </c>
      <c r="C392" s="2" t="s">
        <v>25</v>
      </c>
      <c r="D392" s="2">
        <v>802</v>
      </c>
      <c r="E392" s="2">
        <v>1048</v>
      </c>
      <c r="F392" s="2">
        <v>1101</v>
      </c>
      <c r="G392" s="2">
        <v>1214</v>
      </c>
      <c r="H392" s="2">
        <v>924</v>
      </c>
      <c r="I392" s="2">
        <v>879</v>
      </c>
      <c r="J392" s="2">
        <v>1211</v>
      </c>
      <c r="K392" s="2">
        <v>1158</v>
      </c>
      <c r="L392" s="2">
        <v>1230</v>
      </c>
      <c r="M392" s="2">
        <v>796</v>
      </c>
      <c r="N392" s="2">
        <v>873</v>
      </c>
      <c r="O392" s="2">
        <v>1088</v>
      </c>
      <c r="P392" s="2">
        <v>12324</v>
      </c>
      <c r="Q392" s="2">
        <v>10</v>
      </c>
      <c r="R392" s="2">
        <v>123240</v>
      </c>
      <c r="S392" s="4">
        <f>SUM($R$2:R392) / SUM($R:$R)</f>
        <v>0.9782952693954674</v>
      </c>
      <c r="T392" s="3" t="str">
        <f t="shared" si="36"/>
        <v>C</v>
      </c>
      <c r="U392" s="2">
        <f t="shared" si="37"/>
        <v>1027</v>
      </c>
      <c r="V392" s="2">
        <f t="shared" si="38"/>
        <v>164.33004483770958</v>
      </c>
      <c r="W392" s="2">
        <f t="shared" si="39"/>
        <v>0.16000978075726346</v>
      </c>
      <c r="X392" s="2" t="str">
        <f t="shared" si="40"/>
        <v>X</v>
      </c>
      <c r="Y392" s="2" t="str">
        <f t="shared" si="41"/>
        <v>CX</v>
      </c>
    </row>
    <row r="393" spans="1:25" x14ac:dyDescent="0.3">
      <c r="A393" s="2" t="s">
        <v>1889</v>
      </c>
      <c r="B393" s="2" t="s">
        <v>1890</v>
      </c>
      <c r="C393" s="2" t="s">
        <v>41</v>
      </c>
      <c r="D393" s="2">
        <v>108</v>
      </c>
      <c r="E393" s="2">
        <v>96</v>
      </c>
      <c r="F393" s="2">
        <v>105</v>
      </c>
      <c r="G393" s="2">
        <v>95</v>
      </c>
      <c r="H393" s="2">
        <v>112</v>
      </c>
      <c r="I393" s="2">
        <v>99</v>
      </c>
      <c r="J393" s="2">
        <v>104</v>
      </c>
      <c r="K393" s="2">
        <v>106</v>
      </c>
      <c r="L393" s="2">
        <v>109</v>
      </c>
      <c r="M393" s="2">
        <v>87</v>
      </c>
      <c r="N393" s="2">
        <v>112</v>
      </c>
      <c r="O393" s="2">
        <v>89</v>
      </c>
      <c r="P393" s="2">
        <v>1222</v>
      </c>
      <c r="Q393" s="2">
        <v>100</v>
      </c>
      <c r="R393" s="2">
        <v>122200</v>
      </c>
      <c r="S393" s="4">
        <f>SUM($R$2:R393) / SUM($R:$R)</f>
        <v>0.97840923132677338</v>
      </c>
      <c r="T393" s="3" t="str">
        <f t="shared" si="36"/>
        <v>C</v>
      </c>
      <c r="U393" s="2">
        <f t="shared" si="37"/>
        <v>101.83333333333333</v>
      </c>
      <c r="V393" s="2">
        <f t="shared" si="38"/>
        <v>8.5369073954675123</v>
      </c>
      <c r="W393" s="2">
        <f t="shared" si="39"/>
        <v>8.3832151182987036E-2</v>
      </c>
      <c r="X393" s="2" t="str">
        <f t="shared" si="40"/>
        <v>X</v>
      </c>
      <c r="Y393" s="2" t="str">
        <f t="shared" si="41"/>
        <v>CX</v>
      </c>
    </row>
    <row r="394" spans="1:25" x14ac:dyDescent="0.3">
      <c r="A394" s="2" t="s">
        <v>687</v>
      </c>
      <c r="B394" s="2" t="s">
        <v>688</v>
      </c>
      <c r="C394" s="2" t="s">
        <v>25</v>
      </c>
      <c r="D394" s="2">
        <v>24</v>
      </c>
      <c r="E394" s="2">
        <v>315</v>
      </c>
      <c r="F394" s="2">
        <v>24</v>
      </c>
      <c r="G394" s="2">
        <v>269</v>
      </c>
      <c r="H394" s="2">
        <v>45</v>
      </c>
      <c r="I394" s="2">
        <v>200</v>
      </c>
      <c r="J394" s="2">
        <v>270</v>
      </c>
      <c r="K394" s="2">
        <v>24</v>
      </c>
      <c r="L394" s="2">
        <v>170</v>
      </c>
      <c r="M394" s="2">
        <v>502</v>
      </c>
      <c r="N394" s="2">
        <v>56</v>
      </c>
      <c r="O394" s="2">
        <v>532</v>
      </c>
      <c r="P394" s="2">
        <v>2431</v>
      </c>
      <c r="Q394" s="2">
        <v>50</v>
      </c>
      <c r="R394" s="2">
        <v>121550</v>
      </c>
      <c r="S394" s="4">
        <f>SUM($R$2:R394) / SUM($R:$R)</f>
        <v>0.97852258707759365</v>
      </c>
      <c r="T394" s="3" t="str">
        <f t="shared" si="36"/>
        <v>C</v>
      </c>
      <c r="U394" s="2">
        <f t="shared" si="37"/>
        <v>202.58333333333334</v>
      </c>
      <c r="V394" s="2">
        <f t="shared" si="38"/>
        <v>181.61470621937949</v>
      </c>
      <c r="W394" s="2">
        <f t="shared" si="39"/>
        <v>0.89649381926472793</v>
      </c>
      <c r="X394" s="2" t="str">
        <f t="shared" si="40"/>
        <v>Z</v>
      </c>
      <c r="Y394" s="2" t="str">
        <f t="shared" si="41"/>
        <v>CZ</v>
      </c>
    </row>
    <row r="395" spans="1:25" x14ac:dyDescent="0.3">
      <c r="A395" s="2" t="s">
        <v>1949</v>
      </c>
      <c r="B395" s="2" t="s">
        <v>1950</v>
      </c>
      <c r="C395" s="2" t="s">
        <v>25</v>
      </c>
      <c r="D395" s="2">
        <v>37</v>
      </c>
      <c r="E395" s="2">
        <v>73</v>
      </c>
      <c r="F395" s="2">
        <v>329</v>
      </c>
      <c r="G395" s="2">
        <v>111</v>
      </c>
      <c r="H395" s="2">
        <v>239</v>
      </c>
      <c r="I395" s="2">
        <v>77</v>
      </c>
      <c r="J395" s="2">
        <v>424</v>
      </c>
      <c r="K395" s="2">
        <v>427</v>
      </c>
      <c r="L395" s="2">
        <v>108</v>
      </c>
      <c r="M395" s="2">
        <v>326</v>
      </c>
      <c r="N395" s="2">
        <v>146</v>
      </c>
      <c r="O395" s="2">
        <v>99</v>
      </c>
      <c r="P395" s="2">
        <v>2396</v>
      </c>
      <c r="Q395" s="2">
        <v>50</v>
      </c>
      <c r="R395" s="2">
        <v>119800</v>
      </c>
      <c r="S395" s="4">
        <f>SUM($R$2:R395) / SUM($R:$R)</f>
        <v>0.97863431080402941</v>
      </c>
      <c r="T395" s="3" t="str">
        <f t="shared" si="36"/>
        <v>C</v>
      </c>
      <c r="U395" s="2">
        <f t="shared" si="37"/>
        <v>199.66666666666666</v>
      </c>
      <c r="V395" s="2">
        <f t="shared" si="38"/>
        <v>142.40488585421329</v>
      </c>
      <c r="W395" s="2">
        <f t="shared" si="39"/>
        <v>0.71321311780073438</v>
      </c>
      <c r="X395" s="2" t="str">
        <f t="shared" si="40"/>
        <v>Z</v>
      </c>
      <c r="Y395" s="2" t="str">
        <f t="shared" si="41"/>
        <v>CZ</v>
      </c>
    </row>
    <row r="396" spans="1:25" x14ac:dyDescent="0.3">
      <c r="A396" s="2" t="s">
        <v>1057</v>
      </c>
      <c r="B396" s="2" t="s">
        <v>1058</v>
      </c>
      <c r="C396" s="2" t="s">
        <v>20</v>
      </c>
      <c r="D396" s="2">
        <v>4722</v>
      </c>
      <c r="E396" s="2">
        <v>5014</v>
      </c>
      <c r="F396" s="2">
        <v>5247</v>
      </c>
      <c r="G396" s="2">
        <v>4869</v>
      </c>
      <c r="H396" s="2">
        <v>5006</v>
      </c>
      <c r="I396" s="2">
        <v>5462</v>
      </c>
      <c r="J396" s="2">
        <v>4881</v>
      </c>
      <c r="K396" s="2">
        <v>5053</v>
      </c>
      <c r="L396" s="2">
        <v>5142</v>
      </c>
      <c r="M396" s="2">
        <v>4726</v>
      </c>
      <c r="N396" s="2">
        <v>4890</v>
      </c>
      <c r="O396" s="2">
        <v>4802</v>
      </c>
      <c r="P396" s="2">
        <v>59814</v>
      </c>
      <c r="Q396" s="2">
        <v>2</v>
      </c>
      <c r="R396" s="2">
        <v>119628</v>
      </c>
      <c r="S396" s="4">
        <f>SUM($R$2:R396) / SUM($R:$R)</f>
        <v>0.97874587412578284</v>
      </c>
      <c r="T396" s="3" t="str">
        <f t="shared" si="36"/>
        <v>C</v>
      </c>
      <c r="U396" s="2">
        <f t="shared" si="37"/>
        <v>4984.5</v>
      </c>
      <c r="V396" s="2">
        <f t="shared" si="38"/>
        <v>219.45407471516884</v>
      </c>
      <c r="W396" s="2">
        <f t="shared" si="39"/>
        <v>4.4027299571706056E-2</v>
      </c>
      <c r="X396" s="2" t="str">
        <f t="shared" si="40"/>
        <v>X</v>
      </c>
      <c r="Y396" s="2" t="str">
        <f t="shared" si="41"/>
        <v>CX</v>
      </c>
    </row>
    <row r="397" spans="1:25" x14ac:dyDescent="0.3">
      <c r="A397" s="2" t="s">
        <v>701</v>
      </c>
      <c r="B397" s="2" t="s">
        <v>702</v>
      </c>
      <c r="C397" s="2" t="s">
        <v>20</v>
      </c>
      <c r="D397" s="2">
        <v>4430</v>
      </c>
      <c r="E397" s="2">
        <v>4570</v>
      </c>
      <c r="F397" s="2">
        <v>5260</v>
      </c>
      <c r="G397" s="2">
        <v>4866</v>
      </c>
      <c r="H397" s="2">
        <v>5027</v>
      </c>
      <c r="I397" s="2">
        <v>4904</v>
      </c>
      <c r="J397" s="2">
        <v>5076</v>
      </c>
      <c r="K397" s="2">
        <v>5219</v>
      </c>
      <c r="L397" s="2">
        <v>4888</v>
      </c>
      <c r="M397" s="2">
        <v>5189</v>
      </c>
      <c r="N397" s="2">
        <v>5080</v>
      </c>
      <c r="O397" s="2">
        <v>5061</v>
      </c>
      <c r="P397" s="2">
        <v>59570</v>
      </c>
      <c r="Q397" s="2">
        <v>2</v>
      </c>
      <c r="R397" s="2">
        <v>119140</v>
      </c>
      <c r="S397" s="4">
        <f>SUM($R$2:R397) / SUM($R:$R)</f>
        <v>0.97885698234587926</v>
      </c>
      <c r="T397" s="3" t="str">
        <f t="shared" si="36"/>
        <v>C</v>
      </c>
      <c r="U397" s="2">
        <f t="shared" si="37"/>
        <v>4964.166666666667</v>
      </c>
      <c r="V397" s="2">
        <f t="shared" si="38"/>
        <v>252.62542639371449</v>
      </c>
      <c r="W397" s="2">
        <f t="shared" si="39"/>
        <v>5.0889795479680609E-2</v>
      </c>
      <c r="X397" s="2" t="str">
        <f t="shared" si="40"/>
        <v>X</v>
      </c>
      <c r="Y397" s="2" t="str">
        <f t="shared" si="41"/>
        <v>CX</v>
      </c>
    </row>
    <row r="398" spans="1:25" x14ac:dyDescent="0.3">
      <c r="A398" s="2" t="s">
        <v>1779</v>
      </c>
      <c r="B398" s="2" t="s">
        <v>1780</v>
      </c>
      <c r="C398" s="2" t="s">
        <v>25</v>
      </c>
      <c r="D398" s="2">
        <v>813</v>
      </c>
      <c r="E398" s="2">
        <v>922</v>
      </c>
      <c r="F398" s="2">
        <v>1123</v>
      </c>
      <c r="G398" s="2">
        <v>1092</v>
      </c>
      <c r="H398" s="2">
        <v>1206</v>
      </c>
      <c r="I398" s="2">
        <v>674</v>
      </c>
      <c r="J398" s="2">
        <v>1054</v>
      </c>
      <c r="K398" s="2">
        <v>1165</v>
      </c>
      <c r="L398" s="2">
        <v>987</v>
      </c>
      <c r="M398" s="2">
        <v>1037</v>
      </c>
      <c r="N398" s="2">
        <v>757</v>
      </c>
      <c r="O398" s="2">
        <v>1047</v>
      </c>
      <c r="P398" s="2">
        <v>11877</v>
      </c>
      <c r="Q398" s="2">
        <v>10</v>
      </c>
      <c r="R398" s="2">
        <v>118770</v>
      </c>
      <c r="S398" s="4">
        <f>SUM($R$2:R398) / SUM($R:$R)</f>
        <v>0.9789677455093917</v>
      </c>
      <c r="T398" s="3" t="str">
        <f t="shared" si="36"/>
        <v>C</v>
      </c>
      <c r="U398" s="2">
        <f t="shared" si="37"/>
        <v>989.75</v>
      </c>
      <c r="V398" s="2">
        <f t="shared" si="38"/>
        <v>166.52443173191244</v>
      </c>
      <c r="W398" s="2">
        <f t="shared" si="39"/>
        <v>0.16824898381602671</v>
      </c>
      <c r="X398" s="2" t="str">
        <f t="shared" si="40"/>
        <v>X</v>
      </c>
      <c r="Y398" s="2" t="str">
        <f t="shared" si="41"/>
        <v>CX</v>
      </c>
    </row>
    <row r="399" spans="1:25" x14ac:dyDescent="0.3">
      <c r="A399" s="2" t="s">
        <v>447</v>
      </c>
      <c r="B399" s="2" t="s">
        <v>448</v>
      </c>
      <c r="C399" s="2" t="s">
        <v>20</v>
      </c>
      <c r="D399" s="2">
        <v>5123</v>
      </c>
      <c r="E399" s="2">
        <v>4889</v>
      </c>
      <c r="F399" s="2">
        <v>5033</v>
      </c>
      <c r="G399" s="2">
        <v>5154</v>
      </c>
      <c r="H399" s="2">
        <v>4998</v>
      </c>
      <c r="I399" s="2">
        <v>4705</v>
      </c>
      <c r="J399" s="2">
        <v>4860</v>
      </c>
      <c r="K399" s="2">
        <v>4910</v>
      </c>
      <c r="L399" s="2">
        <v>4892</v>
      </c>
      <c r="M399" s="2">
        <v>4770</v>
      </c>
      <c r="N399" s="2">
        <v>4856</v>
      </c>
      <c r="O399" s="2">
        <v>5068</v>
      </c>
      <c r="P399" s="2">
        <v>59258</v>
      </c>
      <c r="Q399" s="2">
        <v>2</v>
      </c>
      <c r="R399" s="2">
        <v>118516</v>
      </c>
      <c r="S399" s="4">
        <f>SUM($R$2:R399) / SUM($R:$R)</f>
        <v>0.97907827179622187</v>
      </c>
      <c r="T399" s="3" t="str">
        <f t="shared" si="36"/>
        <v>C</v>
      </c>
      <c r="U399" s="2">
        <f t="shared" si="37"/>
        <v>4938.166666666667</v>
      </c>
      <c r="V399" s="2">
        <f t="shared" si="38"/>
        <v>138.5075208547656</v>
      </c>
      <c r="W399" s="2">
        <f t="shared" si="39"/>
        <v>2.8048369000931304E-2</v>
      </c>
      <c r="X399" s="2" t="str">
        <f t="shared" si="40"/>
        <v>X</v>
      </c>
      <c r="Y399" s="2" t="str">
        <f t="shared" si="41"/>
        <v>CX</v>
      </c>
    </row>
    <row r="400" spans="1:25" x14ac:dyDescent="0.3">
      <c r="A400" s="2" t="s">
        <v>347</v>
      </c>
      <c r="B400" s="2" t="s">
        <v>348</v>
      </c>
      <c r="C400" s="2" t="s">
        <v>20</v>
      </c>
      <c r="D400" s="2">
        <v>5276</v>
      </c>
      <c r="E400" s="2">
        <v>4885</v>
      </c>
      <c r="F400" s="2">
        <v>4999</v>
      </c>
      <c r="G400" s="2">
        <v>4558</v>
      </c>
      <c r="H400" s="2">
        <v>4810</v>
      </c>
      <c r="I400" s="2">
        <v>4857</v>
      </c>
      <c r="J400" s="2">
        <v>4956</v>
      </c>
      <c r="K400" s="2">
        <v>4686</v>
      </c>
      <c r="L400" s="2">
        <v>5053</v>
      </c>
      <c r="M400" s="2">
        <v>4956</v>
      </c>
      <c r="N400" s="2">
        <v>5107</v>
      </c>
      <c r="O400" s="2">
        <v>4748</v>
      </c>
      <c r="P400" s="2">
        <v>58891</v>
      </c>
      <c r="Q400" s="2">
        <v>2</v>
      </c>
      <c r="R400" s="2">
        <v>117782</v>
      </c>
      <c r="S400" s="4">
        <f>SUM($R$2:R400) / SUM($R:$R)</f>
        <v>0.97918811356539603</v>
      </c>
      <c r="T400" s="3" t="str">
        <f t="shared" si="36"/>
        <v>C</v>
      </c>
      <c r="U400" s="2">
        <f t="shared" si="37"/>
        <v>4907.583333333333</v>
      </c>
      <c r="V400" s="2">
        <f t="shared" si="38"/>
        <v>195.18171409010506</v>
      </c>
      <c r="W400" s="2">
        <f t="shared" si="39"/>
        <v>3.9771451819144876E-2</v>
      </c>
      <c r="X400" s="2" t="str">
        <f t="shared" si="40"/>
        <v>X</v>
      </c>
      <c r="Y400" s="2" t="str">
        <f t="shared" si="41"/>
        <v>CX</v>
      </c>
    </row>
    <row r="401" spans="1:25" x14ac:dyDescent="0.3">
      <c r="A401" s="2" t="s">
        <v>937</v>
      </c>
      <c r="B401" s="2" t="s">
        <v>938</v>
      </c>
      <c r="C401" s="2" t="s">
        <v>20</v>
      </c>
      <c r="D401" s="2">
        <v>4791</v>
      </c>
      <c r="E401" s="2">
        <v>4985</v>
      </c>
      <c r="F401" s="2">
        <v>4771</v>
      </c>
      <c r="G401" s="2">
        <v>5005</v>
      </c>
      <c r="H401" s="2">
        <v>4770</v>
      </c>
      <c r="I401" s="2">
        <v>5168</v>
      </c>
      <c r="J401" s="2">
        <v>4797</v>
      </c>
      <c r="K401" s="2">
        <v>4921</v>
      </c>
      <c r="L401" s="2">
        <v>4818</v>
      </c>
      <c r="M401" s="2">
        <v>5016</v>
      </c>
      <c r="N401" s="2">
        <v>4796</v>
      </c>
      <c r="O401" s="2">
        <v>4840</v>
      </c>
      <c r="P401" s="2">
        <v>58678</v>
      </c>
      <c r="Q401" s="2">
        <v>2</v>
      </c>
      <c r="R401" s="2">
        <v>117356</v>
      </c>
      <c r="S401" s="4">
        <f>SUM($R$2:R401) / SUM($R:$R)</f>
        <v>0.97929755805320562</v>
      </c>
      <c r="T401" s="3" t="str">
        <f t="shared" si="36"/>
        <v>C</v>
      </c>
      <c r="U401" s="2">
        <f t="shared" si="37"/>
        <v>4889.833333333333</v>
      </c>
      <c r="V401" s="2">
        <f t="shared" si="38"/>
        <v>127.88548381148256</v>
      </c>
      <c r="W401" s="2">
        <f t="shared" si="39"/>
        <v>2.6153342065813264E-2</v>
      </c>
      <c r="X401" s="2" t="str">
        <f t="shared" si="40"/>
        <v>X</v>
      </c>
      <c r="Y401" s="2" t="str">
        <f t="shared" si="41"/>
        <v>CX</v>
      </c>
    </row>
    <row r="402" spans="1:25" x14ac:dyDescent="0.3">
      <c r="A402" s="2" t="s">
        <v>153</v>
      </c>
      <c r="B402" s="2" t="s">
        <v>154</v>
      </c>
      <c r="C402" s="2" t="s">
        <v>25</v>
      </c>
      <c r="D402" s="2">
        <v>938</v>
      </c>
      <c r="E402" s="2">
        <v>902</v>
      </c>
      <c r="F402" s="2">
        <v>1039</v>
      </c>
      <c r="G402" s="2">
        <v>1056</v>
      </c>
      <c r="H402" s="2">
        <v>787</v>
      </c>
      <c r="I402" s="2">
        <v>1016</v>
      </c>
      <c r="J402" s="2">
        <v>1112</v>
      </c>
      <c r="K402" s="2">
        <v>945</v>
      </c>
      <c r="L402" s="2">
        <v>976</v>
      </c>
      <c r="M402" s="2">
        <v>1073</v>
      </c>
      <c r="N402" s="2">
        <v>1178</v>
      </c>
      <c r="O402" s="2">
        <v>625</v>
      </c>
      <c r="P402" s="2">
        <v>11647</v>
      </c>
      <c r="Q402" s="2">
        <v>10</v>
      </c>
      <c r="R402" s="2">
        <v>116470</v>
      </c>
      <c r="S402" s="4">
        <f>SUM($R$2:R402) / SUM($R:$R)</f>
        <v>0.97940617627038407</v>
      </c>
      <c r="T402" s="3" t="str">
        <f t="shared" si="36"/>
        <v>C</v>
      </c>
      <c r="U402" s="2">
        <f t="shared" si="37"/>
        <v>970.58333333333337</v>
      </c>
      <c r="V402" s="2">
        <f t="shared" si="38"/>
        <v>149.88750832379293</v>
      </c>
      <c r="W402" s="2">
        <f t="shared" si="39"/>
        <v>0.15443033398175626</v>
      </c>
      <c r="X402" s="2" t="str">
        <f t="shared" si="40"/>
        <v>X</v>
      </c>
      <c r="Y402" s="2" t="str">
        <f t="shared" si="41"/>
        <v>CX</v>
      </c>
    </row>
    <row r="403" spans="1:25" x14ac:dyDescent="0.3">
      <c r="A403" s="2" t="s">
        <v>277</v>
      </c>
      <c r="B403" s="2" t="s">
        <v>278</v>
      </c>
      <c r="C403" s="2" t="s">
        <v>20</v>
      </c>
      <c r="D403" s="2">
        <v>4944</v>
      </c>
      <c r="E403" s="2">
        <v>4812</v>
      </c>
      <c r="F403" s="2">
        <v>4748</v>
      </c>
      <c r="G403" s="2">
        <v>4933</v>
      </c>
      <c r="H403" s="2">
        <v>5011</v>
      </c>
      <c r="I403" s="2">
        <v>4735</v>
      </c>
      <c r="J403" s="2">
        <v>4820</v>
      </c>
      <c r="K403" s="2">
        <v>4859</v>
      </c>
      <c r="L403" s="2">
        <v>4830</v>
      </c>
      <c r="M403" s="2">
        <v>4762</v>
      </c>
      <c r="N403" s="2">
        <v>4850</v>
      </c>
      <c r="O403" s="2">
        <v>4712</v>
      </c>
      <c r="P403" s="2">
        <v>58016</v>
      </c>
      <c r="Q403" s="2">
        <v>2</v>
      </c>
      <c r="R403" s="2">
        <v>116032</v>
      </c>
      <c r="S403" s="4">
        <f>SUM($R$2:R403) / SUM($R:$R)</f>
        <v>0.97951438601517371</v>
      </c>
      <c r="T403" s="3" t="str">
        <f t="shared" si="36"/>
        <v>C</v>
      </c>
      <c r="U403" s="2">
        <f t="shared" si="37"/>
        <v>4834.666666666667</v>
      </c>
      <c r="V403" s="2">
        <f t="shared" si="38"/>
        <v>91.48604795102348</v>
      </c>
      <c r="W403" s="2">
        <f t="shared" si="39"/>
        <v>1.8922927733940321E-2</v>
      </c>
      <c r="X403" s="2" t="str">
        <f t="shared" si="40"/>
        <v>X</v>
      </c>
      <c r="Y403" s="2" t="str">
        <f t="shared" si="41"/>
        <v>CX</v>
      </c>
    </row>
    <row r="404" spans="1:25" x14ac:dyDescent="0.3">
      <c r="A404" s="2" t="s">
        <v>1669</v>
      </c>
      <c r="B404" s="2" t="s">
        <v>1670</v>
      </c>
      <c r="C404" s="2" t="s">
        <v>20</v>
      </c>
      <c r="D404" s="2">
        <v>4886</v>
      </c>
      <c r="E404" s="2">
        <v>4988</v>
      </c>
      <c r="F404" s="2">
        <v>4512</v>
      </c>
      <c r="G404" s="2">
        <v>4723</v>
      </c>
      <c r="H404" s="2">
        <v>4837</v>
      </c>
      <c r="I404" s="2">
        <v>5020</v>
      </c>
      <c r="J404" s="2">
        <v>5275</v>
      </c>
      <c r="K404" s="2">
        <v>4450</v>
      </c>
      <c r="L404" s="2">
        <v>4590</v>
      </c>
      <c r="M404" s="2">
        <v>4894</v>
      </c>
      <c r="N404" s="2">
        <v>4830</v>
      </c>
      <c r="O404" s="2">
        <v>4996</v>
      </c>
      <c r="P404" s="2">
        <v>58001</v>
      </c>
      <c r="Q404" s="2">
        <v>2</v>
      </c>
      <c r="R404" s="2">
        <v>116002</v>
      </c>
      <c r="S404" s="4">
        <f>SUM($R$2:R404) / SUM($R:$R)</f>
        <v>0.97962256778240242</v>
      </c>
      <c r="T404" s="3" t="str">
        <f t="shared" si="36"/>
        <v>C</v>
      </c>
      <c r="U404" s="2">
        <f t="shared" si="37"/>
        <v>4833.416666666667</v>
      </c>
      <c r="V404" s="2">
        <f t="shared" si="38"/>
        <v>235.17090819360726</v>
      </c>
      <c r="W404" s="2">
        <f t="shared" si="39"/>
        <v>4.8655211088141359E-2</v>
      </c>
      <c r="X404" s="2" t="str">
        <f t="shared" si="40"/>
        <v>X</v>
      </c>
      <c r="Y404" s="2" t="str">
        <f t="shared" si="41"/>
        <v>CX</v>
      </c>
    </row>
    <row r="405" spans="1:25" x14ac:dyDescent="0.3">
      <c r="A405" s="2" t="s">
        <v>1095</v>
      </c>
      <c r="B405" s="2" t="s">
        <v>1096</v>
      </c>
      <c r="C405" s="2" t="s">
        <v>20</v>
      </c>
      <c r="D405" s="2">
        <v>1239</v>
      </c>
      <c r="E405" s="2">
        <v>925</v>
      </c>
      <c r="F405" s="2">
        <v>899</v>
      </c>
      <c r="G405" s="2">
        <v>619</v>
      </c>
      <c r="H405" s="2">
        <v>1107</v>
      </c>
      <c r="I405" s="2">
        <v>829</v>
      </c>
      <c r="J405" s="2">
        <v>909</v>
      </c>
      <c r="K405" s="2">
        <v>1184</v>
      </c>
      <c r="L405" s="2">
        <v>977</v>
      </c>
      <c r="M405" s="2">
        <v>681</v>
      </c>
      <c r="N405" s="2">
        <v>1020</v>
      </c>
      <c r="O405" s="2">
        <v>1186</v>
      </c>
      <c r="P405" s="2">
        <v>11575</v>
      </c>
      <c r="Q405" s="2">
        <v>10</v>
      </c>
      <c r="R405" s="2">
        <v>115750</v>
      </c>
      <c r="S405" s="4">
        <f>SUM($R$2:R405) / SUM($R:$R)</f>
        <v>0.97973051453811988</v>
      </c>
      <c r="T405" s="3" t="str">
        <f t="shared" si="36"/>
        <v>C</v>
      </c>
      <c r="U405" s="2">
        <f t="shared" si="37"/>
        <v>964.58333333333337</v>
      </c>
      <c r="V405" s="2">
        <f t="shared" si="38"/>
        <v>196.13745566604931</v>
      </c>
      <c r="W405" s="2">
        <f t="shared" si="39"/>
        <v>0.20333904691080704</v>
      </c>
      <c r="X405" s="2" t="str">
        <f t="shared" si="40"/>
        <v>Y</v>
      </c>
      <c r="Y405" s="2" t="str">
        <f t="shared" si="41"/>
        <v>CY</v>
      </c>
    </row>
    <row r="406" spans="1:25" x14ac:dyDescent="0.3">
      <c r="A406" s="2" t="s">
        <v>121</v>
      </c>
      <c r="B406" s="2" t="s">
        <v>122</v>
      </c>
      <c r="C406" s="2" t="s">
        <v>25</v>
      </c>
      <c r="D406" s="2">
        <v>668</v>
      </c>
      <c r="E406" s="2">
        <v>845</v>
      </c>
      <c r="F406" s="2">
        <v>1008</v>
      </c>
      <c r="G406" s="2">
        <v>1202</v>
      </c>
      <c r="H406" s="2">
        <v>1015</v>
      </c>
      <c r="I406" s="2">
        <v>992</v>
      </c>
      <c r="J406" s="2">
        <v>959</v>
      </c>
      <c r="K406" s="2">
        <v>727</v>
      </c>
      <c r="L406" s="2">
        <v>903</v>
      </c>
      <c r="M406" s="2">
        <v>1233</v>
      </c>
      <c r="N406" s="2">
        <v>804</v>
      </c>
      <c r="O406" s="2">
        <v>1214</v>
      </c>
      <c r="P406" s="2">
        <v>11570</v>
      </c>
      <c r="Q406" s="2">
        <v>10</v>
      </c>
      <c r="R406" s="2">
        <v>115700</v>
      </c>
      <c r="S406" s="4">
        <f>SUM($R$2:R406) / SUM($R:$R)</f>
        <v>0.97983841466456911</v>
      </c>
      <c r="T406" s="3" t="str">
        <f t="shared" si="36"/>
        <v>C</v>
      </c>
      <c r="U406" s="2">
        <f t="shared" si="37"/>
        <v>964.16666666666663</v>
      </c>
      <c r="V406" s="2">
        <f t="shared" si="38"/>
        <v>186.86837046110244</v>
      </c>
      <c r="W406" s="2">
        <f t="shared" si="39"/>
        <v>0.19381334879284609</v>
      </c>
      <c r="X406" s="2" t="str">
        <f t="shared" si="40"/>
        <v>X</v>
      </c>
      <c r="Y406" s="2" t="str">
        <f t="shared" si="41"/>
        <v>CX</v>
      </c>
    </row>
    <row r="407" spans="1:25" x14ac:dyDescent="0.3">
      <c r="A407" s="2" t="s">
        <v>1425</v>
      </c>
      <c r="B407" s="2" t="s">
        <v>1426</v>
      </c>
      <c r="C407" s="2" t="s">
        <v>25</v>
      </c>
      <c r="D407" s="2">
        <v>1074</v>
      </c>
      <c r="E407" s="2">
        <v>774</v>
      </c>
      <c r="F407" s="2">
        <v>1138</v>
      </c>
      <c r="G407" s="2">
        <v>860</v>
      </c>
      <c r="H407" s="2">
        <v>897</v>
      </c>
      <c r="I407" s="2">
        <v>755</v>
      </c>
      <c r="J407" s="2">
        <v>752</v>
      </c>
      <c r="K407" s="2">
        <v>996</v>
      </c>
      <c r="L407" s="2">
        <v>1025</v>
      </c>
      <c r="M407" s="2">
        <v>1170</v>
      </c>
      <c r="N407" s="2">
        <v>1013</v>
      </c>
      <c r="O407" s="2">
        <v>1093</v>
      </c>
      <c r="P407" s="2">
        <v>11547</v>
      </c>
      <c r="Q407" s="2">
        <v>10</v>
      </c>
      <c r="R407" s="2">
        <v>115470</v>
      </c>
      <c r="S407" s="4">
        <f>SUM($R$2:R407) / SUM($R:$R)</f>
        <v>0.97994610029638496</v>
      </c>
      <c r="T407" s="3" t="str">
        <f t="shared" si="36"/>
        <v>C</v>
      </c>
      <c r="U407" s="2">
        <f t="shared" si="37"/>
        <v>962.25</v>
      </c>
      <c r="V407" s="2">
        <f t="shared" si="38"/>
        <v>150.33062048214083</v>
      </c>
      <c r="W407" s="2">
        <f t="shared" si="39"/>
        <v>0.15622823640648567</v>
      </c>
      <c r="X407" s="2" t="str">
        <f t="shared" si="40"/>
        <v>X</v>
      </c>
      <c r="Y407" s="2" t="str">
        <f t="shared" si="41"/>
        <v>CX</v>
      </c>
    </row>
    <row r="408" spans="1:25" x14ac:dyDescent="0.3">
      <c r="A408" s="2" t="s">
        <v>1839</v>
      </c>
      <c r="B408" s="2" t="s">
        <v>1840</v>
      </c>
      <c r="C408" s="2" t="s">
        <v>20</v>
      </c>
      <c r="D408" s="2">
        <v>4899</v>
      </c>
      <c r="E408" s="2">
        <v>4842</v>
      </c>
      <c r="F408" s="2">
        <v>4784</v>
      </c>
      <c r="G408" s="2">
        <v>4720</v>
      </c>
      <c r="H408" s="2">
        <v>4633</v>
      </c>
      <c r="I408" s="2">
        <v>4894</v>
      </c>
      <c r="J408" s="2">
        <v>4425</v>
      </c>
      <c r="K408" s="2">
        <v>4913</v>
      </c>
      <c r="L408" s="2">
        <v>4669</v>
      </c>
      <c r="M408" s="2">
        <v>4847</v>
      </c>
      <c r="N408" s="2">
        <v>5101</v>
      </c>
      <c r="O408" s="2">
        <v>4973</v>
      </c>
      <c r="P408" s="2">
        <v>57700</v>
      </c>
      <c r="Q408" s="2">
        <v>2</v>
      </c>
      <c r="R408" s="2">
        <v>115400</v>
      </c>
      <c r="S408" s="4">
        <f>SUM($R$2:R408) / SUM($R:$R)</f>
        <v>0.9800537206472254</v>
      </c>
      <c r="T408" s="3" t="str">
        <f t="shared" si="36"/>
        <v>C</v>
      </c>
      <c r="U408" s="2">
        <f t="shared" si="37"/>
        <v>4808.333333333333</v>
      </c>
      <c r="V408" s="2">
        <f t="shared" si="38"/>
        <v>177.71444578993638</v>
      </c>
      <c r="W408" s="2">
        <f t="shared" si="39"/>
        <v>3.6959676767404449E-2</v>
      </c>
      <c r="X408" s="2" t="str">
        <f t="shared" si="40"/>
        <v>X</v>
      </c>
      <c r="Y408" s="2" t="str">
        <f t="shared" si="41"/>
        <v>CX</v>
      </c>
    </row>
    <row r="409" spans="1:25" x14ac:dyDescent="0.3">
      <c r="A409" s="2" t="s">
        <v>1741</v>
      </c>
      <c r="B409" s="2" t="s">
        <v>1742</v>
      </c>
      <c r="C409" s="2" t="s">
        <v>20</v>
      </c>
      <c r="D409" s="2">
        <v>4680</v>
      </c>
      <c r="E409" s="2">
        <v>4711</v>
      </c>
      <c r="F409" s="2">
        <v>4931</v>
      </c>
      <c r="G409" s="2">
        <v>4643</v>
      </c>
      <c r="H409" s="2">
        <v>4997</v>
      </c>
      <c r="I409" s="2">
        <v>4534</v>
      </c>
      <c r="J409" s="2">
        <v>4905</v>
      </c>
      <c r="K409" s="2">
        <v>4817</v>
      </c>
      <c r="L409" s="2">
        <v>4647</v>
      </c>
      <c r="M409" s="2">
        <v>4832</v>
      </c>
      <c r="N409" s="2">
        <v>5072</v>
      </c>
      <c r="O409" s="2">
        <v>4747</v>
      </c>
      <c r="P409" s="2">
        <v>57516</v>
      </c>
      <c r="Q409" s="2">
        <v>2</v>
      </c>
      <c r="R409" s="2">
        <v>115032</v>
      </c>
      <c r="S409" s="4">
        <f>SUM($R$2:R409) / SUM($R:$R)</f>
        <v>0.98016099780665245</v>
      </c>
      <c r="T409" s="3" t="str">
        <f t="shared" si="36"/>
        <v>C</v>
      </c>
      <c r="U409" s="2">
        <f t="shared" si="37"/>
        <v>4793</v>
      </c>
      <c r="V409" s="2">
        <f t="shared" si="38"/>
        <v>161.14589662786949</v>
      </c>
      <c r="W409" s="2">
        <f t="shared" si="39"/>
        <v>3.362109255745243E-2</v>
      </c>
      <c r="X409" s="2" t="str">
        <f t="shared" si="40"/>
        <v>X</v>
      </c>
      <c r="Y409" s="2" t="str">
        <f t="shared" si="41"/>
        <v>CX</v>
      </c>
    </row>
    <row r="410" spans="1:25" x14ac:dyDescent="0.3">
      <c r="A410" s="2" t="s">
        <v>587</v>
      </c>
      <c r="B410" s="2" t="s">
        <v>588</v>
      </c>
      <c r="C410" s="2" t="s">
        <v>25</v>
      </c>
      <c r="D410" s="2">
        <v>1224</v>
      </c>
      <c r="E410" s="2">
        <v>763</v>
      </c>
      <c r="F410" s="2">
        <v>1109</v>
      </c>
      <c r="G410" s="2">
        <v>939</v>
      </c>
      <c r="H410" s="2">
        <v>1033</v>
      </c>
      <c r="I410" s="2">
        <v>734</v>
      </c>
      <c r="J410" s="2">
        <v>1208</v>
      </c>
      <c r="K410" s="2">
        <v>968</v>
      </c>
      <c r="L410" s="2">
        <v>1095</v>
      </c>
      <c r="M410" s="2">
        <v>954</v>
      </c>
      <c r="N410" s="2">
        <v>721</v>
      </c>
      <c r="O410" s="2">
        <v>742</v>
      </c>
      <c r="P410" s="2">
        <v>11490</v>
      </c>
      <c r="Q410" s="2">
        <v>10</v>
      </c>
      <c r="R410" s="2">
        <v>114900</v>
      </c>
      <c r="S410" s="4">
        <f>SUM($R$2:R410) / SUM($R:$R)</f>
        <v>0.98026815186481164</v>
      </c>
      <c r="T410" s="3" t="str">
        <f t="shared" si="36"/>
        <v>C</v>
      </c>
      <c r="U410" s="2">
        <f t="shared" si="37"/>
        <v>957.5</v>
      </c>
      <c r="V410" s="2">
        <f t="shared" si="38"/>
        <v>183.88509257883649</v>
      </c>
      <c r="W410" s="2">
        <f t="shared" si="39"/>
        <v>0.19204709407711382</v>
      </c>
      <c r="X410" s="2" t="str">
        <f t="shared" si="40"/>
        <v>X</v>
      </c>
      <c r="Y410" s="2" t="str">
        <f t="shared" si="41"/>
        <v>CX</v>
      </c>
    </row>
    <row r="411" spans="1:25" x14ac:dyDescent="0.3">
      <c r="A411" s="2" t="s">
        <v>1233</v>
      </c>
      <c r="B411" s="2" t="s">
        <v>1234</v>
      </c>
      <c r="C411" s="2" t="s">
        <v>41</v>
      </c>
      <c r="D411" s="2">
        <v>213</v>
      </c>
      <c r="E411" s="2">
        <v>173</v>
      </c>
      <c r="F411" s="2">
        <v>176</v>
      </c>
      <c r="G411" s="2">
        <v>205</v>
      </c>
      <c r="H411" s="2">
        <v>218</v>
      </c>
      <c r="I411" s="2">
        <v>171</v>
      </c>
      <c r="J411" s="2">
        <v>204</v>
      </c>
      <c r="K411" s="2">
        <v>201</v>
      </c>
      <c r="L411" s="2">
        <v>187</v>
      </c>
      <c r="M411" s="2">
        <v>183</v>
      </c>
      <c r="N411" s="2">
        <v>195</v>
      </c>
      <c r="O411" s="2">
        <v>161</v>
      </c>
      <c r="P411" s="2">
        <v>2287</v>
      </c>
      <c r="Q411" s="2">
        <v>50</v>
      </c>
      <c r="R411" s="2">
        <v>114350</v>
      </c>
      <c r="S411" s="4">
        <f>SUM($R$2:R411) / SUM($R:$R)</f>
        <v>0.98037479300102148</v>
      </c>
      <c r="T411" s="3" t="str">
        <f t="shared" si="36"/>
        <v>C</v>
      </c>
      <c r="U411" s="2">
        <f t="shared" si="37"/>
        <v>190.58333333333334</v>
      </c>
      <c r="V411" s="2">
        <f t="shared" si="38"/>
        <v>18.143159659338352</v>
      </c>
      <c r="W411" s="2">
        <f t="shared" si="39"/>
        <v>9.5198039314411981E-2</v>
      </c>
      <c r="X411" s="2" t="str">
        <f t="shared" si="40"/>
        <v>X</v>
      </c>
      <c r="Y411" s="2" t="str">
        <f t="shared" si="41"/>
        <v>CX</v>
      </c>
    </row>
    <row r="412" spans="1:25" x14ac:dyDescent="0.3">
      <c r="A412" s="2" t="s">
        <v>1851</v>
      </c>
      <c r="B412" s="2" t="s">
        <v>1852</v>
      </c>
      <c r="C412" s="2" t="s">
        <v>20</v>
      </c>
      <c r="D412" s="2">
        <v>5061</v>
      </c>
      <c r="E412" s="2">
        <v>4806</v>
      </c>
      <c r="F412" s="2">
        <v>5180</v>
      </c>
      <c r="G412" s="2">
        <v>4663</v>
      </c>
      <c r="H412" s="2">
        <v>4409</v>
      </c>
      <c r="I412" s="2">
        <v>4463</v>
      </c>
      <c r="J412" s="2">
        <v>4708</v>
      </c>
      <c r="K412" s="2">
        <v>4615</v>
      </c>
      <c r="L412" s="2">
        <v>4294</v>
      </c>
      <c r="M412" s="2">
        <v>4906</v>
      </c>
      <c r="N412" s="2">
        <v>5002</v>
      </c>
      <c r="O412" s="2">
        <v>4731</v>
      </c>
      <c r="P412" s="2">
        <v>56838</v>
      </c>
      <c r="Q412" s="2">
        <v>2</v>
      </c>
      <c r="R412" s="2">
        <v>113676</v>
      </c>
      <c r="S412" s="4">
        <f>SUM($R$2:R412) / SUM($R:$R)</f>
        <v>0.98048080557469686</v>
      </c>
      <c r="T412" s="3" t="str">
        <f t="shared" si="36"/>
        <v>C</v>
      </c>
      <c r="U412" s="2">
        <f t="shared" si="37"/>
        <v>4736.5</v>
      </c>
      <c r="V412" s="2">
        <f t="shared" si="38"/>
        <v>270.50709955395052</v>
      </c>
      <c r="W412" s="2">
        <f t="shared" si="39"/>
        <v>5.7111179046542913E-2</v>
      </c>
      <c r="X412" s="2" t="str">
        <f t="shared" si="40"/>
        <v>X</v>
      </c>
      <c r="Y412" s="2" t="str">
        <f t="shared" si="41"/>
        <v>CX</v>
      </c>
    </row>
    <row r="413" spans="1:25" x14ac:dyDescent="0.3">
      <c r="A413" s="2" t="s">
        <v>93</v>
      </c>
      <c r="B413" s="2" t="s">
        <v>94</v>
      </c>
      <c r="C413" s="2" t="s">
        <v>20</v>
      </c>
      <c r="D413" s="2">
        <v>4706</v>
      </c>
      <c r="E413" s="2">
        <v>4925</v>
      </c>
      <c r="F413" s="2">
        <v>4505</v>
      </c>
      <c r="G413" s="2">
        <v>4755</v>
      </c>
      <c r="H413" s="2">
        <v>4656</v>
      </c>
      <c r="I413" s="2">
        <v>4689</v>
      </c>
      <c r="J413" s="2">
        <v>4657</v>
      </c>
      <c r="K413" s="2">
        <v>4697</v>
      </c>
      <c r="L413" s="2">
        <v>4699</v>
      </c>
      <c r="M413" s="2">
        <v>4773</v>
      </c>
      <c r="N413" s="2">
        <v>4865</v>
      </c>
      <c r="O413" s="2">
        <v>4631</v>
      </c>
      <c r="P413" s="2">
        <v>56558</v>
      </c>
      <c r="Q413" s="2">
        <v>2</v>
      </c>
      <c r="R413" s="2">
        <v>113116</v>
      </c>
      <c r="S413" s="4">
        <f>SUM($R$2:R413) / SUM($R:$R)</f>
        <v>0.98058629590056923</v>
      </c>
      <c r="T413" s="3" t="str">
        <f t="shared" si="36"/>
        <v>C</v>
      </c>
      <c r="U413" s="2">
        <f t="shared" si="37"/>
        <v>4713.166666666667</v>
      </c>
      <c r="V413" s="2">
        <f t="shared" si="38"/>
        <v>109.07114719995914</v>
      </c>
      <c r="W413" s="2">
        <f t="shared" si="39"/>
        <v>2.3141797206398911E-2</v>
      </c>
      <c r="X413" s="2" t="str">
        <f t="shared" si="40"/>
        <v>X</v>
      </c>
      <c r="Y413" s="2" t="str">
        <f t="shared" si="41"/>
        <v>CX</v>
      </c>
    </row>
    <row r="414" spans="1:25" x14ac:dyDescent="0.3">
      <c r="A414" s="2" t="s">
        <v>1169</v>
      </c>
      <c r="B414" s="2" t="s">
        <v>1170</v>
      </c>
      <c r="C414" s="2" t="s">
        <v>25</v>
      </c>
      <c r="D414" s="2">
        <v>236</v>
      </c>
      <c r="E414" s="2">
        <v>447</v>
      </c>
      <c r="F414" s="2">
        <v>229</v>
      </c>
      <c r="G414" s="2">
        <v>38</v>
      </c>
      <c r="H414" s="2">
        <v>308</v>
      </c>
      <c r="I414" s="2">
        <v>80</v>
      </c>
      <c r="J414" s="2">
        <v>271</v>
      </c>
      <c r="K414" s="2">
        <v>446</v>
      </c>
      <c r="L414" s="2">
        <v>19</v>
      </c>
      <c r="M414" s="2">
        <v>116</v>
      </c>
      <c r="N414" s="2">
        <v>19</v>
      </c>
      <c r="O414" s="2">
        <v>51</v>
      </c>
      <c r="P414" s="2">
        <v>2260</v>
      </c>
      <c r="Q414" s="2">
        <v>50</v>
      </c>
      <c r="R414" s="2">
        <v>113000</v>
      </c>
      <c r="S414" s="4">
        <f>SUM($R$2:R414) / SUM($R:$R)</f>
        <v>0.98069167804653956</v>
      </c>
      <c r="T414" s="3" t="str">
        <f t="shared" si="36"/>
        <v>C</v>
      </c>
      <c r="U414" s="2">
        <f t="shared" si="37"/>
        <v>188.33333333333334</v>
      </c>
      <c r="V414" s="2">
        <f t="shared" si="38"/>
        <v>157.87125556393519</v>
      </c>
      <c r="W414" s="2">
        <f t="shared" si="39"/>
        <v>0.8382544543217797</v>
      </c>
      <c r="X414" s="2" t="str">
        <f t="shared" si="40"/>
        <v>Z</v>
      </c>
      <c r="Y414" s="2" t="str">
        <f t="shared" si="41"/>
        <v>CZ</v>
      </c>
    </row>
    <row r="415" spans="1:25" x14ac:dyDescent="0.3">
      <c r="A415" s="2" t="s">
        <v>1605</v>
      </c>
      <c r="B415" s="2" t="s">
        <v>1606</v>
      </c>
      <c r="C415" s="2" t="s">
        <v>41</v>
      </c>
      <c r="D415" s="2">
        <v>185</v>
      </c>
      <c r="E415" s="2">
        <v>178</v>
      </c>
      <c r="F415" s="2">
        <v>190</v>
      </c>
      <c r="G415" s="2">
        <v>177</v>
      </c>
      <c r="H415" s="2">
        <v>175</v>
      </c>
      <c r="I415" s="2">
        <v>187</v>
      </c>
      <c r="J415" s="2">
        <v>188</v>
      </c>
      <c r="K415" s="2">
        <v>197</v>
      </c>
      <c r="L415" s="2">
        <v>192</v>
      </c>
      <c r="M415" s="2">
        <v>226</v>
      </c>
      <c r="N415" s="2">
        <v>178</v>
      </c>
      <c r="O415" s="2">
        <v>186</v>
      </c>
      <c r="P415" s="2">
        <v>2259</v>
      </c>
      <c r="Q415" s="2">
        <v>50</v>
      </c>
      <c r="R415" s="2">
        <v>112950</v>
      </c>
      <c r="S415" s="4">
        <f>SUM($R$2:R415) / SUM($R:$R)</f>
        <v>0.98079701356324178</v>
      </c>
      <c r="T415" s="3" t="str">
        <f t="shared" si="36"/>
        <v>C</v>
      </c>
      <c r="U415" s="2">
        <f t="shared" si="37"/>
        <v>188.25</v>
      </c>
      <c r="V415" s="2">
        <f t="shared" si="38"/>
        <v>13.645678636643378</v>
      </c>
      <c r="W415" s="2">
        <f t="shared" si="39"/>
        <v>7.2487004709924988E-2</v>
      </c>
      <c r="X415" s="2" t="str">
        <f t="shared" si="40"/>
        <v>X</v>
      </c>
      <c r="Y415" s="2" t="str">
        <f t="shared" si="41"/>
        <v>CX</v>
      </c>
    </row>
    <row r="416" spans="1:25" x14ac:dyDescent="0.3">
      <c r="A416" s="2" t="s">
        <v>1703</v>
      </c>
      <c r="B416" s="2" t="s">
        <v>1704</v>
      </c>
      <c r="C416" s="2" t="s">
        <v>20</v>
      </c>
      <c r="D416" s="2">
        <v>4415</v>
      </c>
      <c r="E416" s="2">
        <v>4926</v>
      </c>
      <c r="F416" s="2">
        <v>4714</v>
      </c>
      <c r="G416" s="2">
        <v>4622</v>
      </c>
      <c r="H416" s="2">
        <v>4801</v>
      </c>
      <c r="I416" s="2">
        <v>4892</v>
      </c>
      <c r="J416" s="2">
        <v>4949</v>
      </c>
      <c r="K416" s="2">
        <v>4736</v>
      </c>
      <c r="L416" s="2">
        <v>4568</v>
      </c>
      <c r="M416" s="2">
        <v>4587</v>
      </c>
      <c r="N416" s="2">
        <v>4634</v>
      </c>
      <c r="O416" s="2">
        <v>4575</v>
      </c>
      <c r="P416" s="2">
        <v>56419</v>
      </c>
      <c r="Q416" s="2">
        <v>2</v>
      </c>
      <c r="R416" s="2">
        <v>112838</v>
      </c>
      <c r="S416" s="4">
        <f>SUM($R$2:R416) / SUM($R:$R)</f>
        <v>0.98090224463038334</v>
      </c>
      <c r="T416" s="3" t="str">
        <f t="shared" si="36"/>
        <v>C</v>
      </c>
      <c r="U416" s="2">
        <f t="shared" si="37"/>
        <v>4701.583333333333</v>
      </c>
      <c r="V416" s="2">
        <f t="shared" si="38"/>
        <v>164.89305533275103</v>
      </c>
      <c r="W416" s="2">
        <f t="shared" si="39"/>
        <v>3.507181382146108E-2</v>
      </c>
      <c r="X416" s="2" t="str">
        <f t="shared" si="40"/>
        <v>X</v>
      </c>
      <c r="Y416" s="2" t="str">
        <f t="shared" si="41"/>
        <v>CX</v>
      </c>
    </row>
    <row r="417" spans="1:25" x14ac:dyDescent="0.3">
      <c r="A417" s="2" t="s">
        <v>999</v>
      </c>
      <c r="B417" s="2" t="s">
        <v>1000</v>
      </c>
      <c r="C417" s="2" t="s">
        <v>20</v>
      </c>
      <c r="D417" s="2">
        <v>4584</v>
      </c>
      <c r="E417" s="2">
        <v>4559</v>
      </c>
      <c r="F417" s="2">
        <v>4686</v>
      </c>
      <c r="G417" s="2">
        <v>4601</v>
      </c>
      <c r="H417" s="2">
        <v>4674</v>
      </c>
      <c r="I417" s="2">
        <v>5064</v>
      </c>
      <c r="J417" s="2">
        <v>4562</v>
      </c>
      <c r="K417" s="2">
        <v>4725</v>
      </c>
      <c r="L417" s="2">
        <v>4656</v>
      </c>
      <c r="M417" s="2">
        <v>5053</v>
      </c>
      <c r="N417" s="2">
        <v>4384</v>
      </c>
      <c r="O417" s="2">
        <v>4461</v>
      </c>
      <c r="P417" s="2">
        <v>56009</v>
      </c>
      <c r="Q417" s="2">
        <v>2</v>
      </c>
      <c r="R417" s="2">
        <v>112018</v>
      </c>
      <c r="S417" s="4">
        <f>SUM($R$2:R417) / SUM($R:$R)</f>
        <v>0.98100671097752756</v>
      </c>
      <c r="T417" s="3" t="str">
        <f t="shared" si="36"/>
        <v>C</v>
      </c>
      <c r="U417" s="2">
        <f t="shared" si="37"/>
        <v>4667.416666666667</v>
      </c>
      <c r="V417" s="2">
        <f t="shared" si="38"/>
        <v>206.03550370719799</v>
      </c>
      <c r="W417" s="2">
        <f t="shared" si="39"/>
        <v>4.4143370609837272E-2</v>
      </c>
      <c r="X417" s="2" t="str">
        <f t="shared" si="40"/>
        <v>X</v>
      </c>
      <c r="Y417" s="2" t="str">
        <f t="shared" si="41"/>
        <v>CX</v>
      </c>
    </row>
    <row r="418" spans="1:25" x14ac:dyDescent="0.3">
      <c r="A418" s="2" t="s">
        <v>1939</v>
      </c>
      <c r="B418" s="2" t="s">
        <v>1940</v>
      </c>
      <c r="C418" s="2" t="s">
        <v>20</v>
      </c>
      <c r="D418" s="2">
        <v>4824</v>
      </c>
      <c r="E418" s="2">
        <v>4791</v>
      </c>
      <c r="F418" s="2">
        <v>4560</v>
      </c>
      <c r="G418" s="2">
        <v>4642</v>
      </c>
      <c r="H418" s="2">
        <v>4468</v>
      </c>
      <c r="I418" s="2">
        <v>4532</v>
      </c>
      <c r="J418" s="2">
        <v>4539</v>
      </c>
      <c r="K418" s="2">
        <v>4570</v>
      </c>
      <c r="L418" s="2">
        <v>4745</v>
      </c>
      <c r="M418" s="2">
        <v>4914</v>
      </c>
      <c r="N418" s="2">
        <v>4688</v>
      </c>
      <c r="O418" s="2">
        <v>4675</v>
      </c>
      <c r="P418" s="2">
        <v>55948</v>
      </c>
      <c r="Q418" s="2">
        <v>2</v>
      </c>
      <c r="R418" s="2">
        <v>111896</v>
      </c>
      <c r="S418" s="4">
        <f>SUM($R$2:R418) / SUM($R:$R)</f>
        <v>0.98111106354925759</v>
      </c>
      <c r="T418" s="3" t="str">
        <f t="shared" si="36"/>
        <v>C</v>
      </c>
      <c r="U418" s="2">
        <f t="shared" si="37"/>
        <v>4662.333333333333</v>
      </c>
      <c r="V418" s="2">
        <f t="shared" si="38"/>
        <v>135.86579831405382</v>
      </c>
      <c r="W418" s="2">
        <f t="shared" si="39"/>
        <v>2.9141159286634837E-2</v>
      </c>
      <c r="X418" s="2" t="str">
        <f t="shared" si="40"/>
        <v>X</v>
      </c>
      <c r="Y418" s="2" t="str">
        <f t="shared" si="41"/>
        <v>CX</v>
      </c>
    </row>
    <row r="419" spans="1:25" x14ac:dyDescent="0.3">
      <c r="A419" s="2" t="s">
        <v>99</v>
      </c>
      <c r="B419" s="2" t="s">
        <v>100</v>
      </c>
      <c r="C419" s="2" t="s">
        <v>20</v>
      </c>
      <c r="D419" s="2">
        <v>4560</v>
      </c>
      <c r="E419" s="2">
        <v>4593</v>
      </c>
      <c r="F419" s="2">
        <v>4992</v>
      </c>
      <c r="G419" s="2">
        <v>4782</v>
      </c>
      <c r="H419" s="2">
        <v>4794</v>
      </c>
      <c r="I419" s="2">
        <v>4821</v>
      </c>
      <c r="J419" s="2">
        <v>4449</v>
      </c>
      <c r="K419" s="2">
        <v>4386</v>
      </c>
      <c r="L419" s="2">
        <v>4419</v>
      </c>
      <c r="M419" s="2">
        <v>4854</v>
      </c>
      <c r="N419" s="2">
        <v>4568</v>
      </c>
      <c r="O419" s="2">
        <v>4530</v>
      </c>
      <c r="P419" s="2">
        <v>55748</v>
      </c>
      <c r="Q419" s="2">
        <v>2</v>
      </c>
      <c r="R419" s="2">
        <v>111496</v>
      </c>
      <c r="S419" s="4">
        <f>SUM($R$2:R419) / SUM($R:$R)</f>
        <v>0.9812150430868426</v>
      </c>
      <c r="T419" s="3" t="str">
        <f t="shared" si="36"/>
        <v>C</v>
      </c>
      <c r="U419" s="2">
        <f t="shared" si="37"/>
        <v>4645.666666666667</v>
      </c>
      <c r="V419" s="2">
        <f t="shared" si="38"/>
        <v>195.79364523689608</v>
      </c>
      <c r="W419" s="2">
        <f t="shared" si="39"/>
        <v>4.2145435582312422E-2</v>
      </c>
      <c r="X419" s="2" t="str">
        <f t="shared" si="40"/>
        <v>X</v>
      </c>
      <c r="Y419" s="2" t="str">
        <f t="shared" si="41"/>
        <v>CX</v>
      </c>
    </row>
    <row r="420" spans="1:25" x14ac:dyDescent="0.3">
      <c r="A420" s="2" t="s">
        <v>1339</v>
      </c>
      <c r="B420" s="2" t="s">
        <v>1340</v>
      </c>
      <c r="C420" s="2" t="s">
        <v>20</v>
      </c>
      <c r="D420" s="2">
        <v>4582</v>
      </c>
      <c r="E420" s="2">
        <v>4425</v>
      </c>
      <c r="F420" s="2">
        <v>4990</v>
      </c>
      <c r="G420" s="2">
        <v>4646</v>
      </c>
      <c r="H420" s="2">
        <v>4466</v>
      </c>
      <c r="I420" s="2">
        <v>4506</v>
      </c>
      <c r="J420" s="2">
        <v>4815</v>
      </c>
      <c r="K420" s="2">
        <v>4402</v>
      </c>
      <c r="L420" s="2">
        <v>4930</v>
      </c>
      <c r="M420" s="2">
        <v>4334</v>
      </c>
      <c r="N420" s="2">
        <v>4455</v>
      </c>
      <c r="O420" s="2">
        <v>4924</v>
      </c>
      <c r="P420" s="2">
        <v>55475</v>
      </c>
      <c r="Q420" s="2">
        <v>2</v>
      </c>
      <c r="R420" s="2">
        <v>110950</v>
      </c>
      <c r="S420" s="4">
        <f>SUM($R$2:R420) / SUM($R:$R)</f>
        <v>0.98131851343281973</v>
      </c>
      <c r="T420" s="3" t="str">
        <f t="shared" si="36"/>
        <v>C</v>
      </c>
      <c r="U420" s="2">
        <f t="shared" si="37"/>
        <v>4622.916666666667</v>
      </c>
      <c r="V420" s="2">
        <f t="shared" si="38"/>
        <v>232.91452132150164</v>
      </c>
      <c r="W420" s="2">
        <f t="shared" si="39"/>
        <v>5.0382591362920587E-2</v>
      </c>
      <c r="X420" s="2" t="str">
        <f t="shared" si="40"/>
        <v>X</v>
      </c>
      <c r="Y420" s="2" t="str">
        <f t="shared" si="41"/>
        <v>CX</v>
      </c>
    </row>
    <row r="421" spans="1:25" x14ac:dyDescent="0.3">
      <c r="A421" s="2" t="s">
        <v>383</v>
      </c>
      <c r="B421" s="2" t="s">
        <v>384</v>
      </c>
      <c r="C421" s="2" t="s">
        <v>20</v>
      </c>
      <c r="D421" s="2">
        <v>4590</v>
      </c>
      <c r="E421" s="2">
        <v>4640</v>
      </c>
      <c r="F421" s="2">
        <v>4348</v>
      </c>
      <c r="G421" s="2">
        <v>4525</v>
      </c>
      <c r="H421" s="2">
        <v>4771</v>
      </c>
      <c r="I421" s="2">
        <v>4889</v>
      </c>
      <c r="J421" s="2">
        <v>4665</v>
      </c>
      <c r="K421" s="2">
        <v>4640</v>
      </c>
      <c r="L421" s="2">
        <v>4377</v>
      </c>
      <c r="M421" s="2">
        <v>4517</v>
      </c>
      <c r="N421" s="2">
        <v>4638</v>
      </c>
      <c r="O421" s="2">
        <v>4592</v>
      </c>
      <c r="P421" s="2">
        <v>55192</v>
      </c>
      <c r="Q421" s="2">
        <v>2</v>
      </c>
      <c r="R421" s="2">
        <v>110384</v>
      </c>
      <c r="S421" s="4">
        <f>SUM($R$2:R421) / SUM($R:$R)</f>
        <v>0.98142145593548147</v>
      </c>
      <c r="T421" s="3" t="str">
        <f t="shared" si="36"/>
        <v>C</v>
      </c>
      <c r="U421" s="2">
        <f t="shared" si="37"/>
        <v>4599.333333333333</v>
      </c>
      <c r="V421" s="2">
        <f t="shared" si="38"/>
        <v>150.01111069961897</v>
      </c>
      <c r="W421" s="2">
        <f t="shared" si="39"/>
        <v>3.2615837954693208E-2</v>
      </c>
      <c r="X421" s="2" t="str">
        <f t="shared" si="40"/>
        <v>X</v>
      </c>
      <c r="Y421" s="2" t="str">
        <f t="shared" si="41"/>
        <v>CX</v>
      </c>
    </row>
    <row r="422" spans="1:25" x14ac:dyDescent="0.3">
      <c r="A422" s="2" t="s">
        <v>1455</v>
      </c>
      <c r="B422" s="2" t="s">
        <v>1456</v>
      </c>
      <c r="C422" s="2" t="s">
        <v>20</v>
      </c>
      <c r="D422" s="2">
        <v>4933</v>
      </c>
      <c r="E422" s="2">
        <v>4681</v>
      </c>
      <c r="F422" s="2">
        <v>4578</v>
      </c>
      <c r="G422" s="2">
        <v>4638</v>
      </c>
      <c r="H422" s="2">
        <v>4268</v>
      </c>
      <c r="I422" s="2">
        <v>4619</v>
      </c>
      <c r="J422" s="2">
        <v>4233</v>
      </c>
      <c r="K422" s="2">
        <v>4902</v>
      </c>
      <c r="L422" s="2">
        <v>4594</v>
      </c>
      <c r="M422" s="2">
        <v>4506</v>
      </c>
      <c r="N422" s="2">
        <v>4493</v>
      </c>
      <c r="O422" s="2">
        <v>4683</v>
      </c>
      <c r="P422" s="2">
        <v>55128</v>
      </c>
      <c r="Q422" s="2">
        <v>2</v>
      </c>
      <c r="R422" s="2">
        <v>110256</v>
      </c>
      <c r="S422" s="4">
        <f>SUM($R$2:R422) / SUM($R:$R)</f>
        <v>0.98152427906721695</v>
      </c>
      <c r="T422" s="3" t="str">
        <f t="shared" si="36"/>
        <v>C</v>
      </c>
      <c r="U422" s="2">
        <f t="shared" si="37"/>
        <v>4594</v>
      </c>
      <c r="V422" s="2">
        <f t="shared" si="38"/>
        <v>209.46555368799469</v>
      </c>
      <c r="W422" s="2">
        <f t="shared" si="39"/>
        <v>4.5595462274269631E-2</v>
      </c>
      <c r="X422" s="2" t="str">
        <f t="shared" si="40"/>
        <v>X</v>
      </c>
      <c r="Y422" s="2" t="str">
        <f t="shared" si="41"/>
        <v>CX</v>
      </c>
    </row>
    <row r="423" spans="1:25" x14ac:dyDescent="0.3">
      <c r="A423" s="2" t="s">
        <v>97</v>
      </c>
      <c r="B423" s="2" t="s">
        <v>98</v>
      </c>
      <c r="C423" s="2" t="s">
        <v>25</v>
      </c>
      <c r="D423" s="2">
        <v>816</v>
      </c>
      <c r="E423" s="2">
        <v>1080</v>
      </c>
      <c r="F423" s="2">
        <v>1007</v>
      </c>
      <c r="G423" s="2">
        <v>1017</v>
      </c>
      <c r="H423" s="2">
        <v>1094</v>
      </c>
      <c r="I423" s="2">
        <v>789</v>
      </c>
      <c r="J423" s="2">
        <v>776</v>
      </c>
      <c r="K423" s="2">
        <v>766</v>
      </c>
      <c r="L423" s="2">
        <v>786</v>
      </c>
      <c r="M423" s="2">
        <v>1036</v>
      </c>
      <c r="N423" s="2">
        <v>718</v>
      </c>
      <c r="O423" s="2">
        <v>1078</v>
      </c>
      <c r="P423" s="2">
        <v>10963</v>
      </c>
      <c r="Q423" s="2">
        <v>10</v>
      </c>
      <c r="R423" s="2">
        <v>109630</v>
      </c>
      <c r="S423" s="4">
        <f>SUM($R$2:R423) / SUM($R:$R)</f>
        <v>0.9816265184005154</v>
      </c>
      <c r="T423" s="3" t="str">
        <f t="shared" si="36"/>
        <v>C</v>
      </c>
      <c r="U423" s="2">
        <f t="shared" si="37"/>
        <v>913.58333333333337</v>
      </c>
      <c r="V423" s="2">
        <f t="shared" si="38"/>
        <v>148.3144438091725</v>
      </c>
      <c r="W423" s="2">
        <f t="shared" si="39"/>
        <v>0.16234364003558058</v>
      </c>
      <c r="X423" s="2" t="str">
        <f t="shared" si="40"/>
        <v>X</v>
      </c>
      <c r="Y423" s="2" t="str">
        <f t="shared" si="41"/>
        <v>CX</v>
      </c>
    </row>
    <row r="424" spans="1:25" x14ac:dyDescent="0.3">
      <c r="A424" s="2" t="s">
        <v>1653</v>
      </c>
      <c r="B424" s="2" t="s">
        <v>1654</v>
      </c>
      <c r="C424" s="2" t="s">
        <v>25</v>
      </c>
      <c r="D424" s="2">
        <v>734</v>
      </c>
      <c r="E424" s="2">
        <v>795</v>
      </c>
      <c r="F424" s="2">
        <v>695</v>
      </c>
      <c r="G424" s="2">
        <v>990</v>
      </c>
      <c r="H424" s="2">
        <v>914</v>
      </c>
      <c r="I424" s="2">
        <v>971</v>
      </c>
      <c r="J424" s="2">
        <v>892</v>
      </c>
      <c r="K424" s="2">
        <v>891</v>
      </c>
      <c r="L424" s="2">
        <v>745</v>
      </c>
      <c r="M424" s="2">
        <v>1102</v>
      </c>
      <c r="N424" s="2">
        <v>1123</v>
      </c>
      <c r="O424" s="2">
        <v>1025</v>
      </c>
      <c r="P424" s="2">
        <v>10877</v>
      </c>
      <c r="Q424" s="2">
        <v>10</v>
      </c>
      <c r="R424" s="2">
        <v>108770</v>
      </c>
      <c r="S424" s="4">
        <f>SUM($R$2:R424) / SUM($R:$R)</f>
        <v>0.98172795571040206</v>
      </c>
      <c r="T424" s="3" t="str">
        <f t="shared" si="36"/>
        <v>C</v>
      </c>
      <c r="U424" s="2">
        <f t="shared" si="37"/>
        <v>906.41666666666663</v>
      </c>
      <c r="V424" s="2">
        <f t="shared" si="38"/>
        <v>142.63013728033079</v>
      </c>
      <c r="W424" s="2">
        <f t="shared" si="39"/>
        <v>0.15735604002610734</v>
      </c>
      <c r="X424" s="2" t="str">
        <f t="shared" si="40"/>
        <v>X</v>
      </c>
      <c r="Y424" s="2" t="str">
        <f t="shared" si="41"/>
        <v>CX</v>
      </c>
    </row>
    <row r="425" spans="1:25" x14ac:dyDescent="0.3">
      <c r="A425" s="2" t="s">
        <v>615</v>
      </c>
      <c r="B425" s="2" t="s">
        <v>616</v>
      </c>
      <c r="C425" s="2" t="s">
        <v>20</v>
      </c>
      <c r="D425" s="2">
        <v>4612</v>
      </c>
      <c r="E425" s="2">
        <v>4706</v>
      </c>
      <c r="F425" s="2">
        <v>4272</v>
      </c>
      <c r="G425" s="2">
        <v>4385</v>
      </c>
      <c r="H425" s="2">
        <v>4414</v>
      </c>
      <c r="I425" s="2">
        <v>4455</v>
      </c>
      <c r="J425" s="2">
        <v>4644</v>
      </c>
      <c r="K425" s="2">
        <v>4669</v>
      </c>
      <c r="L425" s="2">
        <v>4548</v>
      </c>
      <c r="M425" s="2">
        <v>4435</v>
      </c>
      <c r="N425" s="2">
        <v>4495</v>
      </c>
      <c r="O425" s="2">
        <v>4572</v>
      </c>
      <c r="P425" s="2">
        <v>54207</v>
      </c>
      <c r="Q425" s="2">
        <v>2</v>
      </c>
      <c r="R425" s="2">
        <v>108414</v>
      </c>
      <c r="S425" s="4">
        <f>SUM($R$2:R425) / SUM($R:$R)</f>
        <v>0.98182906101989964</v>
      </c>
      <c r="T425" s="3" t="str">
        <f t="shared" si="36"/>
        <v>C</v>
      </c>
      <c r="U425" s="2">
        <f t="shared" si="37"/>
        <v>4517.25</v>
      </c>
      <c r="V425" s="2">
        <f t="shared" si="38"/>
        <v>130.40993060346287</v>
      </c>
      <c r="W425" s="2">
        <f t="shared" si="39"/>
        <v>2.8869318856264956E-2</v>
      </c>
      <c r="X425" s="2" t="str">
        <f t="shared" si="40"/>
        <v>X</v>
      </c>
      <c r="Y425" s="2" t="str">
        <f t="shared" si="41"/>
        <v>CX</v>
      </c>
    </row>
    <row r="426" spans="1:25" x14ac:dyDescent="0.3">
      <c r="A426" s="2" t="s">
        <v>947</v>
      </c>
      <c r="B426" s="2" t="s">
        <v>948</v>
      </c>
      <c r="C426" s="2" t="s">
        <v>20</v>
      </c>
      <c r="D426" s="2">
        <v>4529</v>
      </c>
      <c r="E426" s="2">
        <v>4800</v>
      </c>
      <c r="F426" s="2">
        <v>4521</v>
      </c>
      <c r="G426" s="2">
        <v>4801</v>
      </c>
      <c r="H426" s="2">
        <v>4289</v>
      </c>
      <c r="I426" s="2">
        <v>4419</v>
      </c>
      <c r="J426" s="2">
        <v>4731</v>
      </c>
      <c r="K426" s="2">
        <v>4289</v>
      </c>
      <c r="L426" s="2">
        <v>4427</v>
      </c>
      <c r="M426" s="2">
        <v>4118</v>
      </c>
      <c r="N426" s="2">
        <v>4584</v>
      </c>
      <c r="O426" s="2">
        <v>4512</v>
      </c>
      <c r="P426" s="2">
        <v>54020</v>
      </c>
      <c r="Q426" s="2">
        <v>2</v>
      </c>
      <c r="R426" s="2">
        <v>108040</v>
      </c>
      <c r="S426" s="4">
        <f>SUM($R$2:R426) / SUM($R:$R)</f>
        <v>0.98192981754247155</v>
      </c>
      <c r="T426" s="3" t="str">
        <f t="shared" si="36"/>
        <v>C</v>
      </c>
      <c r="U426" s="2">
        <f t="shared" si="37"/>
        <v>4501.666666666667</v>
      </c>
      <c r="V426" s="2">
        <f t="shared" si="38"/>
        <v>210.89994755520419</v>
      </c>
      <c r="W426" s="2">
        <f t="shared" si="39"/>
        <v>4.6849303418408927E-2</v>
      </c>
      <c r="X426" s="2" t="str">
        <f t="shared" si="40"/>
        <v>X</v>
      </c>
      <c r="Y426" s="2" t="str">
        <f t="shared" si="41"/>
        <v>CX</v>
      </c>
    </row>
    <row r="427" spans="1:25" x14ac:dyDescent="0.3">
      <c r="A427" s="2" t="s">
        <v>1441</v>
      </c>
      <c r="B427" s="2" t="s">
        <v>1442</v>
      </c>
      <c r="C427" s="2" t="s">
        <v>20</v>
      </c>
      <c r="D427" s="2">
        <v>4298</v>
      </c>
      <c r="E427" s="2">
        <v>4535</v>
      </c>
      <c r="F427" s="2">
        <v>4442</v>
      </c>
      <c r="G427" s="2">
        <v>4380</v>
      </c>
      <c r="H427" s="2">
        <v>4517</v>
      </c>
      <c r="I427" s="2">
        <v>4586</v>
      </c>
      <c r="J427" s="2">
        <v>4351</v>
      </c>
      <c r="K427" s="2">
        <v>4750</v>
      </c>
      <c r="L427" s="2">
        <v>4433</v>
      </c>
      <c r="M427" s="2">
        <v>4248</v>
      </c>
      <c r="N427" s="2">
        <v>4761</v>
      </c>
      <c r="O427" s="2">
        <v>4520</v>
      </c>
      <c r="P427" s="2">
        <v>53821</v>
      </c>
      <c r="Q427" s="2">
        <v>2</v>
      </c>
      <c r="R427" s="2">
        <v>107642</v>
      </c>
      <c r="S427" s="4">
        <f>SUM($R$2:R427) / SUM($R:$R)</f>
        <v>0.98203020289606924</v>
      </c>
      <c r="T427" s="3" t="str">
        <f t="shared" si="36"/>
        <v>C</v>
      </c>
      <c r="U427" s="2">
        <f t="shared" si="37"/>
        <v>4485.083333333333</v>
      </c>
      <c r="V427" s="2">
        <f t="shared" si="38"/>
        <v>161.25161497899279</v>
      </c>
      <c r="W427" s="2">
        <f t="shared" si="39"/>
        <v>3.5952869321415684E-2</v>
      </c>
      <c r="X427" s="2" t="str">
        <f t="shared" si="40"/>
        <v>X</v>
      </c>
      <c r="Y427" s="2" t="str">
        <f t="shared" si="41"/>
        <v>CX</v>
      </c>
    </row>
    <row r="428" spans="1:25" x14ac:dyDescent="0.3">
      <c r="A428" s="2" t="s">
        <v>661</v>
      </c>
      <c r="B428" s="2" t="s">
        <v>662</v>
      </c>
      <c r="C428" s="2" t="s">
        <v>20</v>
      </c>
      <c r="D428" s="2">
        <v>4476</v>
      </c>
      <c r="E428" s="2">
        <v>4473</v>
      </c>
      <c r="F428" s="2">
        <v>4739</v>
      </c>
      <c r="G428" s="2">
        <v>4396</v>
      </c>
      <c r="H428" s="2">
        <v>4714</v>
      </c>
      <c r="I428" s="2">
        <v>4684</v>
      </c>
      <c r="J428" s="2">
        <v>4103</v>
      </c>
      <c r="K428" s="2">
        <v>4685</v>
      </c>
      <c r="L428" s="2">
        <v>4202</v>
      </c>
      <c r="M428" s="2">
        <v>4292</v>
      </c>
      <c r="N428" s="2">
        <v>4710</v>
      </c>
      <c r="O428" s="2">
        <v>4267</v>
      </c>
      <c r="P428" s="2">
        <v>53741</v>
      </c>
      <c r="Q428" s="2">
        <v>2</v>
      </c>
      <c r="R428" s="2">
        <v>107482</v>
      </c>
      <c r="S428" s="4">
        <f>SUM($R$2:R428) / SUM($R:$R)</f>
        <v>0.98213043903600894</v>
      </c>
      <c r="T428" s="3" t="str">
        <f t="shared" si="36"/>
        <v>C</v>
      </c>
      <c r="U428" s="2">
        <f t="shared" si="37"/>
        <v>4478.416666666667</v>
      </c>
      <c r="V428" s="2">
        <f t="shared" si="38"/>
        <v>226.75475672402047</v>
      </c>
      <c r="W428" s="2">
        <f t="shared" si="39"/>
        <v>5.0632795829780718E-2</v>
      </c>
      <c r="X428" s="2" t="str">
        <f t="shared" si="40"/>
        <v>X</v>
      </c>
      <c r="Y428" s="2" t="str">
        <f t="shared" si="41"/>
        <v>CX</v>
      </c>
    </row>
    <row r="429" spans="1:25" x14ac:dyDescent="0.3">
      <c r="A429" s="2" t="s">
        <v>1487</v>
      </c>
      <c r="B429" s="2" t="s">
        <v>1488</v>
      </c>
      <c r="C429" s="2" t="s">
        <v>20</v>
      </c>
      <c r="D429" s="2">
        <v>4611</v>
      </c>
      <c r="E429" s="2">
        <v>4183</v>
      </c>
      <c r="F429" s="2">
        <v>4662</v>
      </c>
      <c r="G429" s="2">
        <v>4294</v>
      </c>
      <c r="H429" s="2">
        <v>4259</v>
      </c>
      <c r="I429" s="2">
        <v>4336</v>
      </c>
      <c r="J429" s="2">
        <v>4287</v>
      </c>
      <c r="K429" s="2">
        <v>4764</v>
      </c>
      <c r="L429" s="2">
        <v>4623</v>
      </c>
      <c r="M429" s="2">
        <v>4087</v>
      </c>
      <c r="N429" s="2">
        <v>4195</v>
      </c>
      <c r="O429" s="2">
        <v>4360</v>
      </c>
      <c r="P429" s="2">
        <v>52661</v>
      </c>
      <c r="Q429" s="2">
        <v>2</v>
      </c>
      <c r="R429" s="2">
        <v>105322</v>
      </c>
      <c r="S429" s="4">
        <f>SUM($R$2:R429) / SUM($R:$R)</f>
        <v>0.98222866079156534</v>
      </c>
      <c r="T429" s="3" t="str">
        <f t="shared" si="36"/>
        <v>C</v>
      </c>
      <c r="U429" s="2">
        <f t="shared" si="37"/>
        <v>4388.416666666667</v>
      </c>
      <c r="V429" s="2">
        <f t="shared" si="38"/>
        <v>219.59568563957527</v>
      </c>
      <c r="W429" s="2">
        <f t="shared" si="39"/>
        <v>5.003984405299753E-2</v>
      </c>
      <c r="X429" s="2" t="str">
        <f t="shared" si="40"/>
        <v>X</v>
      </c>
      <c r="Y429" s="2" t="str">
        <f t="shared" si="41"/>
        <v>CX</v>
      </c>
    </row>
    <row r="430" spans="1:25" x14ac:dyDescent="0.3">
      <c r="A430" s="2" t="s">
        <v>483</v>
      </c>
      <c r="B430" s="2" t="s">
        <v>484</v>
      </c>
      <c r="C430" s="2" t="s">
        <v>25</v>
      </c>
      <c r="D430" s="2">
        <v>643</v>
      </c>
      <c r="E430" s="2">
        <v>1108</v>
      </c>
      <c r="F430" s="2">
        <v>741</v>
      </c>
      <c r="G430" s="2">
        <v>665</v>
      </c>
      <c r="H430" s="2">
        <v>1076</v>
      </c>
      <c r="I430" s="2">
        <v>873</v>
      </c>
      <c r="J430" s="2">
        <v>888</v>
      </c>
      <c r="K430" s="2">
        <v>1004</v>
      </c>
      <c r="L430" s="2">
        <v>869</v>
      </c>
      <c r="M430" s="2">
        <v>1027</v>
      </c>
      <c r="N430" s="2">
        <v>987</v>
      </c>
      <c r="O430" s="2">
        <v>650</v>
      </c>
      <c r="P430" s="2">
        <v>10531</v>
      </c>
      <c r="Q430" s="2">
        <v>10</v>
      </c>
      <c r="R430" s="2">
        <v>105310</v>
      </c>
      <c r="S430" s="4">
        <f>SUM($R$2:R430) / SUM($R:$R)</f>
        <v>0.98232687135609753</v>
      </c>
      <c r="T430" s="3" t="str">
        <f t="shared" si="36"/>
        <v>C</v>
      </c>
      <c r="U430" s="2">
        <f t="shared" si="37"/>
        <v>877.58333333333337</v>
      </c>
      <c r="V430" s="2">
        <f t="shared" si="38"/>
        <v>168.84983017911239</v>
      </c>
      <c r="W430" s="2">
        <f t="shared" si="39"/>
        <v>0.19240318698597936</v>
      </c>
      <c r="X430" s="2" t="str">
        <f t="shared" si="40"/>
        <v>X</v>
      </c>
      <c r="Y430" s="2" t="str">
        <f t="shared" si="41"/>
        <v>CX</v>
      </c>
    </row>
    <row r="431" spans="1:25" x14ac:dyDescent="0.3">
      <c r="A431" s="2" t="s">
        <v>421</v>
      </c>
      <c r="B431" s="2" t="s">
        <v>422</v>
      </c>
      <c r="C431" s="2" t="s">
        <v>20</v>
      </c>
      <c r="D431" s="2">
        <v>4309</v>
      </c>
      <c r="E431" s="2">
        <v>4299</v>
      </c>
      <c r="F431" s="2">
        <v>4517</v>
      </c>
      <c r="G431" s="2">
        <v>4441</v>
      </c>
      <c r="H431" s="2">
        <v>4203</v>
      </c>
      <c r="I431" s="2">
        <v>4201</v>
      </c>
      <c r="J431" s="2">
        <v>4534</v>
      </c>
      <c r="K431" s="2">
        <v>4264</v>
      </c>
      <c r="L431" s="2">
        <v>4442</v>
      </c>
      <c r="M431" s="2">
        <v>4680</v>
      </c>
      <c r="N431" s="2">
        <v>4302</v>
      </c>
      <c r="O431" s="2">
        <v>4337</v>
      </c>
      <c r="P431" s="2">
        <v>52529</v>
      </c>
      <c r="Q431" s="2">
        <v>2</v>
      </c>
      <c r="R431" s="2">
        <v>105058</v>
      </c>
      <c r="S431" s="4">
        <f>SUM($R$2:R431) / SUM($R:$R)</f>
        <v>0.98242484690911835</v>
      </c>
      <c r="T431" s="3" t="str">
        <f t="shared" si="36"/>
        <v>C</v>
      </c>
      <c r="U431" s="2">
        <f t="shared" si="37"/>
        <v>4377.416666666667</v>
      </c>
      <c r="V431" s="2">
        <f t="shared" si="38"/>
        <v>146.57635821604651</v>
      </c>
      <c r="W431" s="2">
        <f t="shared" si="39"/>
        <v>3.348467129761766E-2</v>
      </c>
      <c r="X431" s="2" t="str">
        <f t="shared" si="40"/>
        <v>X</v>
      </c>
      <c r="Y431" s="2" t="str">
        <f t="shared" si="41"/>
        <v>CX</v>
      </c>
    </row>
    <row r="432" spans="1:25" x14ac:dyDescent="0.3">
      <c r="A432" s="2" t="s">
        <v>1695</v>
      </c>
      <c r="B432" s="2" t="s">
        <v>1696</v>
      </c>
      <c r="C432" s="2" t="s">
        <v>20</v>
      </c>
      <c r="D432" s="2">
        <v>4190</v>
      </c>
      <c r="E432" s="2">
        <v>4365</v>
      </c>
      <c r="F432" s="2">
        <v>4161</v>
      </c>
      <c r="G432" s="2">
        <v>4264</v>
      </c>
      <c r="H432" s="2">
        <v>4535</v>
      </c>
      <c r="I432" s="2">
        <v>4290</v>
      </c>
      <c r="J432" s="2">
        <v>4139</v>
      </c>
      <c r="K432" s="2">
        <v>4288</v>
      </c>
      <c r="L432" s="2">
        <v>4518</v>
      </c>
      <c r="M432" s="2">
        <v>4372</v>
      </c>
      <c r="N432" s="2">
        <v>4290</v>
      </c>
      <c r="O432" s="2">
        <v>4896</v>
      </c>
      <c r="P432" s="2">
        <v>52308</v>
      </c>
      <c r="Q432" s="2">
        <v>2</v>
      </c>
      <c r="R432" s="2">
        <v>104616</v>
      </c>
      <c r="S432" s="4">
        <f>SUM($R$2:R432) / SUM($R:$R)</f>
        <v>0.9825224102594089</v>
      </c>
      <c r="T432" s="3" t="str">
        <f t="shared" si="36"/>
        <v>C</v>
      </c>
      <c r="U432" s="2">
        <f t="shared" si="37"/>
        <v>4359</v>
      </c>
      <c r="V432" s="2">
        <f t="shared" si="38"/>
        <v>209.88828197184071</v>
      </c>
      <c r="W432" s="2">
        <f t="shared" si="39"/>
        <v>4.8150557919669809E-2</v>
      </c>
      <c r="X432" s="2" t="str">
        <f t="shared" si="40"/>
        <v>X</v>
      </c>
      <c r="Y432" s="2" t="str">
        <f t="shared" si="41"/>
        <v>CX</v>
      </c>
    </row>
    <row r="433" spans="1:25" x14ac:dyDescent="0.3">
      <c r="A433" s="2" t="s">
        <v>641</v>
      </c>
      <c r="B433" s="2" t="s">
        <v>642</v>
      </c>
      <c r="C433" s="2" t="s">
        <v>25</v>
      </c>
      <c r="D433" s="2">
        <v>1055</v>
      </c>
      <c r="E433" s="2">
        <v>662</v>
      </c>
      <c r="F433" s="2">
        <v>882</v>
      </c>
      <c r="G433" s="2">
        <v>834</v>
      </c>
      <c r="H433" s="2">
        <v>639</v>
      </c>
      <c r="I433" s="2">
        <v>1055</v>
      </c>
      <c r="J433" s="2">
        <v>639</v>
      </c>
      <c r="K433" s="2">
        <v>1017</v>
      </c>
      <c r="L433" s="2">
        <v>1012</v>
      </c>
      <c r="M433" s="2">
        <v>967</v>
      </c>
      <c r="N433" s="2">
        <v>929</v>
      </c>
      <c r="O433" s="2">
        <v>698</v>
      </c>
      <c r="P433" s="2">
        <v>10389</v>
      </c>
      <c r="Q433" s="2">
        <v>10</v>
      </c>
      <c r="R433" s="2">
        <v>103890</v>
      </c>
      <c r="S433" s="4">
        <f>SUM($R$2:R433) / SUM($R:$R)</f>
        <v>0.98261929655272617</v>
      </c>
      <c r="T433" s="3" t="str">
        <f t="shared" si="36"/>
        <v>C</v>
      </c>
      <c r="U433" s="2">
        <f t="shared" si="37"/>
        <v>865.75</v>
      </c>
      <c r="V433" s="2">
        <f t="shared" si="38"/>
        <v>166.21624742813475</v>
      </c>
      <c r="W433" s="2">
        <f t="shared" si="39"/>
        <v>0.19199104525340427</v>
      </c>
      <c r="X433" s="2" t="str">
        <f t="shared" si="40"/>
        <v>X</v>
      </c>
      <c r="Y433" s="2" t="str">
        <f t="shared" si="41"/>
        <v>CX</v>
      </c>
    </row>
    <row r="434" spans="1:25" x14ac:dyDescent="0.3">
      <c r="A434" s="2" t="s">
        <v>1865</v>
      </c>
      <c r="B434" s="2" t="s">
        <v>1866</v>
      </c>
      <c r="C434" s="2" t="s">
        <v>20</v>
      </c>
      <c r="D434" s="2">
        <v>4622</v>
      </c>
      <c r="E434" s="2">
        <v>4167</v>
      </c>
      <c r="F434" s="2">
        <v>4427</v>
      </c>
      <c r="G434" s="2">
        <v>4428</v>
      </c>
      <c r="H434" s="2">
        <v>4395</v>
      </c>
      <c r="I434" s="2">
        <v>4398</v>
      </c>
      <c r="J434" s="2">
        <v>4220</v>
      </c>
      <c r="K434" s="2">
        <v>4184</v>
      </c>
      <c r="L434" s="2">
        <v>4043</v>
      </c>
      <c r="M434" s="2">
        <v>4422</v>
      </c>
      <c r="N434" s="2">
        <v>4235</v>
      </c>
      <c r="O434" s="2">
        <v>4273</v>
      </c>
      <c r="P434" s="2">
        <v>51814</v>
      </c>
      <c r="Q434" s="2">
        <v>2</v>
      </c>
      <c r="R434" s="2">
        <v>103628</v>
      </c>
      <c r="S434" s="4">
        <f>SUM($R$2:R434) / SUM($R:$R)</f>
        <v>0.98271593850867855</v>
      </c>
      <c r="T434" s="3" t="str">
        <f t="shared" si="36"/>
        <v>C</v>
      </c>
      <c r="U434" s="2">
        <f t="shared" si="37"/>
        <v>4317.833333333333</v>
      </c>
      <c r="V434" s="2">
        <f t="shared" si="38"/>
        <v>157.95329190695088</v>
      </c>
      <c r="W434" s="2">
        <f t="shared" si="39"/>
        <v>3.6581609273235241E-2</v>
      </c>
      <c r="X434" s="2" t="str">
        <f t="shared" si="40"/>
        <v>X</v>
      </c>
      <c r="Y434" s="2" t="str">
        <f t="shared" si="41"/>
        <v>CX</v>
      </c>
    </row>
    <row r="435" spans="1:25" x14ac:dyDescent="0.3">
      <c r="A435" s="2" t="s">
        <v>1267</v>
      </c>
      <c r="B435" s="2" t="s">
        <v>1268</v>
      </c>
      <c r="C435" s="2" t="s">
        <v>20</v>
      </c>
      <c r="D435" s="2">
        <v>4066</v>
      </c>
      <c r="E435" s="2">
        <v>4501</v>
      </c>
      <c r="F435" s="2">
        <v>4035</v>
      </c>
      <c r="G435" s="2">
        <v>4631</v>
      </c>
      <c r="H435" s="2">
        <v>4441</v>
      </c>
      <c r="I435" s="2">
        <v>3912</v>
      </c>
      <c r="J435" s="2">
        <v>4309</v>
      </c>
      <c r="K435" s="2">
        <v>4314</v>
      </c>
      <c r="L435" s="2">
        <v>4325</v>
      </c>
      <c r="M435" s="2">
        <v>4535</v>
      </c>
      <c r="N435" s="2">
        <v>4181</v>
      </c>
      <c r="O435" s="2">
        <v>4225</v>
      </c>
      <c r="P435" s="2">
        <v>51475</v>
      </c>
      <c r="Q435" s="2">
        <v>2</v>
      </c>
      <c r="R435" s="2">
        <v>102950</v>
      </c>
      <c r="S435" s="4">
        <f>SUM($R$2:R435) / SUM($R:$R)</f>
        <v>0.98281194817175499</v>
      </c>
      <c r="T435" s="3" t="str">
        <f t="shared" si="36"/>
        <v>C</v>
      </c>
      <c r="U435" s="2">
        <f t="shared" si="37"/>
        <v>4289.583333333333</v>
      </c>
      <c r="V435" s="2">
        <f t="shared" si="38"/>
        <v>217.41851486490427</v>
      </c>
      <c r="W435" s="2">
        <f t="shared" si="39"/>
        <v>5.0685229303134557E-2</v>
      </c>
      <c r="X435" s="2" t="str">
        <f t="shared" si="40"/>
        <v>X</v>
      </c>
      <c r="Y435" s="2" t="str">
        <f t="shared" si="41"/>
        <v>CX</v>
      </c>
    </row>
    <row r="436" spans="1:25" x14ac:dyDescent="0.3">
      <c r="A436" s="2" t="s">
        <v>1039</v>
      </c>
      <c r="B436" s="2" t="s">
        <v>1040</v>
      </c>
      <c r="C436" s="2" t="s">
        <v>41</v>
      </c>
      <c r="D436" s="2">
        <v>171</v>
      </c>
      <c r="E436" s="2">
        <v>180</v>
      </c>
      <c r="F436" s="2">
        <v>172</v>
      </c>
      <c r="G436" s="2">
        <v>188</v>
      </c>
      <c r="H436" s="2">
        <v>167</v>
      </c>
      <c r="I436" s="2">
        <v>178</v>
      </c>
      <c r="J436" s="2">
        <v>156</v>
      </c>
      <c r="K436" s="2">
        <v>166</v>
      </c>
      <c r="L436" s="2">
        <v>155</v>
      </c>
      <c r="M436" s="2">
        <v>175</v>
      </c>
      <c r="N436" s="2">
        <v>177</v>
      </c>
      <c r="O436" s="2">
        <v>149</v>
      </c>
      <c r="P436" s="2">
        <v>2034</v>
      </c>
      <c r="Q436" s="2">
        <v>50</v>
      </c>
      <c r="R436" s="2">
        <v>101700</v>
      </c>
      <c r="S436" s="4">
        <f>SUM($R$2:R436) / SUM($R:$R)</f>
        <v>0.98290679210312826</v>
      </c>
      <c r="T436" s="3" t="str">
        <f t="shared" si="36"/>
        <v>C</v>
      </c>
      <c r="U436" s="2">
        <f t="shared" si="37"/>
        <v>169.5</v>
      </c>
      <c r="V436" s="2">
        <f t="shared" si="38"/>
        <v>11.485168301295847</v>
      </c>
      <c r="W436" s="2">
        <f t="shared" si="39"/>
        <v>6.7759105022394378E-2</v>
      </c>
      <c r="X436" s="2" t="str">
        <f t="shared" si="40"/>
        <v>X</v>
      </c>
      <c r="Y436" s="2" t="str">
        <f t="shared" si="41"/>
        <v>CX</v>
      </c>
    </row>
    <row r="437" spans="1:25" x14ac:dyDescent="0.3">
      <c r="A437" s="2" t="s">
        <v>899</v>
      </c>
      <c r="B437" s="2" t="s">
        <v>900</v>
      </c>
      <c r="C437" s="2" t="s">
        <v>20</v>
      </c>
      <c r="D437" s="2">
        <v>4045</v>
      </c>
      <c r="E437" s="2">
        <v>4239</v>
      </c>
      <c r="F437" s="2">
        <v>4596</v>
      </c>
      <c r="G437" s="2">
        <v>3965</v>
      </c>
      <c r="H437" s="2">
        <v>3871</v>
      </c>
      <c r="I437" s="2">
        <v>4460</v>
      </c>
      <c r="J437" s="2">
        <v>4146</v>
      </c>
      <c r="K437" s="2">
        <v>4464</v>
      </c>
      <c r="L437" s="2">
        <v>3883</v>
      </c>
      <c r="M437" s="2">
        <v>4401</v>
      </c>
      <c r="N437" s="2">
        <v>4458</v>
      </c>
      <c r="O437" s="2">
        <v>3790</v>
      </c>
      <c r="P437" s="2">
        <v>50318</v>
      </c>
      <c r="Q437" s="2">
        <v>2</v>
      </c>
      <c r="R437" s="2">
        <v>100636</v>
      </c>
      <c r="S437" s="4">
        <f>SUM($R$2:R437) / SUM($R:$R)</f>
        <v>0.9830006437636758</v>
      </c>
      <c r="T437" s="3" t="str">
        <f t="shared" si="36"/>
        <v>C</v>
      </c>
      <c r="U437" s="2">
        <f t="shared" si="37"/>
        <v>4193.166666666667</v>
      </c>
      <c r="V437" s="2">
        <f t="shared" si="38"/>
        <v>279.77810471655545</v>
      </c>
      <c r="W437" s="2">
        <f t="shared" si="39"/>
        <v>6.6722390726949896E-2</v>
      </c>
      <c r="X437" s="2" t="str">
        <f t="shared" si="40"/>
        <v>X</v>
      </c>
      <c r="Y437" s="2" t="str">
        <f t="shared" si="41"/>
        <v>CX</v>
      </c>
    </row>
    <row r="438" spans="1:25" x14ac:dyDescent="0.3">
      <c r="A438" s="2" t="s">
        <v>151</v>
      </c>
      <c r="B438" s="2" t="s">
        <v>152</v>
      </c>
      <c r="C438" s="2" t="s">
        <v>25</v>
      </c>
      <c r="D438" s="2">
        <v>368</v>
      </c>
      <c r="E438" s="2">
        <v>327</v>
      </c>
      <c r="F438" s="2">
        <v>9</v>
      </c>
      <c r="G438" s="2">
        <v>32</v>
      </c>
      <c r="H438" s="2">
        <v>282</v>
      </c>
      <c r="I438" s="2">
        <v>82</v>
      </c>
      <c r="J438" s="2">
        <v>29</v>
      </c>
      <c r="K438" s="2">
        <v>406</v>
      </c>
      <c r="L438" s="2">
        <v>89</v>
      </c>
      <c r="M438" s="2">
        <v>76</v>
      </c>
      <c r="N438" s="2">
        <v>129</v>
      </c>
      <c r="O438" s="2">
        <v>183</v>
      </c>
      <c r="P438" s="2">
        <v>2012</v>
      </c>
      <c r="Q438" s="2">
        <v>50</v>
      </c>
      <c r="R438" s="2">
        <v>100600</v>
      </c>
      <c r="S438" s="4">
        <f>SUM($R$2:R438) / SUM($R:$R)</f>
        <v>0.98309446185115024</v>
      </c>
      <c r="T438" s="3" t="str">
        <f t="shared" si="36"/>
        <v>C</v>
      </c>
      <c r="U438" s="2">
        <f t="shared" si="37"/>
        <v>167.66666666666666</v>
      </c>
      <c r="V438" s="2">
        <f t="shared" si="38"/>
        <v>142.01941821988694</v>
      </c>
      <c r="W438" s="2">
        <f t="shared" si="39"/>
        <v>0.84703430349833175</v>
      </c>
      <c r="X438" s="2" t="str">
        <f t="shared" si="40"/>
        <v>Z</v>
      </c>
      <c r="Y438" s="2" t="str">
        <f t="shared" si="41"/>
        <v>CZ</v>
      </c>
    </row>
    <row r="439" spans="1:25" x14ac:dyDescent="0.3">
      <c r="A439" s="2" t="s">
        <v>275</v>
      </c>
      <c r="B439" s="2" t="s">
        <v>276</v>
      </c>
      <c r="C439" s="2" t="s">
        <v>20</v>
      </c>
      <c r="D439" s="2">
        <v>4542</v>
      </c>
      <c r="E439" s="2">
        <v>4376</v>
      </c>
      <c r="F439" s="2">
        <v>4689</v>
      </c>
      <c r="G439" s="2">
        <v>3943</v>
      </c>
      <c r="H439" s="2">
        <v>4014</v>
      </c>
      <c r="I439" s="2">
        <v>4200</v>
      </c>
      <c r="J439" s="2">
        <v>3841</v>
      </c>
      <c r="K439" s="2">
        <v>4184</v>
      </c>
      <c r="L439" s="2">
        <v>3605</v>
      </c>
      <c r="M439" s="2">
        <v>4406</v>
      </c>
      <c r="N439" s="2">
        <v>4250</v>
      </c>
      <c r="O439" s="2">
        <v>4020</v>
      </c>
      <c r="P439" s="2">
        <v>50070</v>
      </c>
      <c r="Q439" s="2">
        <v>2</v>
      </c>
      <c r="R439" s="2">
        <v>100140</v>
      </c>
      <c r="S439" s="4">
        <f>SUM($R$2:R439) / SUM($R:$R)</f>
        <v>0.9831878509493579</v>
      </c>
      <c r="T439" s="3" t="str">
        <f t="shared" si="36"/>
        <v>C</v>
      </c>
      <c r="U439" s="2">
        <f t="shared" si="37"/>
        <v>4172.5</v>
      </c>
      <c r="V439" s="2">
        <f t="shared" si="38"/>
        <v>307.35366067003775</v>
      </c>
      <c r="W439" s="2">
        <f t="shared" si="39"/>
        <v>7.3661752107858067E-2</v>
      </c>
      <c r="X439" s="2" t="str">
        <f t="shared" si="40"/>
        <v>X</v>
      </c>
      <c r="Y439" s="2" t="str">
        <f t="shared" si="41"/>
        <v>CX</v>
      </c>
    </row>
    <row r="440" spans="1:25" x14ac:dyDescent="0.3">
      <c r="A440" s="2" t="s">
        <v>479</v>
      </c>
      <c r="B440" s="2" t="s">
        <v>480</v>
      </c>
      <c r="C440" s="2" t="s">
        <v>41</v>
      </c>
      <c r="D440" s="2">
        <v>165</v>
      </c>
      <c r="E440" s="2">
        <v>162</v>
      </c>
      <c r="F440" s="2">
        <v>163</v>
      </c>
      <c r="G440" s="2">
        <v>160</v>
      </c>
      <c r="H440" s="2">
        <v>182</v>
      </c>
      <c r="I440" s="2">
        <v>155</v>
      </c>
      <c r="J440" s="2">
        <v>175</v>
      </c>
      <c r="K440" s="2">
        <v>177</v>
      </c>
      <c r="L440" s="2">
        <v>161</v>
      </c>
      <c r="M440" s="2">
        <v>151</v>
      </c>
      <c r="N440" s="2">
        <v>184</v>
      </c>
      <c r="O440" s="2">
        <v>161</v>
      </c>
      <c r="P440" s="2">
        <v>1996</v>
      </c>
      <c r="Q440" s="2">
        <v>50</v>
      </c>
      <c r="R440" s="2">
        <v>99800</v>
      </c>
      <c r="S440" s="4">
        <f>SUM($R$2:R440) / SUM($R:$R)</f>
        <v>0.9832809229685423</v>
      </c>
      <c r="T440" s="3" t="str">
        <f t="shared" si="36"/>
        <v>C</v>
      </c>
      <c r="U440" s="2">
        <f t="shared" si="37"/>
        <v>166.33333333333334</v>
      </c>
      <c r="V440" s="2">
        <f t="shared" si="38"/>
        <v>10.611600284879779</v>
      </c>
      <c r="W440" s="2">
        <f t="shared" si="39"/>
        <v>6.3797196101481643E-2</v>
      </c>
      <c r="X440" s="2" t="str">
        <f t="shared" si="40"/>
        <v>X</v>
      </c>
      <c r="Y440" s="2" t="str">
        <f t="shared" si="41"/>
        <v>CX</v>
      </c>
    </row>
    <row r="441" spans="1:25" x14ac:dyDescent="0.3">
      <c r="A441" s="2" t="s">
        <v>1811</v>
      </c>
      <c r="B441" s="2" t="s">
        <v>1812</v>
      </c>
      <c r="C441" s="2" t="s">
        <v>25</v>
      </c>
      <c r="D441" s="2">
        <v>1071</v>
      </c>
      <c r="E441" s="2">
        <v>997</v>
      </c>
      <c r="F441" s="2">
        <v>668</v>
      </c>
      <c r="G441" s="2">
        <v>969</v>
      </c>
      <c r="H441" s="2">
        <v>851</v>
      </c>
      <c r="I441" s="2">
        <v>646</v>
      </c>
      <c r="J441" s="2">
        <v>854</v>
      </c>
      <c r="K441" s="2">
        <v>541</v>
      </c>
      <c r="L441" s="2">
        <v>871</v>
      </c>
      <c r="M441" s="2">
        <v>945</v>
      </c>
      <c r="N441" s="2">
        <v>939</v>
      </c>
      <c r="O441" s="2">
        <v>564</v>
      </c>
      <c r="P441" s="2">
        <v>9916</v>
      </c>
      <c r="Q441" s="2">
        <v>10</v>
      </c>
      <c r="R441" s="2">
        <v>99160</v>
      </c>
      <c r="S441" s="4">
        <f>SUM($R$2:R441) / SUM($R:$R)</f>
        <v>0.98337339813309466</v>
      </c>
      <c r="T441" s="3" t="str">
        <f t="shared" si="36"/>
        <v>C</v>
      </c>
      <c r="U441" s="2">
        <f t="shared" si="37"/>
        <v>826.33333333333337</v>
      </c>
      <c r="V441" s="2">
        <f t="shared" si="38"/>
        <v>177.6898898916227</v>
      </c>
      <c r="W441" s="2">
        <f t="shared" si="39"/>
        <v>0.21503415477001536</v>
      </c>
      <c r="X441" s="2" t="str">
        <f t="shared" si="40"/>
        <v>Y</v>
      </c>
      <c r="Y441" s="2" t="str">
        <f t="shared" si="41"/>
        <v>CY</v>
      </c>
    </row>
    <row r="442" spans="1:25" x14ac:dyDescent="0.3">
      <c r="A442" s="2" t="s">
        <v>2013</v>
      </c>
      <c r="B442" s="2" t="s">
        <v>2014</v>
      </c>
      <c r="C442" s="2" t="s">
        <v>20</v>
      </c>
      <c r="D442" s="2">
        <v>4159</v>
      </c>
      <c r="E442" s="2">
        <v>4152</v>
      </c>
      <c r="F442" s="2">
        <v>3776</v>
      </c>
      <c r="G442" s="2">
        <v>4189</v>
      </c>
      <c r="H442" s="2">
        <v>4123</v>
      </c>
      <c r="I442" s="2">
        <v>4080</v>
      </c>
      <c r="J442" s="2">
        <v>4306</v>
      </c>
      <c r="K442" s="2">
        <v>4287</v>
      </c>
      <c r="L442" s="2">
        <v>3793</v>
      </c>
      <c r="M442" s="2">
        <v>3989</v>
      </c>
      <c r="N442" s="2">
        <v>4183</v>
      </c>
      <c r="O442" s="2">
        <v>4218</v>
      </c>
      <c r="P442" s="2">
        <v>49255</v>
      </c>
      <c r="Q442" s="2">
        <v>2</v>
      </c>
      <c r="R442" s="2">
        <v>98510</v>
      </c>
      <c r="S442" s="4">
        <f>SUM($R$2:R442) / SUM($R:$R)</f>
        <v>0.98346526711716131</v>
      </c>
      <c r="T442" s="3" t="str">
        <f t="shared" si="36"/>
        <v>C</v>
      </c>
      <c r="U442" s="2">
        <f t="shared" si="37"/>
        <v>4104.583333333333</v>
      </c>
      <c r="V442" s="2">
        <f t="shared" si="38"/>
        <v>171.76805626051416</v>
      </c>
      <c r="W442" s="2">
        <f t="shared" si="39"/>
        <v>4.1847866716600755E-2</v>
      </c>
      <c r="X442" s="2" t="str">
        <f t="shared" si="40"/>
        <v>X</v>
      </c>
      <c r="Y442" s="2" t="str">
        <f t="shared" si="41"/>
        <v>CX</v>
      </c>
    </row>
    <row r="443" spans="1:25" x14ac:dyDescent="0.3">
      <c r="A443" s="2" t="s">
        <v>1807</v>
      </c>
      <c r="B443" s="2" t="s">
        <v>1808</v>
      </c>
      <c r="C443" s="2" t="s">
        <v>25</v>
      </c>
      <c r="D443" s="2">
        <v>835</v>
      </c>
      <c r="E443" s="2">
        <v>504</v>
      </c>
      <c r="F443" s="2">
        <v>1016</v>
      </c>
      <c r="G443" s="2">
        <v>1032</v>
      </c>
      <c r="H443" s="2">
        <v>775</v>
      </c>
      <c r="I443" s="2">
        <v>695</v>
      </c>
      <c r="J443" s="2">
        <v>825</v>
      </c>
      <c r="K443" s="2">
        <v>945</v>
      </c>
      <c r="L443" s="2">
        <v>778</v>
      </c>
      <c r="M443" s="2">
        <v>865</v>
      </c>
      <c r="N443" s="2">
        <v>772</v>
      </c>
      <c r="O443" s="2">
        <v>743</v>
      </c>
      <c r="P443" s="2">
        <v>9785</v>
      </c>
      <c r="Q443" s="2">
        <v>10</v>
      </c>
      <c r="R443" s="2">
        <v>97850</v>
      </c>
      <c r="S443" s="4">
        <f>SUM($R$2:R443) / SUM($R:$R)</f>
        <v>0.98355652059488874</v>
      </c>
      <c r="T443" s="3" t="str">
        <f t="shared" si="36"/>
        <v>C</v>
      </c>
      <c r="U443" s="2">
        <f t="shared" si="37"/>
        <v>815.41666666666663</v>
      </c>
      <c r="V443" s="2">
        <f t="shared" si="38"/>
        <v>144.13091166356273</v>
      </c>
      <c r="W443" s="2">
        <f t="shared" si="39"/>
        <v>0.17675737761499774</v>
      </c>
      <c r="X443" s="2" t="str">
        <f t="shared" si="40"/>
        <v>X</v>
      </c>
      <c r="Y443" s="2" t="str">
        <f t="shared" si="41"/>
        <v>CX</v>
      </c>
    </row>
    <row r="444" spans="1:25" x14ac:dyDescent="0.3">
      <c r="A444" s="2" t="s">
        <v>565</v>
      </c>
      <c r="B444" s="2" t="s">
        <v>566</v>
      </c>
      <c r="C444" s="2" t="s">
        <v>25</v>
      </c>
      <c r="D444" s="2">
        <v>876</v>
      </c>
      <c r="E444" s="2">
        <v>982</v>
      </c>
      <c r="F444" s="2">
        <v>680</v>
      </c>
      <c r="G444" s="2">
        <v>712</v>
      </c>
      <c r="H444" s="2">
        <v>953</v>
      </c>
      <c r="I444" s="2">
        <v>759</v>
      </c>
      <c r="J444" s="2">
        <v>975</v>
      </c>
      <c r="K444" s="2">
        <v>550</v>
      </c>
      <c r="L444" s="2">
        <v>936</v>
      </c>
      <c r="M444" s="2">
        <v>804</v>
      </c>
      <c r="N444" s="2">
        <v>696</v>
      </c>
      <c r="O444" s="2">
        <v>830</v>
      </c>
      <c r="P444" s="2">
        <v>9753</v>
      </c>
      <c r="Q444" s="2">
        <v>10</v>
      </c>
      <c r="R444" s="2">
        <v>97530</v>
      </c>
      <c r="S444" s="4">
        <f>SUM($R$2:R444) / SUM($R:$R)</f>
        <v>0.98364747564530008</v>
      </c>
      <c r="T444" s="3" t="str">
        <f t="shared" si="36"/>
        <v>C</v>
      </c>
      <c r="U444" s="2">
        <f t="shared" si="37"/>
        <v>812.75</v>
      </c>
      <c r="V444" s="2">
        <f t="shared" si="38"/>
        <v>137.35695038177653</v>
      </c>
      <c r="W444" s="2">
        <f t="shared" si="39"/>
        <v>0.16900270732916214</v>
      </c>
      <c r="X444" s="2" t="str">
        <f t="shared" si="40"/>
        <v>X</v>
      </c>
      <c r="Y444" s="2" t="str">
        <f t="shared" si="41"/>
        <v>CX</v>
      </c>
    </row>
    <row r="445" spans="1:25" x14ac:dyDescent="0.3">
      <c r="A445" s="2" t="s">
        <v>1371</v>
      </c>
      <c r="B445" s="2" t="s">
        <v>1372</v>
      </c>
      <c r="C445" s="2" t="s">
        <v>20</v>
      </c>
      <c r="D445" s="2">
        <v>4116</v>
      </c>
      <c r="E445" s="2">
        <v>3864</v>
      </c>
      <c r="F445" s="2">
        <v>4239</v>
      </c>
      <c r="G445" s="2">
        <v>4127</v>
      </c>
      <c r="H445" s="2">
        <v>4301</v>
      </c>
      <c r="I445" s="2">
        <v>3796</v>
      </c>
      <c r="J445" s="2">
        <v>4181</v>
      </c>
      <c r="K445" s="2">
        <v>3857</v>
      </c>
      <c r="L445" s="2">
        <v>3949</v>
      </c>
      <c r="M445" s="2">
        <v>4012</v>
      </c>
      <c r="N445" s="2">
        <v>3965</v>
      </c>
      <c r="O445" s="2">
        <v>4230</v>
      </c>
      <c r="P445" s="2">
        <v>48637</v>
      </c>
      <c r="Q445" s="2">
        <v>2</v>
      </c>
      <c r="R445" s="2">
        <v>97274</v>
      </c>
      <c r="S445" s="4">
        <f>SUM($R$2:R445) / SUM($R:$R)</f>
        <v>0.9837381919538587</v>
      </c>
      <c r="T445" s="3" t="str">
        <f t="shared" si="36"/>
        <v>C</v>
      </c>
      <c r="U445" s="2">
        <f t="shared" si="37"/>
        <v>4053.0833333333335</v>
      </c>
      <c r="V445" s="2">
        <f t="shared" si="38"/>
        <v>168.86921153976118</v>
      </c>
      <c r="W445" s="2">
        <f t="shared" si="39"/>
        <v>4.1664381817898596E-2</v>
      </c>
      <c r="X445" s="2" t="str">
        <f t="shared" si="40"/>
        <v>X</v>
      </c>
      <c r="Y445" s="2" t="str">
        <f t="shared" si="41"/>
        <v>CX</v>
      </c>
    </row>
    <row r="446" spans="1:25" x14ac:dyDescent="0.3">
      <c r="A446" s="2" t="s">
        <v>1191</v>
      </c>
      <c r="B446" s="2" t="s">
        <v>1192</v>
      </c>
      <c r="C446" s="2" t="s">
        <v>20</v>
      </c>
      <c r="D446" s="2">
        <v>4272</v>
      </c>
      <c r="E446" s="2">
        <v>3936</v>
      </c>
      <c r="F446" s="2">
        <v>3764</v>
      </c>
      <c r="G446" s="2">
        <v>3920</v>
      </c>
      <c r="H446" s="2">
        <v>4218</v>
      </c>
      <c r="I446" s="2">
        <v>3893</v>
      </c>
      <c r="J446" s="2">
        <v>3878</v>
      </c>
      <c r="K446" s="2">
        <v>4074</v>
      </c>
      <c r="L446" s="2">
        <v>4209</v>
      </c>
      <c r="M446" s="2">
        <v>4183</v>
      </c>
      <c r="N446" s="2">
        <v>3918</v>
      </c>
      <c r="O446" s="2">
        <v>4297</v>
      </c>
      <c r="P446" s="2">
        <v>48562</v>
      </c>
      <c r="Q446" s="2">
        <v>2</v>
      </c>
      <c r="R446" s="2">
        <v>97124</v>
      </c>
      <c r="S446" s="4">
        <f>SUM($R$2:R446) / SUM($R:$R)</f>
        <v>0.98382876837461286</v>
      </c>
      <c r="T446" s="3" t="str">
        <f t="shared" si="36"/>
        <v>C</v>
      </c>
      <c r="U446" s="2">
        <f t="shared" si="37"/>
        <v>4046.8333333333335</v>
      </c>
      <c r="V446" s="2">
        <f t="shared" si="38"/>
        <v>182.23153770226861</v>
      </c>
      <c r="W446" s="2">
        <f t="shared" si="39"/>
        <v>4.5030650558610094E-2</v>
      </c>
      <c r="X446" s="2" t="str">
        <f t="shared" si="40"/>
        <v>X</v>
      </c>
      <c r="Y446" s="2" t="str">
        <f t="shared" si="41"/>
        <v>CX</v>
      </c>
    </row>
    <row r="447" spans="1:25" x14ac:dyDescent="0.3">
      <c r="A447" s="2" t="s">
        <v>223</v>
      </c>
      <c r="B447" s="2" t="s">
        <v>224</v>
      </c>
      <c r="C447" s="2" t="s">
        <v>20</v>
      </c>
      <c r="D447" s="2">
        <v>3995</v>
      </c>
      <c r="E447" s="2">
        <v>4254</v>
      </c>
      <c r="F447" s="2">
        <v>4061</v>
      </c>
      <c r="G447" s="2">
        <v>3793</v>
      </c>
      <c r="H447" s="2">
        <v>3795</v>
      </c>
      <c r="I447" s="2">
        <v>4204</v>
      </c>
      <c r="J447" s="2">
        <v>4086</v>
      </c>
      <c r="K447" s="2">
        <v>3804</v>
      </c>
      <c r="L447" s="2">
        <v>4038</v>
      </c>
      <c r="M447" s="2">
        <v>4122</v>
      </c>
      <c r="N447" s="2">
        <v>4082</v>
      </c>
      <c r="O447" s="2">
        <v>4168</v>
      </c>
      <c r="P447" s="2">
        <v>48402</v>
      </c>
      <c r="Q447" s="2">
        <v>2</v>
      </c>
      <c r="R447" s="2">
        <v>96804</v>
      </c>
      <c r="S447" s="4">
        <f>SUM($R$2:R447) / SUM($R:$R)</f>
        <v>0.98391904636805094</v>
      </c>
      <c r="T447" s="3" t="str">
        <f t="shared" si="36"/>
        <v>C</v>
      </c>
      <c r="U447" s="2">
        <f t="shared" si="37"/>
        <v>4033.5</v>
      </c>
      <c r="V447" s="2">
        <f t="shared" si="38"/>
        <v>159.08059706839288</v>
      </c>
      <c r="W447" s="2">
        <f t="shared" si="39"/>
        <v>3.9439840602055999E-2</v>
      </c>
      <c r="X447" s="2" t="str">
        <f t="shared" si="40"/>
        <v>X</v>
      </c>
      <c r="Y447" s="2" t="str">
        <f t="shared" si="41"/>
        <v>CX</v>
      </c>
    </row>
    <row r="448" spans="1:25" x14ac:dyDescent="0.3">
      <c r="A448" s="2" t="s">
        <v>249</v>
      </c>
      <c r="B448" s="2" t="s">
        <v>250</v>
      </c>
      <c r="C448" s="2" t="s">
        <v>56</v>
      </c>
      <c r="D448" s="2">
        <v>154</v>
      </c>
      <c r="E448" s="2">
        <v>173</v>
      </c>
      <c r="F448" s="2">
        <v>162</v>
      </c>
      <c r="G448" s="2">
        <v>157</v>
      </c>
      <c r="H448" s="2">
        <v>157</v>
      </c>
      <c r="I448" s="2">
        <v>165</v>
      </c>
      <c r="J448" s="2">
        <v>137</v>
      </c>
      <c r="K448" s="2">
        <v>165</v>
      </c>
      <c r="L448" s="2">
        <v>157</v>
      </c>
      <c r="M448" s="2">
        <v>163</v>
      </c>
      <c r="N448" s="2">
        <v>156</v>
      </c>
      <c r="O448" s="2">
        <v>180</v>
      </c>
      <c r="P448" s="2">
        <v>1926</v>
      </c>
      <c r="Q448" s="2">
        <v>50</v>
      </c>
      <c r="R448" s="2">
        <v>96300</v>
      </c>
      <c r="S448" s="4">
        <f>SUM($R$2:R448) / SUM($R:$R)</f>
        <v>0.98400885433846641</v>
      </c>
      <c r="T448" s="3" t="str">
        <f t="shared" si="36"/>
        <v>C</v>
      </c>
      <c r="U448" s="2">
        <f t="shared" si="37"/>
        <v>160.5</v>
      </c>
      <c r="V448" s="2">
        <f t="shared" si="38"/>
        <v>10.604458753493525</v>
      </c>
      <c r="W448" s="2">
        <f t="shared" si="39"/>
        <v>6.6071394102763387E-2</v>
      </c>
      <c r="X448" s="2" t="str">
        <f t="shared" si="40"/>
        <v>X</v>
      </c>
      <c r="Y448" s="2" t="str">
        <f t="shared" si="41"/>
        <v>CX</v>
      </c>
    </row>
    <row r="449" spans="1:25" x14ac:dyDescent="0.3">
      <c r="A449" s="2" t="s">
        <v>1319</v>
      </c>
      <c r="B449" s="2" t="s">
        <v>1320</v>
      </c>
      <c r="C449" s="2" t="s">
        <v>20</v>
      </c>
      <c r="D449" s="2">
        <v>4019</v>
      </c>
      <c r="E449" s="2">
        <v>4046</v>
      </c>
      <c r="F449" s="2">
        <v>4081</v>
      </c>
      <c r="G449" s="2">
        <v>3895</v>
      </c>
      <c r="H449" s="2">
        <v>3918</v>
      </c>
      <c r="I449" s="2">
        <v>4369</v>
      </c>
      <c r="J449" s="2">
        <v>3817</v>
      </c>
      <c r="K449" s="2">
        <v>3904</v>
      </c>
      <c r="L449" s="2">
        <v>3798</v>
      </c>
      <c r="M449" s="2">
        <v>4505</v>
      </c>
      <c r="N449" s="2">
        <v>3642</v>
      </c>
      <c r="O449" s="2">
        <v>3998</v>
      </c>
      <c r="P449" s="2">
        <v>47992</v>
      </c>
      <c r="Q449" s="2">
        <v>2</v>
      </c>
      <c r="R449" s="2">
        <v>95984</v>
      </c>
      <c r="S449" s="4">
        <f>SUM($R$2:R449) / SUM($R:$R)</f>
        <v>0.98409836761190717</v>
      </c>
      <c r="T449" s="3" t="str">
        <f t="shared" si="36"/>
        <v>C</v>
      </c>
      <c r="U449" s="2">
        <f t="shared" si="37"/>
        <v>3999.3333333333335</v>
      </c>
      <c r="V449" s="2">
        <f t="shared" si="38"/>
        <v>239.24971106027326</v>
      </c>
      <c r="W449" s="2">
        <f t="shared" si="39"/>
        <v>5.9822398164762439E-2</v>
      </c>
      <c r="X449" s="2" t="str">
        <f t="shared" si="40"/>
        <v>X</v>
      </c>
      <c r="Y449" s="2" t="str">
        <f t="shared" si="41"/>
        <v>CX</v>
      </c>
    </row>
    <row r="450" spans="1:25" x14ac:dyDescent="0.3">
      <c r="A450" s="2" t="s">
        <v>1245</v>
      </c>
      <c r="B450" s="2" t="s">
        <v>1246</v>
      </c>
      <c r="C450" s="2" t="s">
        <v>20</v>
      </c>
      <c r="D450" s="2">
        <v>3954</v>
      </c>
      <c r="E450" s="2">
        <v>3754</v>
      </c>
      <c r="F450" s="2">
        <v>3912</v>
      </c>
      <c r="G450" s="2">
        <v>3796</v>
      </c>
      <c r="H450" s="2">
        <v>4223</v>
      </c>
      <c r="I450" s="2">
        <v>4078</v>
      </c>
      <c r="J450" s="2">
        <v>3779</v>
      </c>
      <c r="K450" s="2">
        <v>4045</v>
      </c>
      <c r="L450" s="2">
        <v>4339</v>
      </c>
      <c r="M450" s="2">
        <v>4166</v>
      </c>
      <c r="N450" s="2">
        <v>3742</v>
      </c>
      <c r="O450" s="2">
        <v>4181</v>
      </c>
      <c r="P450" s="2">
        <v>47969</v>
      </c>
      <c r="Q450" s="2">
        <v>2</v>
      </c>
      <c r="R450" s="2">
        <v>95938</v>
      </c>
      <c r="S450" s="4">
        <f>SUM($R$2:R450) / SUM($R:$R)</f>
        <v>0.9841878379864214</v>
      </c>
      <c r="T450" s="3" t="str">
        <f t="shared" si="36"/>
        <v>C</v>
      </c>
      <c r="U450" s="2">
        <f t="shared" si="37"/>
        <v>3997.4166666666665</v>
      </c>
      <c r="V450" s="2">
        <f t="shared" si="38"/>
        <v>204.58226099823884</v>
      </c>
      <c r="W450" s="2">
        <f t="shared" si="39"/>
        <v>5.1178618107087202E-2</v>
      </c>
      <c r="X450" s="2" t="str">
        <f t="shared" si="40"/>
        <v>X</v>
      </c>
      <c r="Y450" s="2" t="str">
        <f t="shared" si="41"/>
        <v>CX</v>
      </c>
    </row>
    <row r="451" spans="1:25" x14ac:dyDescent="0.3">
      <c r="A451" s="2" t="s">
        <v>1059</v>
      </c>
      <c r="B451" s="2" t="s">
        <v>1060</v>
      </c>
      <c r="C451" s="2" t="s">
        <v>20</v>
      </c>
      <c r="D451" s="2">
        <v>3803</v>
      </c>
      <c r="E451" s="2">
        <v>4009</v>
      </c>
      <c r="F451" s="2">
        <v>3961</v>
      </c>
      <c r="G451" s="2">
        <v>3728</v>
      </c>
      <c r="H451" s="2">
        <v>4219</v>
      </c>
      <c r="I451" s="2">
        <v>4114</v>
      </c>
      <c r="J451" s="2">
        <v>3952</v>
      </c>
      <c r="K451" s="2">
        <v>4172</v>
      </c>
      <c r="L451" s="2">
        <v>3974</v>
      </c>
      <c r="M451" s="2">
        <v>4247</v>
      </c>
      <c r="N451" s="2">
        <v>3924</v>
      </c>
      <c r="O451" s="2">
        <v>3819</v>
      </c>
      <c r="P451" s="2">
        <v>47922</v>
      </c>
      <c r="Q451" s="2">
        <v>2</v>
      </c>
      <c r="R451" s="2">
        <v>95844</v>
      </c>
      <c r="S451" s="4">
        <f>SUM($R$2:R451) / SUM($R:$R)</f>
        <v>0.98427722069791146</v>
      </c>
      <c r="T451" s="3" t="str">
        <f t="shared" ref="T451:T514" si="42">IF(S451&lt;=0.7, "A", IF(S451&lt;=0.9, "B", "C"))</f>
        <v>C</v>
      </c>
      <c r="U451" s="2">
        <f t="shared" ref="U451:U514" si="43">AVERAGE(D451:O451)</f>
        <v>3993.5</v>
      </c>
      <c r="V451" s="2">
        <f t="shared" ref="V451:V514" si="44">_xlfn.STDEV.S(D451:O451)</f>
        <v>167.04789732289359</v>
      </c>
      <c r="W451" s="2">
        <f t="shared" ref="W451:W514" si="45">IF(U451=0,0,V451/U451)</f>
        <v>4.1829947996217254E-2</v>
      </c>
      <c r="X451" s="2" t="str">
        <f t="shared" ref="X451:X514" si="46">(IF(W451&lt;=0.2, "X", IF(W451&lt;=0.5, "Y", "Z")))</f>
        <v>X</v>
      </c>
      <c r="Y451" s="2" t="str">
        <f t="shared" ref="Y451:Y514" si="47">T451&amp;X451</f>
        <v>CX</v>
      </c>
    </row>
    <row r="452" spans="1:25" x14ac:dyDescent="0.3">
      <c r="A452" s="2" t="s">
        <v>1471</v>
      </c>
      <c r="B452" s="2" t="s">
        <v>1472</v>
      </c>
      <c r="C452" s="2" t="s">
        <v>25</v>
      </c>
      <c r="D452" s="2">
        <v>671</v>
      </c>
      <c r="E452" s="2">
        <v>725</v>
      </c>
      <c r="F452" s="2">
        <v>942</v>
      </c>
      <c r="G452" s="2">
        <v>589</v>
      </c>
      <c r="H452" s="2">
        <v>789</v>
      </c>
      <c r="I452" s="2">
        <v>840</v>
      </c>
      <c r="J452" s="2">
        <v>1022</v>
      </c>
      <c r="K452" s="2">
        <v>923</v>
      </c>
      <c r="L452" s="2">
        <v>747</v>
      </c>
      <c r="M452" s="2">
        <v>578</v>
      </c>
      <c r="N452" s="2">
        <v>686</v>
      </c>
      <c r="O452" s="2">
        <v>976</v>
      </c>
      <c r="P452" s="2">
        <v>9488</v>
      </c>
      <c r="Q452" s="2">
        <v>10</v>
      </c>
      <c r="R452" s="2">
        <v>94880</v>
      </c>
      <c r="S452" s="4">
        <f>SUM($R$2:R452) / SUM($R:$R)</f>
        <v>0.98436570439711202</v>
      </c>
      <c r="T452" s="3" t="str">
        <f t="shared" si="42"/>
        <v>C</v>
      </c>
      <c r="U452" s="2">
        <f t="shared" si="43"/>
        <v>790.66666666666663</v>
      </c>
      <c r="V452" s="2">
        <f t="shared" si="44"/>
        <v>150.18312054611772</v>
      </c>
      <c r="W452" s="2">
        <f t="shared" si="45"/>
        <v>0.18994492480537656</v>
      </c>
      <c r="X452" s="2" t="str">
        <f t="shared" si="46"/>
        <v>X</v>
      </c>
      <c r="Y452" s="2" t="str">
        <f t="shared" si="47"/>
        <v>CX</v>
      </c>
    </row>
    <row r="453" spans="1:25" x14ac:dyDescent="0.3">
      <c r="A453" s="2" t="s">
        <v>491</v>
      </c>
      <c r="B453" s="2" t="s">
        <v>492</v>
      </c>
      <c r="C453" s="2" t="s">
        <v>20</v>
      </c>
      <c r="D453" s="2">
        <v>3798</v>
      </c>
      <c r="E453" s="2">
        <v>4095</v>
      </c>
      <c r="F453" s="2">
        <v>4051</v>
      </c>
      <c r="G453" s="2">
        <v>3595</v>
      </c>
      <c r="H453" s="2">
        <v>4091</v>
      </c>
      <c r="I453" s="2">
        <v>3950</v>
      </c>
      <c r="J453" s="2">
        <v>4129</v>
      </c>
      <c r="K453" s="2">
        <v>3754</v>
      </c>
      <c r="L453" s="2">
        <v>3995</v>
      </c>
      <c r="M453" s="2">
        <v>4060</v>
      </c>
      <c r="N453" s="2">
        <v>3613</v>
      </c>
      <c r="O453" s="2">
        <v>4158</v>
      </c>
      <c r="P453" s="2">
        <v>47289</v>
      </c>
      <c r="Q453" s="2">
        <v>2</v>
      </c>
      <c r="R453" s="2">
        <v>94578</v>
      </c>
      <c r="S453" s="4">
        <f>SUM($R$2:R453) / SUM($R:$R)</f>
        <v>0.9844539064555331</v>
      </c>
      <c r="T453" s="3" t="str">
        <f t="shared" si="42"/>
        <v>C</v>
      </c>
      <c r="U453" s="2">
        <f t="shared" si="43"/>
        <v>3940.75</v>
      </c>
      <c r="V453" s="2">
        <f t="shared" si="44"/>
        <v>200.14182471437599</v>
      </c>
      <c r="W453" s="2">
        <f t="shared" si="45"/>
        <v>5.0787749721341369E-2</v>
      </c>
      <c r="X453" s="2" t="str">
        <f t="shared" si="46"/>
        <v>X</v>
      </c>
      <c r="Y453" s="2" t="str">
        <f t="shared" si="47"/>
        <v>CX</v>
      </c>
    </row>
    <row r="454" spans="1:25" x14ac:dyDescent="0.3">
      <c r="A454" s="2" t="s">
        <v>307</v>
      </c>
      <c r="B454" s="2" t="s">
        <v>308</v>
      </c>
      <c r="C454" s="2" t="s">
        <v>25</v>
      </c>
      <c r="D454" s="2">
        <v>1032</v>
      </c>
      <c r="E454" s="2">
        <v>615</v>
      </c>
      <c r="F454" s="2">
        <v>505</v>
      </c>
      <c r="G454" s="2">
        <v>709</v>
      </c>
      <c r="H454" s="2">
        <v>936</v>
      </c>
      <c r="I454" s="2">
        <v>884</v>
      </c>
      <c r="J454" s="2">
        <v>552</v>
      </c>
      <c r="K454" s="2">
        <v>904</v>
      </c>
      <c r="L454" s="2">
        <v>639</v>
      </c>
      <c r="M454" s="2">
        <v>1030</v>
      </c>
      <c r="N454" s="2">
        <v>787</v>
      </c>
      <c r="O454" s="2">
        <v>753</v>
      </c>
      <c r="P454" s="2">
        <v>9346</v>
      </c>
      <c r="Q454" s="2">
        <v>10</v>
      </c>
      <c r="R454" s="2">
        <v>93460</v>
      </c>
      <c r="S454" s="4">
        <f>SUM($R$2:R454) / SUM($R:$R)</f>
        <v>0.98454106588351875</v>
      </c>
      <c r="T454" s="3" t="str">
        <f t="shared" si="42"/>
        <v>C</v>
      </c>
      <c r="U454" s="2">
        <f t="shared" si="43"/>
        <v>778.83333333333337</v>
      </c>
      <c r="V454" s="2">
        <f t="shared" si="44"/>
        <v>180.16398254384984</v>
      </c>
      <c r="W454" s="2">
        <f t="shared" si="45"/>
        <v>0.23132546442608581</v>
      </c>
      <c r="X454" s="2" t="str">
        <f t="shared" si="46"/>
        <v>Y</v>
      </c>
      <c r="Y454" s="2" t="str">
        <f t="shared" si="47"/>
        <v>CY</v>
      </c>
    </row>
    <row r="455" spans="1:25" x14ac:dyDescent="0.3">
      <c r="A455" s="2" t="s">
        <v>859</v>
      </c>
      <c r="B455" s="2" t="s">
        <v>860</v>
      </c>
      <c r="C455" s="2" t="s">
        <v>56</v>
      </c>
      <c r="D455" s="2">
        <v>161</v>
      </c>
      <c r="E455" s="2">
        <v>174</v>
      </c>
      <c r="F455" s="2">
        <v>155</v>
      </c>
      <c r="G455" s="2">
        <v>161</v>
      </c>
      <c r="H455" s="2">
        <v>150</v>
      </c>
      <c r="I455" s="2">
        <v>159</v>
      </c>
      <c r="J455" s="2">
        <v>143</v>
      </c>
      <c r="K455" s="2">
        <v>150</v>
      </c>
      <c r="L455" s="2">
        <v>173</v>
      </c>
      <c r="M455" s="2">
        <v>153</v>
      </c>
      <c r="N455" s="2">
        <v>144</v>
      </c>
      <c r="O455" s="2">
        <v>145</v>
      </c>
      <c r="P455" s="2">
        <v>1868</v>
      </c>
      <c r="Q455" s="2">
        <v>50</v>
      </c>
      <c r="R455" s="2">
        <v>93400</v>
      </c>
      <c r="S455" s="4">
        <f>SUM($R$2:R455) / SUM($R:$R)</f>
        <v>0.98462816935638275</v>
      </c>
      <c r="T455" s="3" t="str">
        <f t="shared" si="42"/>
        <v>C</v>
      </c>
      <c r="U455" s="2">
        <f t="shared" si="43"/>
        <v>155.66666666666666</v>
      </c>
      <c r="V455" s="2">
        <f t="shared" si="44"/>
        <v>10.386471387280086</v>
      </c>
      <c r="W455" s="2">
        <f t="shared" si="45"/>
        <v>6.6722514265182567E-2</v>
      </c>
      <c r="X455" s="2" t="str">
        <f t="shared" si="46"/>
        <v>X</v>
      </c>
      <c r="Y455" s="2" t="str">
        <f t="shared" si="47"/>
        <v>CX</v>
      </c>
    </row>
    <row r="456" spans="1:25" x14ac:dyDescent="0.3">
      <c r="A456" s="2" t="s">
        <v>1759</v>
      </c>
      <c r="B456" s="2" t="s">
        <v>1760</v>
      </c>
      <c r="C456" s="2" t="s">
        <v>20</v>
      </c>
      <c r="D456" s="2">
        <v>3835</v>
      </c>
      <c r="E456" s="2">
        <v>3762</v>
      </c>
      <c r="F456" s="2">
        <v>3982</v>
      </c>
      <c r="G456" s="2">
        <v>3710</v>
      </c>
      <c r="H456" s="2">
        <v>4258</v>
      </c>
      <c r="I456" s="2">
        <v>4255</v>
      </c>
      <c r="J456" s="2">
        <v>4191</v>
      </c>
      <c r="K456" s="2">
        <v>3692</v>
      </c>
      <c r="L456" s="2">
        <v>3745</v>
      </c>
      <c r="M456" s="2">
        <v>3734</v>
      </c>
      <c r="N456" s="2">
        <v>3416</v>
      </c>
      <c r="O456" s="2">
        <v>3959</v>
      </c>
      <c r="P456" s="2">
        <v>46539</v>
      </c>
      <c r="Q456" s="2">
        <v>2</v>
      </c>
      <c r="R456" s="2">
        <v>93078</v>
      </c>
      <c r="S456" s="4">
        <f>SUM($R$2:R456) / SUM($R:$R)</f>
        <v>0.98471497253675999</v>
      </c>
      <c r="T456" s="3" t="str">
        <f t="shared" si="42"/>
        <v>C</v>
      </c>
      <c r="U456" s="2">
        <f t="shared" si="43"/>
        <v>3878.25</v>
      </c>
      <c r="V456" s="2">
        <f t="shared" si="44"/>
        <v>257.94084064515118</v>
      </c>
      <c r="W456" s="2">
        <f t="shared" si="45"/>
        <v>6.6509595989209358E-2</v>
      </c>
      <c r="X456" s="2" t="str">
        <f t="shared" si="46"/>
        <v>X</v>
      </c>
      <c r="Y456" s="2" t="str">
        <f t="shared" si="47"/>
        <v>CX</v>
      </c>
    </row>
    <row r="457" spans="1:25" x14ac:dyDescent="0.3">
      <c r="A457" s="2" t="s">
        <v>851</v>
      </c>
      <c r="B457" s="2" t="s">
        <v>852</v>
      </c>
      <c r="C457" s="2" t="s">
        <v>20</v>
      </c>
      <c r="D457" s="2">
        <v>3661</v>
      </c>
      <c r="E457" s="2">
        <v>3890</v>
      </c>
      <c r="F457" s="2">
        <v>3652</v>
      </c>
      <c r="G457" s="2">
        <v>3743</v>
      </c>
      <c r="H457" s="2">
        <v>4073</v>
      </c>
      <c r="I457" s="2">
        <v>4225</v>
      </c>
      <c r="J457" s="2">
        <v>3879</v>
      </c>
      <c r="K457" s="2">
        <v>4187</v>
      </c>
      <c r="L457" s="2">
        <v>3833</v>
      </c>
      <c r="M457" s="2">
        <v>3949</v>
      </c>
      <c r="N457" s="2">
        <v>3414</v>
      </c>
      <c r="O457" s="2">
        <v>4029</v>
      </c>
      <c r="P457" s="2">
        <v>46535</v>
      </c>
      <c r="Q457" s="2">
        <v>2</v>
      </c>
      <c r="R457" s="2">
        <v>93070</v>
      </c>
      <c r="S457" s="4">
        <f>SUM($R$2:R457) / SUM($R:$R)</f>
        <v>0.98480176825645427</v>
      </c>
      <c r="T457" s="3" t="str">
        <f t="shared" si="42"/>
        <v>C</v>
      </c>
      <c r="U457" s="2">
        <f t="shared" si="43"/>
        <v>3877.9166666666665</v>
      </c>
      <c r="V457" s="2">
        <f t="shared" si="44"/>
        <v>236.56882847505631</v>
      </c>
      <c r="W457" s="2">
        <f t="shared" si="45"/>
        <v>6.1004103184714213E-2</v>
      </c>
      <c r="X457" s="2" t="str">
        <f t="shared" si="46"/>
        <v>X</v>
      </c>
      <c r="Y457" s="2" t="str">
        <f t="shared" si="47"/>
        <v>CX</v>
      </c>
    </row>
    <row r="458" spans="1:25" x14ac:dyDescent="0.3">
      <c r="A458" s="2" t="s">
        <v>1041</v>
      </c>
      <c r="B458" s="2" t="s">
        <v>1042</v>
      </c>
      <c r="C458" s="2" t="s">
        <v>41</v>
      </c>
      <c r="D458" s="2">
        <v>146</v>
      </c>
      <c r="E458" s="2">
        <v>169</v>
      </c>
      <c r="F458" s="2">
        <v>146</v>
      </c>
      <c r="G458" s="2">
        <v>158</v>
      </c>
      <c r="H458" s="2">
        <v>142</v>
      </c>
      <c r="I458" s="2">
        <v>169</v>
      </c>
      <c r="J458" s="2">
        <v>151</v>
      </c>
      <c r="K458" s="2">
        <v>146</v>
      </c>
      <c r="L458" s="2">
        <v>177</v>
      </c>
      <c r="M458" s="2">
        <v>157</v>
      </c>
      <c r="N458" s="2">
        <v>133</v>
      </c>
      <c r="O458" s="2">
        <v>139</v>
      </c>
      <c r="P458" s="2">
        <v>1833</v>
      </c>
      <c r="Q458" s="2">
        <v>50</v>
      </c>
      <c r="R458" s="2">
        <v>91650</v>
      </c>
      <c r="S458" s="4">
        <f>SUM($R$2:R458) / SUM($R:$R)</f>
        <v>0.98488723970493375</v>
      </c>
      <c r="T458" s="3" t="str">
        <f t="shared" si="42"/>
        <v>C</v>
      </c>
      <c r="U458" s="2">
        <f t="shared" si="43"/>
        <v>152.75</v>
      </c>
      <c r="V458" s="2">
        <f t="shared" si="44"/>
        <v>13.471350070697172</v>
      </c>
      <c r="W458" s="2">
        <f t="shared" si="45"/>
        <v>8.8192144489015856E-2</v>
      </c>
      <c r="X458" s="2" t="str">
        <f t="shared" si="46"/>
        <v>X</v>
      </c>
      <c r="Y458" s="2" t="str">
        <f t="shared" si="47"/>
        <v>CX</v>
      </c>
    </row>
    <row r="459" spans="1:25" x14ac:dyDescent="0.3">
      <c r="A459" s="2" t="s">
        <v>1561</v>
      </c>
      <c r="B459" s="2" t="s">
        <v>1562</v>
      </c>
      <c r="C459" s="2" t="s">
        <v>20</v>
      </c>
      <c r="D459" s="2">
        <v>3803</v>
      </c>
      <c r="E459" s="2">
        <v>3575</v>
      </c>
      <c r="F459" s="2">
        <v>3732</v>
      </c>
      <c r="G459" s="2">
        <v>3924</v>
      </c>
      <c r="H459" s="2">
        <v>3895</v>
      </c>
      <c r="I459" s="2">
        <v>3819</v>
      </c>
      <c r="J459" s="2">
        <v>3673</v>
      </c>
      <c r="K459" s="2">
        <v>3986</v>
      </c>
      <c r="L459" s="2">
        <v>3463</v>
      </c>
      <c r="M459" s="2">
        <v>3954</v>
      </c>
      <c r="N459" s="2">
        <v>3848</v>
      </c>
      <c r="O459" s="2">
        <v>4138</v>
      </c>
      <c r="P459" s="2">
        <v>45810</v>
      </c>
      <c r="Q459" s="2">
        <v>2</v>
      </c>
      <c r="R459" s="2">
        <v>91620</v>
      </c>
      <c r="S459" s="4">
        <f>SUM($R$2:R459) / SUM($R:$R)</f>
        <v>0.98497268317585229</v>
      </c>
      <c r="T459" s="3" t="str">
        <f t="shared" si="42"/>
        <v>C</v>
      </c>
      <c r="U459" s="2">
        <f t="shared" si="43"/>
        <v>3817.5</v>
      </c>
      <c r="V459" s="2">
        <f t="shared" si="44"/>
        <v>186.08478028722675</v>
      </c>
      <c r="W459" s="2">
        <f t="shared" si="45"/>
        <v>4.8745194574257168E-2</v>
      </c>
      <c r="X459" s="2" t="str">
        <f t="shared" si="46"/>
        <v>X</v>
      </c>
      <c r="Y459" s="2" t="str">
        <f t="shared" si="47"/>
        <v>CX</v>
      </c>
    </row>
    <row r="460" spans="1:25" x14ac:dyDescent="0.3">
      <c r="A460" s="2" t="s">
        <v>845</v>
      </c>
      <c r="B460" s="2" t="s">
        <v>846</v>
      </c>
      <c r="C460" s="2" t="s">
        <v>20</v>
      </c>
      <c r="D460" s="2">
        <v>3821</v>
      </c>
      <c r="E460" s="2">
        <v>3699</v>
      </c>
      <c r="F460" s="2">
        <v>3678</v>
      </c>
      <c r="G460" s="2">
        <v>3810</v>
      </c>
      <c r="H460" s="2">
        <v>3892</v>
      </c>
      <c r="I460" s="2">
        <v>3824</v>
      </c>
      <c r="J460" s="2">
        <v>3979</v>
      </c>
      <c r="K460" s="2">
        <v>3807</v>
      </c>
      <c r="L460" s="2">
        <v>3882</v>
      </c>
      <c r="M460" s="2">
        <v>3667</v>
      </c>
      <c r="N460" s="2">
        <v>3986</v>
      </c>
      <c r="O460" s="2">
        <v>3750</v>
      </c>
      <c r="P460" s="2">
        <v>45795</v>
      </c>
      <c r="Q460" s="2">
        <v>2</v>
      </c>
      <c r="R460" s="2">
        <v>91590</v>
      </c>
      <c r="S460" s="4">
        <f>SUM($R$2:R460) / SUM($R:$R)</f>
        <v>0.98505809866921001</v>
      </c>
      <c r="T460" s="3" t="str">
        <f t="shared" si="42"/>
        <v>C</v>
      </c>
      <c r="U460" s="2">
        <f t="shared" si="43"/>
        <v>3816.25</v>
      </c>
      <c r="V460" s="2">
        <f t="shared" si="44"/>
        <v>106.64139141832483</v>
      </c>
      <c r="W460" s="2">
        <f t="shared" si="45"/>
        <v>2.7944026575388099E-2</v>
      </c>
      <c r="X460" s="2" t="str">
        <f t="shared" si="46"/>
        <v>X</v>
      </c>
      <c r="Y460" s="2" t="str">
        <f t="shared" si="47"/>
        <v>CX</v>
      </c>
    </row>
    <row r="461" spans="1:25" x14ac:dyDescent="0.3">
      <c r="A461" s="2" t="s">
        <v>81</v>
      </c>
      <c r="B461" s="2" t="s">
        <v>82</v>
      </c>
      <c r="C461" s="2" t="s">
        <v>20</v>
      </c>
      <c r="D461" s="2">
        <v>3692</v>
      </c>
      <c r="E461" s="2">
        <v>3884</v>
      </c>
      <c r="F461" s="2">
        <v>3576</v>
      </c>
      <c r="G461" s="2">
        <v>3927</v>
      </c>
      <c r="H461" s="2">
        <v>3557</v>
      </c>
      <c r="I461" s="2">
        <v>4023</v>
      </c>
      <c r="J461" s="2">
        <v>3784</v>
      </c>
      <c r="K461" s="2">
        <v>3709</v>
      </c>
      <c r="L461" s="2">
        <v>3740</v>
      </c>
      <c r="M461" s="2">
        <v>4050</v>
      </c>
      <c r="N461" s="2">
        <v>3800</v>
      </c>
      <c r="O461" s="2">
        <v>3953</v>
      </c>
      <c r="P461" s="2">
        <v>45695</v>
      </c>
      <c r="Q461" s="2">
        <v>2</v>
      </c>
      <c r="R461" s="2">
        <v>91390</v>
      </c>
      <c r="S461" s="4">
        <f>SUM($R$2:R461) / SUM($R:$R)</f>
        <v>0.98514332764549517</v>
      </c>
      <c r="T461" s="3" t="str">
        <f t="shared" si="42"/>
        <v>C</v>
      </c>
      <c r="U461" s="2">
        <f t="shared" si="43"/>
        <v>3807.9166666666665</v>
      </c>
      <c r="V461" s="2">
        <f t="shared" si="44"/>
        <v>162.67561606032436</v>
      </c>
      <c r="W461" s="2">
        <f t="shared" si="45"/>
        <v>4.2720371872718946E-2</v>
      </c>
      <c r="X461" s="2" t="str">
        <f t="shared" si="46"/>
        <v>X</v>
      </c>
      <c r="Y461" s="2" t="str">
        <f t="shared" si="47"/>
        <v>CX</v>
      </c>
    </row>
    <row r="462" spans="1:25" x14ac:dyDescent="0.3">
      <c r="A462" s="2" t="s">
        <v>217</v>
      </c>
      <c r="B462" s="2" t="s">
        <v>218</v>
      </c>
      <c r="C462" s="2" t="s">
        <v>20</v>
      </c>
      <c r="D462" s="2">
        <v>3989</v>
      </c>
      <c r="E462" s="2">
        <v>4025</v>
      </c>
      <c r="F462" s="2">
        <v>3564</v>
      </c>
      <c r="G462" s="2">
        <v>4293</v>
      </c>
      <c r="H462" s="2">
        <v>3449</v>
      </c>
      <c r="I462" s="2">
        <v>3661</v>
      </c>
      <c r="J462" s="2">
        <v>3692</v>
      </c>
      <c r="K462" s="2">
        <v>4119</v>
      </c>
      <c r="L462" s="2">
        <v>3358</v>
      </c>
      <c r="M462" s="2">
        <v>3507</v>
      </c>
      <c r="N462" s="2">
        <v>3384</v>
      </c>
      <c r="O462" s="2">
        <v>3915</v>
      </c>
      <c r="P462" s="2">
        <v>44956</v>
      </c>
      <c r="Q462" s="2">
        <v>2</v>
      </c>
      <c r="R462" s="2">
        <v>89912</v>
      </c>
      <c r="S462" s="4">
        <f>SUM($R$2:R462) / SUM($R:$R)</f>
        <v>0.98522717826061457</v>
      </c>
      <c r="T462" s="3" t="str">
        <f t="shared" si="42"/>
        <v>C</v>
      </c>
      <c r="U462" s="2">
        <f t="shared" si="43"/>
        <v>3746.3333333333335</v>
      </c>
      <c r="V462" s="2">
        <f t="shared" si="44"/>
        <v>312.46391306788848</v>
      </c>
      <c r="W462" s="2">
        <f t="shared" si="45"/>
        <v>8.3405261963134206E-2</v>
      </c>
      <c r="X462" s="2" t="str">
        <f t="shared" si="46"/>
        <v>X</v>
      </c>
      <c r="Y462" s="2" t="str">
        <f t="shared" si="47"/>
        <v>CX</v>
      </c>
    </row>
    <row r="463" spans="1:25" x14ac:dyDescent="0.3">
      <c r="A463" s="2" t="s">
        <v>1545</v>
      </c>
      <c r="B463" s="2" t="s">
        <v>1546</v>
      </c>
      <c r="C463" s="2" t="s">
        <v>20</v>
      </c>
      <c r="D463" s="2">
        <v>3603</v>
      </c>
      <c r="E463" s="2">
        <v>3725</v>
      </c>
      <c r="F463" s="2">
        <v>3858</v>
      </c>
      <c r="G463" s="2">
        <v>3724</v>
      </c>
      <c r="H463" s="2">
        <v>3830</v>
      </c>
      <c r="I463" s="2">
        <v>3790</v>
      </c>
      <c r="J463" s="2">
        <v>3494</v>
      </c>
      <c r="K463" s="2">
        <v>3799</v>
      </c>
      <c r="L463" s="2">
        <v>3803</v>
      </c>
      <c r="M463" s="2">
        <v>3715</v>
      </c>
      <c r="N463" s="2">
        <v>3688</v>
      </c>
      <c r="O463" s="2">
        <v>3815</v>
      </c>
      <c r="P463" s="2">
        <v>44844</v>
      </c>
      <c r="Q463" s="2">
        <v>2</v>
      </c>
      <c r="R463" s="2">
        <v>89688</v>
      </c>
      <c r="S463" s="4">
        <f>SUM($R$2:R463) / SUM($R:$R)</f>
        <v>0.98531081997661263</v>
      </c>
      <c r="T463" s="3" t="str">
        <f t="shared" si="42"/>
        <v>C</v>
      </c>
      <c r="U463" s="2">
        <f t="shared" si="43"/>
        <v>3737</v>
      </c>
      <c r="V463" s="2">
        <f t="shared" si="44"/>
        <v>104.70130675575943</v>
      </c>
      <c r="W463" s="2">
        <f t="shared" si="45"/>
        <v>2.8017475717356015E-2</v>
      </c>
      <c r="X463" s="2" t="str">
        <f t="shared" si="46"/>
        <v>X</v>
      </c>
      <c r="Y463" s="2" t="str">
        <f t="shared" si="47"/>
        <v>CX</v>
      </c>
    </row>
    <row r="464" spans="1:25" x14ac:dyDescent="0.3">
      <c r="A464" s="2" t="s">
        <v>1085</v>
      </c>
      <c r="B464" s="2" t="s">
        <v>1086</v>
      </c>
      <c r="C464" s="2" t="s">
        <v>20</v>
      </c>
      <c r="D464" s="2">
        <v>4063</v>
      </c>
      <c r="E464" s="2">
        <v>3774</v>
      </c>
      <c r="F464" s="2">
        <v>3677</v>
      </c>
      <c r="G464" s="2">
        <v>3766</v>
      </c>
      <c r="H464" s="2">
        <v>4129</v>
      </c>
      <c r="I464" s="2">
        <v>3753</v>
      </c>
      <c r="J464" s="2">
        <v>3416</v>
      </c>
      <c r="K464" s="2">
        <v>3283</v>
      </c>
      <c r="L464" s="2">
        <v>3656</v>
      </c>
      <c r="M464" s="2">
        <v>3715</v>
      </c>
      <c r="N464" s="2">
        <v>3582</v>
      </c>
      <c r="O464" s="2">
        <v>3922</v>
      </c>
      <c r="P464" s="2">
        <v>44736</v>
      </c>
      <c r="Q464" s="2">
        <v>2</v>
      </c>
      <c r="R464" s="2">
        <v>89472</v>
      </c>
      <c r="S464" s="4">
        <f>SUM($R$2:R464) / SUM($R:$R)</f>
        <v>0.98539426025417243</v>
      </c>
      <c r="T464" s="3" t="str">
        <f t="shared" si="42"/>
        <v>C</v>
      </c>
      <c r="U464" s="2">
        <f t="shared" si="43"/>
        <v>3728</v>
      </c>
      <c r="V464" s="2">
        <f t="shared" si="44"/>
        <v>241.1121956871757</v>
      </c>
      <c r="W464" s="2">
        <f t="shared" si="45"/>
        <v>6.4676018156431245E-2</v>
      </c>
      <c r="X464" s="2" t="str">
        <f t="shared" si="46"/>
        <v>X</v>
      </c>
      <c r="Y464" s="2" t="str">
        <f t="shared" si="47"/>
        <v>CX</v>
      </c>
    </row>
    <row r="465" spans="1:25" x14ac:dyDescent="0.3">
      <c r="A465" s="2" t="s">
        <v>1253</v>
      </c>
      <c r="B465" s="2" t="s">
        <v>1254</v>
      </c>
      <c r="C465" s="2" t="s">
        <v>25</v>
      </c>
      <c r="D465" s="2">
        <v>799</v>
      </c>
      <c r="E465" s="2">
        <v>631</v>
      </c>
      <c r="F465" s="2">
        <v>747</v>
      </c>
      <c r="G465" s="2">
        <v>764</v>
      </c>
      <c r="H465" s="2">
        <v>568</v>
      </c>
      <c r="I465" s="2">
        <v>829</v>
      </c>
      <c r="J465" s="2">
        <v>636</v>
      </c>
      <c r="K465" s="2">
        <v>886</v>
      </c>
      <c r="L465" s="2">
        <v>778</v>
      </c>
      <c r="M465" s="2">
        <v>708</v>
      </c>
      <c r="N465" s="2">
        <v>774</v>
      </c>
      <c r="O465" s="2">
        <v>766</v>
      </c>
      <c r="P465" s="2">
        <v>8886</v>
      </c>
      <c r="Q465" s="2">
        <v>10</v>
      </c>
      <c r="R465" s="2">
        <v>88860</v>
      </c>
      <c r="S465" s="4">
        <f>SUM($R$2:R465) / SUM($R:$R)</f>
        <v>0.98547712978949031</v>
      </c>
      <c r="T465" s="3" t="str">
        <f t="shared" si="42"/>
        <v>C</v>
      </c>
      <c r="U465" s="2">
        <f t="shared" si="43"/>
        <v>740.5</v>
      </c>
      <c r="V465" s="2">
        <f t="shared" si="44"/>
        <v>90.413695664077153</v>
      </c>
      <c r="W465" s="2">
        <f t="shared" si="45"/>
        <v>0.12209817105209608</v>
      </c>
      <c r="X465" s="2" t="str">
        <f t="shared" si="46"/>
        <v>X</v>
      </c>
      <c r="Y465" s="2" t="str">
        <f t="shared" si="47"/>
        <v>CX</v>
      </c>
    </row>
    <row r="466" spans="1:25" x14ac:dyDescent="0.3">
      <c r="A466" s="2" t="s">
        <v>889</v>
      </c>
      <c r="B466" s="2" t="s">
        <v>890</v>
      </c>
      <c r="C466" s="2" t="s">
        <v>20</v>
      </c>
      <c r="D466" s="2">
        <v>3541</v>
      </c>
      <c r="E466" s="2">
        <v>3714</v>
      </c>
      <c r="F466" s="2">
        <v>3761</v>
      </c>
      <c r="G466" s="2">
        <v>3596</v>
      </c>
      <c r="H466" s="2">
        <v>3785</v>
      </c>
      <c r="I466" s="2">
        <v>3545</v>
      </c>
      <c r="J466" s="2">
        <v>3692</v>
      </c>
      <c r="K466" s="2">
        <v>3575</v>
      </c>
      <c r="L466" s="2">
        <v>4013</v>
      </c>
      <c r="M466" s="2">
        <v>3366</v>
      </c>
      <c r="N466" s="2">
        <v>3941</v>
      </c>
      <c r="O466" s="2">
        <v>3727</v>
      </c>
      <c r="P466" s="2">
        <v>44256</v>
      </c>
      <c r="Q466" s="2">
        <v>2</v>
      </c>
      <c r="R466" s="2">
        <v>88512</v>
      </c>
      <c r="S466" s="4">
        <f>SUM($R$2:R466) / SUM($R:$R)</f>
        <v>0.98555967478510198</v>
      </c>
      <c r="T466" s="3" t="str">
        <f t="shared" si="42"/>
        <v>C</v>
      </c>
      <c r="U466" s="2">
        <f t="shared" si="43"/>
        <v>3688</v>
      </c>
      <c r="V466" s="2">
        <f t="shared" si="44"/>
        <v>179.28139385284291</v>
      </c>
      <c r="W466" s="2">
        <f t="shared" si="45"/>
        <v>4.8612091608688422E-2</v>
      </c>
      <c r="X466" s="2" t="str">
        <f t="shared" si="46"/>
        <v>X</v>
      </c>
      <c r="Y466" s="2" t="str">
        <f t="shared" si="47"/>
        <v>CX</v>
      </c>
    </row>
    <row r="467" spans="1:25" x14ac:dyDescent="0.3">
      <c r="A467" s="2" t="s">
        <v>1603</v>
      </c>
      <c r="B467" s="2" t="s">
        <v>1604</v>
      </c>
      <c r="C467" s="2" t="s">
        <v>41</v>
      </c>
      <c r="D467" s="2">
        <v>166</v>
      </c>
      <c r="E467" s="2">
        <v>154</v>
      </c>
      <c r="F467" s="2">
        <v>138</v>
      </c>
      <c r="G467" s="2">
        <v>155</v>
      </c>
      <c r="H467" s="2">
        <v>130</v>
      </c>
      <c r="I467" s="2">
        <v>138</v>
      </c>
      <c r="J467" s="2">
        <v>153</v>
      </c>
      <c r="K467" s="2">
        <v>127</v>
      </c>
      <c r="L467" s="2">
        <v>158</v>
      </c>
      <c r="M467" s="2">
        <v>136</v>
      </c>
      <c r="N467" s="2">
        <v>154</v>
      </c>
      <c r="O467" s="2">
        <v>138</v>
      </c>
      <c r="P467" s="2">
        <v>1747</v>
      </c>
      <c r="Q467" s="2">
        <v>50</v>
      </c>
      <c r="R467" s="2">
        <v>87350</v>
      </c>
      <c r="S467" s="4">
        <f>SUM($R$2:R467) / SUM($R:$R)</f>
        <v>0.98564113611652249</v>
      </c>
      <c r="T467" s="3" t="str">
        <f t="shared" si="42"/>
        <v>C</v>
      </c>
      <c r="U467" s="2">
        <f t="shared" si="43"/>
        <v>145.58333333333334</v>
      </c>
      <c r="V467" s="2">
        <f t="shared" si="44"/>
        <v>12.464191133244894</v>
      </c>
      <c r="W467" s="2">
        <f t="shared" si="45"/>
        <v>8.5615508642781182E-2</v>
      </c>
      <c r="X467" s="2" t="str">
        <f t="shared" si="46"/>
        <v>X</v>
      </c>
      <c r="Y467" s="2" t="str">
        <f t="shared" si="47"/>
        <v>CX</v>
      </c>
    </row>
    <row r="468" spans="1:25" x14ac:dyDescent="0.3">
      <c r="A468" s="2" t="s">
        <v>1131</v>
      </c>
      <c r="B468" s="2" t="s">
        <v>1132</v>
      </c>
      <c r="C468" s="2" t="s">
        <v>25</v>
      </c>
      <c r="D468" s="2">
        <v>443</v>
      </c>
      <c r="E468" s="2">
        <v>765</v>
      </c>
      <c r="F468" s="2">
        <v>898</v>
      </c>
      <c r="G468" s="2">
        <v>853</v>
      </c>
      <c r="H468" s="2">
        <v>751</v>
      </c>
      <c r="I468" s="2">
        <v>630</v>
      </c>
      <c r="J468" s="2">
        <v>637</v>
      </c>
      <c r="K468" s="2">
        <v>923</v>
      </c>
      <c r="L468" s="2">
        <v>511</v>
      </c>
      <c r="M468" s="2">
        <v>669</v>
      </c>
      <c r="N468" s="2">
        <v>728</v>
      </c>
      <c r="O468" s="2">
        <v>919</v>
      </c>
      <c r="P468" s="2">
        <v>8727</v>
      </c>
      <c r="Q468" s="2">
        <v>10</v>
      </c>
      <c r="R468" s="2">
        <v>87270</v>
      </c>
      <c r="S468" s="4">
        <f>SUM($R$2:R468) / SUM($R:$R)</f>
        <v>0.98572252284111384</v>
      </c>
      <c r="T468" s="3" t="str">
        <f t="shared" si="42"/>
        <v>C</v>
      </c>
      <c r="U468" s="2">
        <f t="shared" si="43"/>
        <v>727.25</v>
      </c>
      <c r="V468" s="2">
        <f t="shared" si="44"/>
        <v>156.84452347931867</v>
      </c>
      <c r="W468" s="2">
        <f t="shared" si="45"/>
        <v>0.21566795940779465</v>
      </c>
      <c r="X468" s="2" t="str">
        <f t="shared" si="46"/>
        <v>Y</v>
      </c>
      <c r="Y468" s="2" t="str">
        <f t="shared" si="47"/>
        <v>CY</v>
      </c>
    </row>
    <row r="469" spans="1:25" x14ac:dyDescent="0.3">
      <c r="A469" s="2" t="s">
        <v>1019</v>
      </c>
      <c r="B469" s="2" t="s">
        <v>1020</v>
      </c>
      <c r="C469" s="2" t="s">
        <v>20</v>
      </c>
      <c r="D469" s="2">
        <v>3679</v>
      </c>
      <c r="E469" s="2">
        <v>3644</v>
      </c>
      <c r="F469" s="2">
        <v>3608</v>
      </c>
      <c r="G469" s="2">
        <v>3730</v>
      </c>
      <c r="H469" s="2">
        <v>3596</v>
      </c>
      <c r="I469" s="2">
        <v>3726</v>
      </c>
      <c r="J469" s="2">
        <v>3564</v>
      </c>
      <c r="K469" s="2">
        <v>3478</v>
      </c>
      <c r="L469" s="2">
        <v>3783</v>
      </c>
      <c r="M469" s="2">
        <v>3767</v>
      </c>
      <c r="N469" s="2">
        <v>3306</v>
      </c>
      <c r="O469" s="2">
        <v>3597</v>
      </c>
      <c r="P469" s="2">
        <v>43478</v>
      </c>
      <c r="Q469" s="2">
        <v>2</v>
      </c>
      <c r="R469" s="2">
        <v>86956</v>
      </c>
      <c r="S469" s="4">
        <f>SUM($R$2:R469) / SUM($R:$R)</f>
        <v>0.98580361673390138</v>
      </c>
      <c r="T469" s="3" t="str">
        <f t="shared" si="42"/>
        <v>C</v>
      </c>
      <c r="U469" s="2">
        <f t="shared" si="43"/>
        <v>3623.1666666666665</v>
      </c>
      <c r="V469" s="2">
        <f t="shared" si="44"/>
        <v>134.36573787670545</v>
      </c>
      <c r="W469" s="2">
        <f t="shared" si="45"/>
        <v>3.7085166164967695E-2</v>
      </c>
      <c r="X469" s="2" t="str">
        <f t="shared" si="46"/>
        <v>X</v>
      </c>
      <c r="Y469" s="2" t="str">
        <f t="shared" si="47"/>
        <v>CX</v>
      </c>
    </row>
    <row r="470" spans="1:25" x14ac:dyDescent="0.3">
      <c r="A470" s="2" t="s">
        <v>511</v>
      </c>
      <c r="B470" s="2" t="s">
        <v>512</v>
      </c>
      <c r="C470" s="2" t="s">
        <v>56</v>
      </c>
      <c r="D470" s="2">
        <v>139</v>
      </c>
      <c r="E470" s="2">
        <v>148</v>
      </c>
      <c r="F470" s="2">
        <v>163</v>
      </c>
      <c r="G470" s="2">
        <v>151</v>
      </c>
      <c r="H470" s="2">
        <v>134</v>
      </c>
      <c r="I470" s="2">
        <v>139</v>
      </c>
      <c r="J470" s="2">
        <v>136</v>
      </c>
      <c r="K470" s="2">
        <v>147</v>
      </c>
      <c r="L470" s="2">
        <v>139</v>
      </c>
      <c r="M470" s="2">
        <v>152</v>
      </c>
      <c r="N470" s="2">
        <v>146</v>
      </c>
      <c r="O470" s="2">
        <v>144</v>
      </c>
      <c r="P470" s="2">
        <v>1738</v>
      </c>
      <c r="Q470" s="2">
        <v>50</v>
      </c>
      <c r="R470" s="2">
        <v>86900</v>
      </c>
      <c r="S470" s="4">
        <f>SUM($R$2:R470) / SUM($R:$R)</f>
        <v>0.98588465840190864</v>
      </c>
      <c r="T470" s="3" t="str">
        <f t="shared" si="42"/>
        <v>C</v>
      </c>
      <c r="U470" s="2">
        <f t="shared" si="43"/>
        <v>144.83333333333334</v>
      </c>
      <c r="V470" s="2">
        <f t="shared" si="44"/>
        <v>8.1668212725006839</v>
      </c>
      <c r="W470" s="2">
        <f t="shared" si="45"/>
        <v>5.638771879747307E-2</v>
      </c>
      <c r="X470" s="2" t="str">
        <f t="shared" si="46"/>
        <v>X</v>
      </c>
      <c r="Y470" s="2" t="str">
        <f t="shared" si="47"/>
        <v>CX</v>
      </c>
    </row>
    <row r="471" spans="1:25" x14ac:dyDescent="0.3">
      <c r="A471" s="2" t="s">
        <v>1619</v>
      </c>
      <c r="B471" s="2" t="s">
        <v>1620</v>
      </c>
      <c r="C471" s="2" t="s">
        <v>56</v>
      </c>
      <c r="D471" s="2">
        <v>132</v>
      </c>
      <c r="E471" s="2">
        <v>167</v>
      </c>
      <c r="F471" s="2">
        <v>141</v>
      </c>
      <c r="G471" s="2">
        <v>139</v>
      </c>
      <c r="H471" s="2">
        <v>130</v>
      </c>
      <c r="I471" s="2">
        <v>146</v>
      </c>
      <c r="J471" s="2">
        <v>143</v>
      </c>
      <c r="K471" s="2">
        <v>162</v>
      </c>
      <c r="L471" s="2">
        <v>152</v>
      </c>
      <c r="M471" s="2">
        <v>149</v>
      </c>
      <c r="N471" s="2">
        <v>153</v>
      </c>
      <c r="O471" s="2">
        <v>121</v>
      </c>
      <c r="P471" s="2">
        <v>1735</v>
      </c>
      <c r="Q471" s="2">
        <v>50</v>
      </c>
      <c r="R471" s="2">
        <v>86750</v>
      </c>
      <c r="S471" s="4">
        <f>SUM($R$2:R471) / SUM($R:$R)</f>
        <v>0.98596556018211157</v>
      </c>
      <c r="T471" s="3" t="str">
        <f t="shared" si="42"/>
        <v>C</v>
      </c>
      <c r="U471" s="2">
        <f t="shared" si="43"/>
        <v>144.58333333333334</v>
      </c>
      <c r="V471" s="2">
        <f t="shared" si="44"/>
        <v>13.235340661435293</v>
      </c>
      <c r="W471" s="2">
        <f t="shared" si="45"/>
        <v>9.1541261058918452E-2</v>
      </c>
      <c r="X471" s="2" t="str">
        <f t="shared" si="46"/>
        <v>X</v>
      </c>
      <c r="Y471" s="2" t="str">
        <f t="shared" si="47"/>
        <v>CX</v>
      </c>
    </row>
    <row r="472" spans="1:25" x14ac:dyDescent="0.3">
      <c r="A472" s="2" t="s">
        <v>1887</v>
      </c>
      <c r="B472" s="2" t="s">
        <v>1888</v>
      </c>
      <c r="C472" s="2" t="s">
        <v>20</v>
      </c>
      <c r="D472" s="2">
        <v>3478</v>
      </c>
      <c r="E472" s="2">
        <v>3299</v>
      </c>
      <c r="F472" s="2">
        <v>3730</v>
      </c>
      <c r="G472" s="2">
        <v>3638</v>
      </c>
      <c r="H472" s="2">
        <v>3239</v>
      </c>
      <c r="I472" s="2">
        <v>3410</v>
      </c>
      <c r="J472" s="2">
        <v>3535</v>
      </c>
      <c r="K472" s="2">
        <v>3519</v>
      </c>
      <c r="L472" s="2">
        <v>3571</v>
      </c>
      <c r="M472" s="2">
        <v>3603</v>
      </c>
      <c r="N472" s="2">
        <v>3756</v>
      </c>
      <c r="O472" s="2">
        <v>3631</v>
      </c>
      <c r="P472" s="2">
        <v>42409</v>
      </c>
      <c r="Q472" s="2">
        <v>2</v>
      </c>
      <c r="R472" s="2">
        <v>84818</v>
      </c>
      <c r="S472" s="4">
        <f>SUM($R$2:R472) / SUM($R:$R)</f>
        <v>0.9860446602073939</v>
      </c>
      <c r="T472" s="3" t="str">
        <f t="shared" si="42"/>
        <v>C</v>
      </c>
      <c r="U472" s="2">
        <f t="shared" si="43"/>
        <v>3534.0833333333335</v>
      </c>
      <c r="V472" s="2">
        <f t="shared" si="44"/>
        <v>158.12622020130473</v>
      </c>
      <c r="W472" s="2">
        <f t="shared" si="45"/>
        <v>4.4743206451829956E-2</v>
      </c>
      <c r="X472" s="2" t="str">
        <f t="shared" si="46"/>
        <v>X</v>
      </c>
      <c r="Y472" s="2" t="str">
        <f t="shared" si="47"/>
        <v>CX</v>
      </c>
    </row>
    <row r="473" spans="1:25" x14ac:dyDescent="0.3">
      <c r="A473" s="2" t="s">
        <v>1585</v>
      </c>
      <c r="B473" s="2" t="s">
        <v>1586</v>
      </c>
      <c r="C473" s="2" t="s">
        <v>20</v>
      </c>
      <c r="D473" s="2">
        <v>3386</v>
      </c>
      <c r="E473" s="2">
        <v>3612</v>
      </c>
      <c r="F473" s="2">
        <v>3469</v>
      </c>
      <c r="G473" s="2">
        <v>3449</v>
      </c>
      <c r="H473" s="2">
        <v>3672</v>
      </c>
      <c r="I473" s="2">
        <v>3444</v>
      </c>
      <c r="J473" s="2">
        <v>3506</v>
      </c>
      <c r="K473" s="2">
        <v>3777</v>
      </c>
      <c r="L473" s="2">
        <v>3394</v>
      </c>
      <c r="M473" s="2">
        <v>3715</v>
      </c>
      <c r="N473" s="2">
        <v>3230</v>
      </c>
      <c r="O473" s="2">
        <v>3689</v>
      </c>
      <c r="P473" s="2">
        <v>42343</v>
      </c>
      <c r="Q473" s="2">
        <v>2</v>
      </c>
      <c r="R473" s="2">
        <v>84686</v>
      </c>
      <c r="S473" s="4">
        <f>SUM($R$2:R473) / SUM($R:$R)</f>
        <v>0.98612363713140849</v>
      </c>
      <c r="T473" s="3" t="str">
        <f t="shared" si="42"/>
        <v>C</v>
      </c>
      <c r="U473" s="2">
        <f t="shared" si="43"/>
        <v>3528.5833333333335</v>
      </c>
      <c r="V473" s="2">
        <f t="shared" si="44"/>
        <v>163.72507906594981</v>
      </c>
      <c r="W473" s="2">
        <f t="shared" si="45"/>
        <v>4.6399663434130732E-2</v>
      </c>
      <c r="X473" s="2" t="str">
        <f t="shared" si="46"/>
        <v>X</v>
      </c>
      <c r="Y473" s="2" t="str">
        <f t="shared" si="47"/>
        <v>CX</v>
      </c>
    </row>
    <row r="474" spans="1:25" x14ac:dyDescent="0.3">
      <c r="A474" s="2" t="s">
        <v>1881</v>
      </c>
      <c r="B474" s="2" t="s">
        <v>1882</v>
      </c>
      <c r="C474" s="2" t="s">
        <v>20</v>
      </c>
      <c r="D474" s="2">
        <v>3408</v>
      </c>
      <c r="E474" s="2">
        <v>3411</v>
      </c>
      <c r="F474" s="2">
        <v>3482</v>
      </c>
      <c r="G474" s="2">
        <v>3800</v>
      </c>
      <c r="H474" s="2">
        <v>3395</v>
      </c>
      <c r="I474" s="2">
        <v>3326</v>
      </c>
      <c r="J474" s="2">
        <v>3520</v>
      </c>
      <c r="K474" s="2">
        <v>3781</v>
      </c>
      <c r="L474" s="2">
        <v>3844</v>
      </c>
      <c r="M474" s="2">
        <v>3320</v>
      </c>
      <c r="N474" s="2">
        <v>3705</v>
      </c>
      <c r="O474" s="2">
        <v>3249</v>
      </c>
      <c r="P474" s="2">
        <v>42241</v>
      </c>
      <c r="Q474" s="2">
        <v>2</v>
      </c>
      <c r="R474" s="2">
        <v>84482</v>
      </c>
      <c r="S474" s="4">
        <f>SUM($R$2:R474) / SUM($R:$R)</f>
        <v>0.98620242380800904</v>
      </c>
      <c r="T474" s="3" t="str">
        <f t="shared" si="42"/>
        <v>C</v>
      </c>
      <c r="U474" s="2">
        <f t="shared" si="43"/>
        <v>3520.0833333333335</v>
      </c>
      <c r="V474" s="2">
        <f t="shared" si="44"/>
        <v>208.52139996274784</v>
      </c>
      <c r="W474" s="2">
        <f t="shared" si="45"/>
        <v>5.9237631674273192E-2</v>
      </c>
      <c r="X474" s="2" t="str">
        <f t="shared" si="46"/>
        <v>X</v>
      </c>
      <c r="Y474" s="2" t="str">
        <f t="shared" si="47"/>
        <v>CX</v>
      </c>
    </row>
    <row r="475" spans="1:25" x14ac:dyDescent="0.3">
      <c r="A475" s="2" t="s">
        <v>1189</v>
      </c>
      <c r="B475" s="2" t="s">
        <v>1190</v>
      </c>
      <c r="C475" s="2" t="s">
        <v>20</v>
      </c>
      <c r="D475" s="2">
        <v>3630</v>
      </c>
      <c r="E475" s="2">
        <v>3725</v>
      </c>
      <c r="F475" s="2">
        <v>3664</v>
      </c>
      <c r="G475" s="2">
        <v>3434</v>
      </c>
      <c r="H475" s="2">
        <v>3231</v>
      </c>
      <c r="I475" s="2">
        <v>3643</v>
      </c>
      <c r="J475" s="2">
        <v>3445</v>
      </c>
      <c r="K475" s="2">
        <v>3724</v>
      </c>
      <c r="L475" s="2">
        <v>3205</v>
      </c>
      <c r="M475" s="2">
        <v>3332</v>
      </c>
      <c r="N475" s="2">
        <v>3619</v>
      </c>
      <c r="O475" s="2">
        <v>3328</v>
      </c>
      <c r="P475" s="2">
        <v>41980</v>
      </c>
      <c r="Q475" s="2">
        <v>2</v>
      </c>
      <c r="R475" s="2">
        <v>83960</v>
      </c>
      <c r="S475" s="4">
        <f>SUM($R$2:R475) / SUM($R:$R)</f>
        <v>0.98628072367505037</v>
      </c>
      <c r="T475" s="3" t="str">
        <f t="shared" si="42"/>
        <v>C</v>
      </c>
      <c r="U475" s="2">
        <f t="shared" si="43"/>
        <v>3498.3333333333335</v>
      </c>
      <c r="V475" s="2">
        <f t="shared" si="44"/>
        <v>191.58398743742714</v>
      </c>
      <c r="W475" s="2">
        <f t="shared" si="45"/>
        <v>5.4764360391832433E-2</v>
      </c>
      <c r="X475" s="2" t="str">
        <f t="shared" si="46"/>
        <v>X</v>
      </c>
      <c r="Y475" s="2" t="str">
        <f t="shared" si="47"/>
        <v>CX</v>
      </c>
    </row>
    <row r="476" spans="1:25" x14ac:dyDescent="0.3">
      <c r="A476" s="2" t="s">
        <v>1559</v>
      </c>
      <c r="B476" s="2" t="s">
        <v>1560</v>
      </c>
      <c r="C476" s="2" t="s">
        <v>25</v>
      </c>
      <c r="D476" s="2">
        <v>836</v>
      </c>
      <c r="E476" s="2">
        <v>508</v>
      </c>
      <c r="F476" s="2">
        <v>950</v>
      </c>
      <c r="G476" s="2">
        <v>918</v>
      </c>
      <c r="H476" s="2">
        <v>368</v>
      </c>
      <c r="I476" s="2">
        <v>885</v>
      </c>
      <c r="J476" s="2">
        <v>555</v>
      </c>
      <c r="K476" s="2">
        <v>628</v>
      </c>
      <c r="L476" s="2">
        <v>469</v>
      </c>
      <c r="M476" s="2">
        <v>882</v>
      </c>
      <c r="N476" s="2">
        <v>898</v>
      </c>
      <c r="O476" s="2">
        <v>433</v>
      </c>
      <c r="P476" s="2">
        <v>8330</v>
      </c>
      <c r="Q476" s="2">
        <v>10</v>
      </c>
      <c r="R476" s="2">
        <v>83300</v>
      </c>
      <c r="S476" s="4">
        <f>SUM($R$2:R476) / SUM($R:$R)</f>
        <v>0.98635840803575237</v>
      </c>
      <c r="T476" s="3" t="str">
        <f t="shared" si="42"/>
        <v>C</v>
      </c>
      <c r="U476" s="2">
        <f t="shared" si="43"/>
        <v>694.16666666666663</v>
      </c>
      <c r="V476" s="2">
        <f t="shared" si="44"/>
        <v>220.0437284365143</v>
      </c>
      <c r="W476" s="2">
        <f t="shared" si="45"/>
        <v>0.3169897648545224</v>
      </c>
      <c r="X476" s="2" t="str">
        <f t="shared" si="46"/>
        <v>Y</v>
      </c>
      <c r="Y476" s="2" t="str">
        <f t="shared" si="47"/>
        <v>CY</v>
      </c>
    </row>
    <row r="477" spans="1:25" x14ac:dyDescent="0.3">
      <c r="A477" s="2" t="s">
        <v>44</v>
      </c>
      <c r="B477" s="2" t="s">
        <v>45</v>
      </c>
      <c r="C477" s="2" t="s">
        <v>20</v>
      </c>
      <c r="D477" s="2">
        <v>3415</v>
      </c>
      <c r="E477" s="2">
        <v>3194</v>
      </c>
      <c r="F477" s="2">
        <v>3363</v>
      </c>
      <c r="G477" s="2">
        <v>3188</v>
      </c>
      <c r="H477" s="2">
        <v>3503</v>
      </c>
      <c r="I477" s="2">
        <v>3828</v>
      </c>
      <c r="J477" s="2">
        <v>3294</v>
      </c>
      <c r="K477" s="2">
        <v>3647</v>
      </c>
      <c r="L477" s="2">
        <v>3538</v>
      </c>
      <c r="M477" s="2">
        <v>3663</v>
      </c>
      <c r="N477" s="2">
        <v>3585</v>
      </c>
      <c r="O477" s="2">
        <v>3352</v>
      </c>
      <c r="P477" s="2">
        <v>41570</v>
      </c>
      <c r="Q477" s="2">
        <v>2</v>
      </c>
      <c r="R477" s="2">
        <v>83140</v>
      </c>
      <c r="S477" s="4">
        <f>SUM($R$2:R477) / SUM($R:$R)</f>
        <v>0.98643594318279637</v>
      </c>
      <c r="T477" s="3" t="str">
        <f t="shared" si="42"/>
        <v>C</v>
      </c>
      <c r="U477" s="2">
        <f t="shared" si="43"/>
        <v>3464.1666666666665</v>
      </c>
      <c r="V477" s="2">
        <f t="shared" si="44"/>
        <v>197.79366353180612</v>
      </c>
      <c r="W477" s="2">
        <f t="shared" si="45"/>
        <v>5.709704023049491E-2</v>
      </c>
      <c r="X477" s="2" t="str">
        <f t="shared" si="46"/>
        <v>X</v>
      </c>
      <c r="Y477" s="2" t="str">
        <f t="shared" si="47"/>
        <v>CX</v>
      </c>
    </row>
    <row r="478" spans="1:25" x14ac:dyDescent="0.3">
      <c r="A478" s="2" t="s">
        <v>1945</v>
      </c>
      <c r="B478" s="2" t="s">
        <v>1946</v>
      </c>
      <c r="C478" s="2" t="s">
        <v>20</v>
      </c>
      <c r="D478" s="2">
        <v>3610</v>
      </c>
      <c r="E478" s="2">
        <v>3346</v>
      </c>
      <c r="F478" s="2">
        <v>3254</v>
      </c>
      <c r="G478" s="2">
        <v>3142</v>
      </c>
      <c r="H478" s="2">
        <v>3792</v>
      </c>
      <c r="I478" s="2">
        <v>3388</v>
      </c>
      <c r="J478" s="2">
        <v>3602</v>
      </c>
      <c r="K478" s="2">
        <v>3464</v>
      </c>
      <c r="L478" s="2">
        <v>3374</v>
      </c>
      <c r="M478" s="2">
        <v>3412</v>
      </c>
      <c r="N478" s="2">
        <v>3754</v>
      </c>
      <c r="O478" s="2">
        <v>3214</v>
      </c>
      <c r="P478" s="2">
        <v>41352</v>
      </c>
      <c r="Q478" s="2">
        <v>2</v>
      </c>
      <c r="R478" s="2">
        <v>82704</v>
      </c>
      <c r="S478" s="4">
        <f>SUM($R$2:R478) / SUM($R:$R)</f>
        <v>0.98651307172262226</v>
      </c>
      <c r="T478" s="3" t="str">
        <f t="shared" si="42"/>
        <v>C</v>
      </c>
      <c r="U478" s="2">
        <f t="shared" si="43"/>
        <v>3446</v>
      </c>
      <c r="V478" s="2">
        <f t="shared" si="44"/>
        <v>206.47341893636752</v>
      </c>
      <c r="W478" s="2">
        <f t="shared" si="45"/>
        <v>5.9916836603705025E-2</v>
      </c>
      <c r="X478" s="2" t="str">
        <f t="shared" si="46"/>
        <v>X</v>
      </c>
      <c r="Y478" s="2" t="str">
        <f t="shared" si="47"/>
        <v>CX</v>
      </c>
    </row>
    <row r="479" spans="1:25" x14ac:dyDescent="0.3">
      <c r="A479" s="2" t="s">
        <v>1751</v>
      </c>
      <c r="B479" s="2" t="s">
        <v>1752</v>
      </c>
      <c r="C479" s="2" t="s">
        <v>20</v>
      </c>
      <c r="D479" s="2">
        <v>3437</v>
      </c>
      <c r="E479" s="2">
        <v>3613</v>
      </c>
      <c r="F479" s="2">
        <v>3472</v>
      </c>
      <c r="G479" s="2">
        <v>3465</v>
      </c>
      <c r="H479" s="2">
        <v>3255</v>
      </c>
      <c r="I479" s="2">
        <v>3560</v>
      </c>
      <c r="J479" s="2">
        <v>3205</v>
      </c>
      <c r="K479" s="2">
        <v>3310</v>
      </c>
      <c r="L479" s="2">
        <v>3546</v>
      </c>
      <c r="M479" s="2">
        <v>3626</v>
      </c>
      <c r="N479" s="2">
        <v>3535</v>
      </c>
      <c r="O479" s="2">
        <v>3318</v>
      </c>
      <c r="P479" s="2">
        <v>41342</v>
      </c>
      <c r="Q479" s="2">
        <v>2</v>
      </c>
      <c r="R479" s="2">
        <v>82684</v>
      </c>
      <c r="S479" s="4">
        <f>SUM($R$2:R479) / SUM($R:$R)</f>
        <v>0.98659018161074097</v>
      </c>
      <c r="T479" s="3" t="str">
        <f t="shared" si="42"/>
        <v>C</v>
      </c>
      <c r="U479" s="2">
        <f t="shared" si="43"/>
        <v>3445.1666666666665</v>
      </c>
      <c r="V479" s="2">
        <f t="shared" si="44"/>
        <v>141.98516781265528</v>
      </c>
      <c r="W479" s="2">
        <f t="shared" si="45"/>
        <v>4.1212858926802369E-2</v>
      </c>
      <c r="X479" s="2" t="str">
        <f t="shared" si="46"/>
        <v>X</v>
      </c>
      <c r="Y479" s="2" t="str">
        <f t="shared" si="47"/>
        <v>CX</v>
      </c>
    </row>
    <row r="480" spans="1:25" x14ac:dyDescent="0.3">
      <c r="A480" s="2" t="s">
        <v>463</v>
      </c>
      <c r="B480" s="2" t="s">
        <v>464</v>
      </c>
      <c r="C480" s="2" t="s">
        <v>36</v>
      </c>
      <c r="D480" s="2">
        <v>71</v>
      </c>
      <c r="E480" s="2">
        <v>63</v>
      </c>
      <c r="F480" s="2">
        <v>74</v>
      </c>
      <c r="G480" s="2">
        <v>70</v>
      </c>
      <c r="H480" s="2">
        <v>73</v>
      </c>
      <c r="I480" s="2">
        <v>60</v>
      </c>
      <c r="J480" s="2">
        <v>63</v>
      </c>
      <c r="K480" s="2">
        <v>55</v>
      </c>
      <c r="L480" s="2">
        <v>64</v>
      </c>
      <c r="M480" s="2">
        <v>70</v>
      </c>
      <c r="N480" s="2">
        <v>77</v>
      </c>
      <c r="O480" s="2">
        <v>84</v>
      </c>
      <c r="P480" s="2">
        <v>824</v>
      </c>
      <c r="Q480" s="2">
        <v>100</v>
      </c>
      <c r="R480" s="2">
        <v>82400</v>
      </c>
      <c r="S480" s="4">
        <f>SUM($R$2:R480) / SUM($R:$R)</f>
        <v>0.98666702664461658</v>
      </c>
      <c r="T480" s="3" t="str">
        <f t="shared" si="42"/>
        <v>C</v>
      </c>
      <c r="U480" s="2">
        <f t="shared" si="43"/>
        <v>68.666666666666671</v>
      </c>
      <c r="V480" s="2">
        <f t="shared" si="44"/>
        <v>8.0264713557230252</v>
      </c>
      <c r="W480" s="2">
        <f t="shared" si="45"/>
        <v>0.11689035954936444</v>
      </c>
      <c r="X480" s="2" t="str">
        <f t="shared" si="46"/>
        <v>X</v>
      </c>
      <c r="Y480" s="2" t="str">
        <f t="shared" si="47"/>
        <v>CX</v>
      </c>
    </row>
    <row r="481" spans="1:25" x14ac:dyDescent="0.3">
      <c r="A481" s="2" t="s">
        <v>1739</v>
      </c>
      <c r="B481" s="2" t="s">
        <v>1740</v>
      </c>
      <c r="C481" s="2" t="s">
        <v>20</v>
      </c>
      <c r="D481" s="2">
        <v>3365</v>
      </c>
      <c r="E481" s="2">
        <v>3849</v>
      </c>
      <c r="F481" s="2">
        <v>3310</v>
      </c>
      <c r="G481" s="2">
        <v>3453</v>
      </c>
      <c r="H481" s="2">
        <v>3451</v>
      </c>
      <c r="I481" s="2">
        <v>3678</v>
      </c>
      <c r="J481" s="2">
        <v>3305</v>
      </c>
      <c r="K481" s="2">
        <v>3181</v>
      </c>
      <c r="L481" s="2">
        <v>3605</v>
      </c>
      <c r="M481" s="2">
        <v>3007</v>
      </c>
      <c r="N481" s="2">
        <v>3505</v>
      </c>
      <c r="O481" s="2">
        <v>3457</v>
      </c>
      <c r="P481" s="2">
        <v>41166</v>
      </c>
      <c r="Q481" s="2">
        <v>2</v>
      </c>
      <c r="R481" s="2">
        <v>82332</v>
      </c>
      <c r="S481" s="4">
        <f>SUM($R$2:R481) / SUM($R:$R)</f>
        <v>0.9867438082626877</v>
      </c>
      <c r="T481" s="3" t="str">
        <f t="shared" si="42"/>
        <v>C</v>
      </c>
      <c r="U481" s="2">
        <f t="shared" si="43"/>
        <v>3430.5</v>
      </c>
      <c r="V481" s="2">
        <f t="shared" si="44"/>
        <v>223.64562065098355</v>
      </c>
      <c r="W481" s="2">
        <f t="shared" si="45"/>
        <v>6.5193301457800182E-2</v>
      </c>
      <c r="X481" s="2" t="str">
        <f t="shared" si="46"/>
        <v>X</v>
      </c>
      <c r="Y481" s="2" t="str">
        <f t="shared" si="47"/>
        <v>CX</v>
      </c>
    </row>
    <row r="482" spans="1:25" x14ac:dyDescent="0.3">
      <c r="A482" s="2" t="s">
        <v>1419</v>
      </c>
      <c r="B482" s="2" t="s">
        <v>1420</v>
      </c>
      <c r="C482" s="2" t="s">
        <v>20</v>
      </c>
      <c r="D482" s="2">
        <v>3267</v>
      </c>
      <c r="E482" s="2">
        <v>3272</v>
      </c>
      <c r="F482" s="2">
        <v>3474</v>
      </c>
      <c r="G482" s="2">
        <v>3649</v>
      </c>
      <c r="H482" s="2">
        <v>3448</v>
      </c>
      <c r="I482" s="2">
        <v>3535</v>
      </c>
      <c r="J482" s="2">
        <v>3669</v>
      </c>
      <c r="K482" s="2">
        <v>3448</v>
      </c>
      <c r="L482" s="2">
        <v>3442</v>
      </c>
      <c r="M482" s="2">
        <v>3210</v>
      </c>
      <c r="N482" s="2">
        <v>3516</v>
      </c>
      <c r="O482" s="2">
        <v>3174</v>
      </c>
      <c r="P482" s="2">
        <v>41104</v>
      </c>
      <c r="Q482" s="2">
        <v>2</v>
      </c>
      <c r="R482" s="2">
        <v>82208</v>
      </c>
      <c r="S482" s="4">
        <f>SUM($R$2:R482) / SUM($R:$R)</f>
        <v>0.98682047424017372</v>
      </c>
      <c r="T482" s="3" t="str">
        <f t="shared" si="42"/>
        <v>C</v>
      </c>
      <c r="U482" s="2">
        <f t="shared" si="43"/>
        <v>3425.3333333333335</v>
      </c>
      <c r="V482" s="2">
        <f t="shared" si="44"/>
        <v>162.77107925680238</v>
      </c>
      <c r="W482" s="2">
        <f t="shared" si="45"/>
        <v>4.751977790681268E-2</v>
      </c>
      <c r="X482" s="2" t="str">
        <f t="shared" si="46"/>
        <v>X</v>
      </c>
      <c r="Y482" s="2" t="str">
        <f t="shared" si="47"/>
        <v>CX</v>
      </c>
    </row>
    <row r="483" spans="1:25" x14ac:dyDescent="0.3">
      <c r="A483" s="2" t="s">
        <v>1787</v>
      </c>
      <c r="B483" s="2" t="s">
        <v>1788</v>
      </c>
      <c r="C483" s="2" t="s">
        <v>20</v>
      </c>
      <c r="D483" s="2">
        <v>3358</v>
      </c>
      <c r="E483" s="2">
        <v>3612</v>
      </c>
      <c r="F483" s="2">
        <v>3371</v>
      </c>
      <c r="G483" s="2">
        <v>3579</v>
      </c>
      <c r="H483" s="2">
        <v>3418</v>
      </c>
      <c r="I483" s="2">
        <v>3414</v>
      </c>
      <c r="J483" s="2">
        <v>3262</v>
      </c>
      <c r="K483" s="2">
        <v>3595</v>
      </c>
      <c r="L483" s="2">
        <v>3434</v>
      </c>
      <c r="M483" s="2">
        <v>3358</v>
      </c>
      <c r="N483" s="2">
        <v>3225</v>
      </c>
      <c r="O483" s="2">
        <v>3426</v>
      </c>
      <c r="P483" s="2">
        <v>41052</v>
      </c>
      <c r="Q483" s="2">
        <v>2</v>
      </c>
      <c r="R483" s="2">
        <v>82104</v>
      </c>
      <c r="S483" s="4">
        <f>SUM($R$2:R483) / SUM($R:$R)</f>
        <v>0.98689704322878213</v>
      </c>
      <c r="T483" s="3" t="str">
        <f t="shared" si="42"/>
        <v>C</v>
      </c>
      <c r="U483" s="2">
        <f t="shared" si="43"/>
        <v>3421</v>
      </c>
      <c r="V483" s="2">
        <f t="shared" si="44"/>
        <v>122.88501646957319</v>
      </c>
      <c r="W483" s="2">
        <f t="shared" si="45"/>
        <v>3.5920788210924641E-2</v>
      </c>
      <c r="X483" s="2" t="str">
        <f t="shared" si="46"/>
        <v>X</v>
      </c>
      <c r="Y483" s="2" t="str">
        <f t="shared" si="47"/>
        <v>CX</v>
      </c>
    </row>
    <row r="484" spans="1:25" x14ac:dyDescent="0.3">
      <c r="A484" s="2" t="s">
        <v>821</v>
      </c>
      <c r="B484" s="2" t="s">
        <v>822</v>
      </c>
      <c r="C484" s="2" t="s">
        <v>20</v>
      </c>
      <c r="D484" s="2">
        <v>3397</v>
      </c>
      <c r="E484" s="2">
        <v>3792</v>
      </c>
      <c r="F484" s="2">
        <v>3147</v>
      </c>
      <c r="G484" s="2">
        <v>3506</v>
      </c>
      <c r="H484" s="2">
        <v>3228</v>
      </c>
      <c r="I484" s="2">
        <v>3406</v>
      </c>
      <c r="J484" s="2">
        <v>3324</v>
      </c>
      <c r="K484" s="2">
        <v>3234</v>
      </c>
      <c r="L484" s="2">
        <v>3396</v>
      </c>
      <c r="M484" s="2">
        <v>3256</v>
      </c>
      <c r="N484" s="2">
        <v>3652</v>
      </c>
      <c r="O484" s="2">
        <v>3467</v>
      </c>
      <c r="P484" s="2">
        <v>40805</v>
      </c>
      <c r="Q484" s="2">
        <v>2</v>
      </c>
      <c r="R484" s="2">
        <v>81610</v>
      </c>
      <c r="S484" s="4">
        <f>SUM($R$2:R484) / SUM($R:$R)</f>
        <v>0.98697315152022136</v>
      </c>
      <c r="T484" s="3" t="str">
        <f t="shared" si="42"/>
        <v>C</v>
      </c>
      <c r="U484" s="2">
        <f t="shared" si="43"/>
        <v>3400.4166666666665</v>
      </c>
      <c r="V484" s="2">
        <f t="shared" si="44"/>
        <v>186.01390873379401</v>
      </c>
      <c r="W484" s="2">
        <f t="shared" si="45"/>
        <v>5.4703269324973124E-2</v>
      </c>
      <c r="X484" s="2" t="str">
        <f t="shared" si="46"/>
        <v>X</v>
      </c>
      <c r="Y484" s="2" t="str">
        <f t="shared" si="47"/>
        <v>CX</v>
      </c>
    </row>
    <row r="485" spans="1:25" x14ac:dyDescent="0.3">
      <c r="A485" s="2" t="s">
        <v>655</v>
      </c>
      <c r="B485" s="2" t="s">
        <v>656</v>
      </c>
      <c r="C485" s="2" t="s">
        <v>36</v>
      </c>
      <c r="D485" s="2">
        <v>74</v>
      </c>
      <c r="E485" s="2">
        <v>71</v>
      </c>
      <c r="F485" s="2">
        <v>67</v>
      </c>
      <c r="G485" s="2">
        <v>61</v>
      </c>
      <c r="H485" s="2">
        <v>64</v>
      </c>
      <c r="I485" s="2">
        <v>67</v>
      </c>
      <c r="J485" s="2">
        <v>71</v>
      </c>
      <c r="K485" s="2">
        <v>55</v>
      </c>
      <c r="L485" s="2">
        <v>73</v>
      </c>
      <c r="M485" s="2">
        <v>74</v>
      </c>
      <c r="N485" s="2">
        <v>67</v>
      </c>
      <c r="O485" s="2">
        <v>71</v>
      </c>
      <c r="P485" s="2">
        <v>815</v>
      </c>
      <c r="Q485" s="2">
        <v>100</v>
      </c>
      <c r="R485" s="2">
        <v>81500</v>
      </c>
      <c r="S485" s="4">
        <f>SUM($R$2:R485) / SUM($R:$R)</f>
        <v>0.98704915722727082</v>
      </c>
      <c r="T485" s="3" t="str">
        <f t="shared" si="42"/>
        <v>C</v>
      </c>
      <c r="U485" s="2">
        <f t="shared" si="43"/>
        <v>67.916666666666671</v>
      </c>
      <c r="V485" s="2">
        <f t="shared" si="44"/>
        <v>5.7280542997256978</v>
      </c>
      <c r="W485" s="2">
        <f t="shared" si="45"/>
        <v>8.4339449811912104E-2</v>
      </c>
      <c r="X485" s="2" t="str">
        <f t="shared" si="46"/>
        <v>X</v>
      </c>
      <c r="Y485" s="2" t="str">
        <f t="shared" si="47"/>
        <v>CX</v>
      </c>
    </row>
    <row r="486" spans="1:25" x14ac:dyDescent="0.3">
      <c r="A486" s="2" t="s">
        <v>1279</v>
      </c>
      <c r="B486" s="2" t="s">
        <v>1280</v>
      </c>
      <c r="C486" s="2" t="s">
        <v>25</v>
      </c>
      <c r="D486" s="2">
        <v>398</v>
      </c>
      <c r="E486" s="2">
        <v>66</v>
      </c>
      <c r="F486" s="2">
        <v>18</v>
      </c>
      <c r="G486" s="2">
        <v>14</v>
      </c>
      <c r="H486" s="2">
        <v>132</v>
      </c>
      <c r="I486" s="2">
        <v>192</v>
      </c>
      <c r="J486" s="2">
        <v>114</v>
      </c>
      <c r="K486" s="2">
        <v>133</v>
      </c>
      <c r="L486" s="2">
        <v>115</v>
      </c>
      <c r="M486" s="2">
        <v>11</v>
      </c>
      <c r="N486" s="2">
        <v>327</v>
      </c>
      <c r="O486" s="2">
        <v>102</v>
      </c>
      <c r="P486" s="2">
        <v>1622</v>
      </c>
      <c r="Q486" s="2">
        <v>50</v>
      </c>
      <c r="R486" s="2">
        <v>81100</v>
      </c>
      <c r="S486" s="4">
        <f>SUM($R$2:R486) / SUM($R:$R)</f>
        <v>0.98712478990017516</v>
      </c>
      <c r="T486" s="3" t="str">
        <f t="shared" si="42"/>
        <v>C</v>
      </c>
      <c r="U486" s="2">
        <f t="shared" si="43"/>
        <v>135.16666666666666</v>
      </c>
      <c r="V486" s="2">
        <f t="shared" si="44"/>
        <v>120.48827429432393</v>
      </c>
      <c r="W486" s="2">
        <f t="shared" si="45"/>
        <v>0.89140523522311177</v>
      </c>
      <c r="X486" s="2" t="str">
        <f t="shared" si="46"/>
        <v>Z</v>
      </c>
      <c r="Y486" s="2" t="str">
        <f t="shared" si="47"/>
        <v>CZ</v>
      </c>
    </row>
    <row r="487" spans="1:25" x14ac:dyDescent="0.3">
      <c r="A487" s="2" t="s">
        <v>1769</v>
      </c>
      <c r="B487" s="2" t="s">
        <v>1770</v>
      </c>
      <c r="C487" s="2" t="s">
        <v>25</v>
      </c>
      <c r="D487" s="2">
        <v>153</v>
      </c>
      <c r="E487" s="2">
        <v>87</v>
      </c>
      <c r="F487" s="2">
        <v>2</v>
      </c>
      <c r="G487" s="2">
        <v>124</v>
      </c>
      <c r="H487" s="2">
        <v>184</v>
      </c>
      <c r="I487" s="2">
        <v>86</v>
      </c>
      <c r="J487" s="2">
        <v>371</v>
      </c>
      <c r="K487" s="2">
        <v>29</v>
      </c>
      <c r="L487" s="2">
        <v>403</v>
      </c>
      <c r="M487" s="2">
        <v>22</v>
      </c>
      <c r="N487" s="2">
        <v>127</v>
      </c>
      <c r="O487" s="2">
        <v>4</v>
      </c>
      <c r="P487" s="2">
        <v>1592</v>
      </c>
      <c r="Q487" s="2">
        <v>50</v>
      </c>
      <c r="R487" s="2">
        <v>79600</v>
      </c>
      <c r="S487" s="4">
        <f>SUM($R$2:R487) / SUM($R:$R)</f>
        <v>0.98719902369503565</v>
      </c>
      <c r="T487" s="3" t="str">
        <f t="shared" si="42"/>
        <v>C</v>
      </c>
      <c r="U487" s="2">
        <f t="shared" si="43"/>
        <v>132.66666666666666</v>
      </c>
      <c r="V487" s="2">
        <f t="shared" si="44"/>
        <v>132.77618442896735</v>
      </c>
      <c r="W487" s="2">
        <f t="shared" si="45"/>
        <v>1.0008255107711108</v>
      </c>
      <c r="X487" s="2" t="str">
        <f t="shared" si="46"/>
        <v>Z</v>
      </c>
      <c r="Y487" s="2" t="str">
        <f t="shared" si="47"/>
        <v>CZ</v>
      </c>
    </row>
    <row r="488" spans="1:25" x14ac:dyDescent="0.3">
      <c r="A488" s="2" t="s">
        <v>1641</v>
      </c>
      <c r="B488" s="2" t="s">
        <v>1642</v>
      </c>
      <c r="C488" s="2" t="s">
        <v>20</v>
      </c>
      <c r="D488" s="2">
        <v>3294</v>
      </c>
      <c r="E488" s="2">
        <v>3154</v>
      </c>
      <c r="F488" s="2">
        <v>3277</v>
      </c>
      <c r="G488" s="2">
        <v>3251</v>
      </c>
      <c r="H488" s="2">
        <v>3249</v>
      </c>
      <c r="I488" s="2">
        <v>3531</v>
      </c>
      <c r="J488" s="2">
        <v>3469</v>
      </c>
      <c r="K488" s="2">
        <v>3279</v>
      </c>
      <c r="L488" s="2">
        <v>3372</v>
      </c>
      <c r="M488" s="2">
        <v>2924</v>
      </c>
      <c r="N488" s="2">
        <v>3170</v>
      </c>
      <c r="O488" s="2">
        <v>3488</v>
      </c>
      <c r="P488" s="2">
        <v>39458</v>
      </c>
      <c r="Q488" s="2">
        <v>2</v>
      </c>
      <c r="R488" s="2">
        <v>78916</v>
      </c>
      <c r="S488" s="4">
        <f>SUM($R$2:R488) / SUM($R:$R)</f>
        <v>0.98727261960150814</v>
      </c>
      <c r="T488" s="3" t="str">
        <f t="shared" si="42"/>
        <v>C</v>
      </c>
      <c r="U488" s="2">
        <f t="shared" si="43"/>
        <v>3288.1666666666665</v>
      </c>
      <c r="V488" s="2">
        <f t="shared" si="44"/>
        <v>166.88854927402264</v>
      </c>
      <c r="W488" s="2">
        <f t="shared" si="45"/>
        <v>5.0754285348681427E-2</v>
      </c>
      <c r="X488" s="2" t="str">
        <f t="shared" si="46"/>
        <v>X</v>
      </c>
      <c r="Y488" s="2" t="str">
        <f t="shared" si="47"/>
        <v>CX</v>
      </c>
    </row>
    <row r="489" spans="1:25" x14ac:dyDescent="0.3">
      <c r="A489" s="2" t="s">
        <v>1597</v>
      </c>
      <c r="B489" s="2" t="s">
        <v>1598</v>
      </c>
      <c r="C489" s="2" t="s">
        <v>20</v>
      </c>
      <c r="D489" s="2">
        <v>3330</v>
      </c>
      <c r="E489" s="2">
        <v>3629</v>
      </c>
      <c r="F489" s="2">
        <v>3290</v>
      </c>
      <c r="G489" s="2">
        <v>3127</v>
      </c>
      <c r="H489" s="2">
        <v>3448</v>
      </c>
      <c r="I489" s="2">
        <v>3253</v>
      </c>
      <c r="J489" s="2">
        <v>3210</v>
      </c>
      <c r="K489" s="2">
        <v>2986</v>
      </c>
      <c r="L489" s="2">
        <v>3276</v>
      </c>
      <c r="M489" s="2">
        <v>3415</v>
      </c>
      <c r="N489" s="2">
        <v>3213</v>
      </c>
      <c r="O489" s="2">
        <v>3094</v>
      </c>
      <c r="P489" s="2">
        <v>39271</v>
      </c>
      <c r="Q489" s="2">
        <v>2</v>
      </c>
      <c r="R489" s="2">
        <v>78542</v>
      </c>
      <c r="S489" s="4">
        <f>SUM($R$2:R489) / SUM($R:$R)</f>
        <v>0.98734586672105507</v>
      </c>
      <c r="T489" s="3" t="str">
        <f t="shared" si="42"/>
        <v>C</v>
      </c>
      <c r="U489" s="2">
        <f t="shared" si="43"/>
        <v>3272.5833333333335</v>
      </c>
      <c r="V489" s="2">
        <f t="shared" si="44"/>
        <v>171.82573536386604</v>
      </c>
      <c r="W489" s="2">
        <f t="shared" si="45"/>
        <v>5.2504617258699614E-2</v>
      </c>
      <c r="X489" s="2" t="str">
        <f t="shared" si="46"/>
        <v>X</v>
      </c>
      <c r="Y489" s="2" t="str">
        <f t="shared" si="47"/>
        <v>CX</v>
      </c>
    </row>
    <row r="490" spans="1:25" x14ac:dyDescent="0.3">
      <c r="A490" s="2" t="s">
        <v>1515</v>
      </c>
      <c r="B490" s="2" t="s">
        <v>1516</v>
      </c>
      <c r="C490" s="2" t="s">
        <v>20</v>
      </c>
      <c r="D490" s="2">
        <v>3586</v>
      </c>
      <c r="E490" s="2">
        <v>3244</v>
      </c>
      <c r="F490" s="2">
        <v>3091</v>
      </c>
      <c r="G490" s="2">
        <v>3393</v>
      </c>
      <c r="H490" s="2">
        <v>3618</v>
      </c>
      <c r="I490" s="2">
        <v>3224</v>
      </c>
      <c r="J490" s="2">
        <v>3234</v>
      </c>
      <c r="K490" s="2">
        <v>3101</v>
      </c>
      <c r="L490" s="2">
        <v>2803</v>
      </c>
      <c r="M490" s="2">
        <v>3198</v>
      </c>
      <c r="N490" s="2">
        <v>3419</v>
      </c>
      <c r="O490" s="2">
        <v>3048</v>
      </c>
      <c r="P490" s="2">
        <v>38959</v>
      </c>
      <c r="Q490" s="2">
        <v>2</v>
      </c>
      <c r="R490" s="2">
        <v>77918</v>
      </c>
      <c r="S490" s="4">
        <f>SUM($R$2:R490) / SUM($R:$R)</f>
        <v>0.98741853190733575</v>
      </c>
      <c r="T490" s="3" t="str">
        <f t="shared" si="42"/>
        <v>C</v>
      </c>
      <c r="U490" s="2">
        <f t="shared" si="43"/>
        <v>3246.5833333333335</v>
      </c>
      <c r="V490" s="2">
        <f t="shared" si="44"/>
        <v>231.39044465748339</v>
      </c>
      <c r="W490" s="2">
        <f t="shared" si="45"/>
        <v>7.1271986855150293E-2</v>
      </c>
      <c r="X490" s="2" t="str">
        <f t="shared" si="46"/>
        <v>X</v>
      </c>
      <c r="Y490" s="2" t="str">
        <f t="shared" si="47"/>
        <v>CX</v>
      </c>
    </row>
    <row r="491" spans="1:25" x14ac:dyDescent="0.3">
      <c r="A491" s="2" t="s">
        <v>63</v>
      </c>
      <c r="B491" s="2" t="s">
        <v>64</v>
      </c>
      <c r="C491" s="2" t="s">
        <v>20</v>
      </c>
      <c r="D491" s="2">
        <v>3320</v>
      </c>
      <c r="E491" s="2">
        <v>3246</v>
      </c>
      <c r="F491" s="2">
        <v>3488</v>
      </c>
      <c r="G491" s="2">
        <v>3297</v>
      </c>
      <c r="H491" s="2">
        <v>2719</v>
      </c>
      <c r="I491" s="2">
        <v>3096</v>
      </c>
      <c r="J491" s="2">
        <v>3124</v>
      </c>
      <c r="K491" s="2">
        <v>2973</v>
      </c>
      <c r="L491" s="2">
        <v>3264</v>
      </c>
      <c r="M491" s="2">
        <v>3279</v>
      </c>
      <c r="N491" s="2">
        <v>3582</v>
      </c>
      <c r="O491" s="2">
        <v>2952</v>
      </c>
      <c r="P491" s="2">
        <v>38340</v>
      </c>
      <c r="Q491" s="2">
        <v>2</v>
      </c>
      <c r="R491" s="2">
        <v>76680</v>
      </c>
      <c r="S491" s="4">
        <f>SUM($R$2:R491) / SUM($R:$R)</f>
        <v>0.98749004255293749</v>
      </c>
      <c r="T491" s="3" t="str">
        <f t="shared" si="42"/>
        <v>C</v>
      </c>
      <c r="U491" s="2">
        <f t="shared" si="43"/>
        <v>3195</v>
      </c>
      <c r="V491" s="2">
        <f t="shared" si="44"/>
        <v>238.52120164958845</v>
      </c>
      <c r="W491" s="2">
        <f t="shared" si="45"/>
        <v>7.4654523208008902E-2</v>
      </c>
      <c r="X491" s="2" t="str">
        <f t="shared" si="46"/>
        <v>X</v>
      </c>
      <c r="Y491" s="2" t="str">
        <f t="shared" si="47"/>
        <v>CX</v>
      </c>
    </row>
    <row r="492" spans="1:25" x14ac:dyDescent="0.3">
      <c r="A492" s="2" t="s">
        <v>293</v>
      </c>
      <c r="B492" s="2" t="s">
        <v>294</v>
      </c>
      <c r="C492" s="2" t="s">
        <v>20</v>
      </c>
      <c r="D492" s="2">
        <v>3121</v>
      </c>
      <c r="E492" s="2">
        <v>3255</v>
      </c>
      <c r="F492" s="2">
        <v>3259</v>
      </c>
      <c r="G492" s="2">
        <v>2981</v>
      </c>
      <c r="H492" s="2">
        <v>3442</v>
      </c>
      <c r="I492" s="2">
        <v>3125</v>
      </c>
      <c r="J492" s="2">
        <v>3206</v>
      </c>
      <c r="K492" s="2">
        <v>3205</v>
      </c>
      <c r="L492" s="2">
        <v>3553</v>
      </c>
      <c r="M492" s="2">
        <v>3376</v>
      </c>
      <c r="N492" s="2">
        <v>2848</v>
      </c>
      <c r="O492" s="2">
        <v>2879</v>
      </c>
      <c r="P492" s="2">
        <v>38250</v>
      </c>
      <c r="Q492" s="2">
        <v>2</v>
      </c>
      <c r="R492" s="2">
        <v>76500</v>
      </c>
      <c r="S492" s="4">
        <f>SUM($R$2:R492) / SUM($R:$R)</f>
        <v>0.98756138533317406</v>
      </c>
      <c r="T492" s="3" t="str">
        <f t="shared" si="42"/>
        <v>C</v>
      </c>
      <c r="U492" s="2">
        <f t="shared" si="43"/>
        <v>3187.5</v>
      </c>
      <c r="V492" s="2">
        <f t="shared" si="44"/>
        <v>214.39407217042682</v>
      </c>
      <c r="W492" s="2">
        <f t="shared" si="45"/>
        <v>6.726088538680057E-2</v>
      </c>
      <c r="X492" s="2" t="str">
        <f t="shared" si="46"/>
        <v>X</v>
      </c>
      <c r="Y492" s="2" t="str">
        <f t="shared" si="47"/>
        <v>CX</v>
      </c>
    </row>
    <row r="493" spans="1:25" x14ac:dyDescent="0.3">
      <c r="A493" s="2" t="s">
        <v>1275</v>
      </c>
      <c r="B493" s="2" t="s">
        <v>1276</v>
      </c>
      <c r="C493" s="2" t="s">
        <v>20</v>
      </c>
      <c r="D493" s="2">
        <v>3325</v>
      </c>
      <c r="E493" s="2">
        <v>2814</v>
      </c>
      <c r="F493" s="2">
        <v>3126</v>
      </c>
      <c r="G493" s="2">
        <v>3435</v>
      </c>
      <c r="H493" s="2">
        <v>3459</v>
      </c>
      <c r="I493" s="2">
        <v>3194</v>
      </c>
      <c r="J493" s="2">
        <v>3453</v>
      </c>
      <c r="K493" s="2">
        <v>3258</v>
      </c>
      <c r="L493" s="2">
        <v>2987</v>
      </c>
      <c r="M493" s="2">
        <v>3127</v>
      </c>
      <c r="N493" s="2">
        <v>2874</v>
      </c>
      <c r="O493" s="2">
        <v>2883</v>
      </c>
      <c r="P493" s="2">
        <v>37935</v>
      </c>
      <c r="Q493" s="2">
        <v>2</v>
      </c>
      <c r="R493" s="2">
        <v>75870</v>
      </c>
      <c r="S493" s="4">
        <f>SUM($R$2:R493) / SUM($R:$R)</f>
        <v>0.98763214058463222</v>
      </c>
      <c r="T493" s="3" t="str">
        <f t="shared" si="42"/>
        <v>C</v>
      </c>
      <c r="U493" s="2">
        <f t="shared" si="43"/>
        <v>3161.25</v>
      </c>
      <c r="V493" s="2">
        <f t="shared" si="44"/>
        <v>233.40488621511528</v>
      </c>
      <c r="W493" s="2">
        <f t="shared" si="45"/>
        <v>7.3833099633093008E-2</v>
      </c>
      <c r="X493" s="2" t="str">
        <f t="shared" si="46"/>
        <v>X</v>
      </c>
      <c r="Y493" s="2" t="str">
        <f t="shared" si="47"/>
        <v>CX</v>
      </c>
    </row>
    <row r="494" spans="1:25" x14ac:dyDescent="0.3">
      <c r="A494" s="2" t="s">
        <v>1359</v>
      </c>
      <c r="B494" s="2" t="s">
        <v>1360</v>
      </c>
      <c r="C494" s="2" t="s">
        <v>20</v>
      </c>
      <c r="D494" s="2">
        <v>3272</v>
      </c>
      <c r="E494" s="2">
        <v>3061</v>
      </c>
      <c r="F494" s="2">
        <v>3124</v>
      </c>
      <c r="G494" s="2">
        <v>3100</v>
      </c>
      <c r="H494" s="2">
        <v>3302</v>
      </c>
      <c r="I494" s="2">
        <v>2621</v>
      </c>
      <c r="J494" s="2">
        <v>2885</v>
      </c>
      <c r="K494" s="2">
        <v>2821</v>
      </c>
      <c r="L494" s="2">
        <v>3611</v>
      </c>
      <c r="M494" s="2">
        <v>3285</v>
      </c>
      <c r="N494" s="2">
        <v>3213</v>
      </c>
      <c r="O494" s="2">
        <v>3235</v>
      </c>
      <c r="P494" s="2">
        <v>37530</v>
      </c>
      <c r="Q494" s="2">
        <v>2</v>
      </c>
      <c r="R494" s="2">
        <v>75060</v>
      </c>
      <c r="S494" s="4">
        <f>SUM($R$2:R494) / SUM($R:$R)</f>
        <v>0.9877021404419466</v>
      </c>
      <c r="T494" s="3" t="str">
        <f t="shared" si="42"/>
        <v>C</v>
      </c>
      <c r="U494" s="2">
        <f t="shared" si="43"/>
        <v>3127.5</v>
      </c>
      <c r="V494" s="2">
        <f t="shared" si="44"/>
        <v>259.94002804842921</v>
      </c>
      <c r="W494" s="2">
        <f t="shared" si="45"/>
        <v>8.3114317521480158E-2</v>
      </c>
      <c r="X494" s="2" t="str">
        <f t="shared" si="46"/>
        <v>X</v>
      </c>
      <c r="Y494" s="2" t="str">
        <f t="shared" si="47"/>
        <v>CX</v>
      </c>
    </row>
    <row r="495" spans="1:25" x14ac:dyDescent="0.3">
      <c r="A495" s="2" t="s">
        <v>105</v>
      </c>
      <c r="B495" s="2" t="s">
        <v>106</v>
      </c>
      <c r="C495" s="2" t="s">
        <v>25</v>
      </c>
      <c r="D495" s="2">
        <v>435</v>
      </c>
      <c r="E495" s="2">
        <v>441</v>
      </c>
      <c r="F495" s="2">
        <v>603</v>
      </c>
      <c r="G495" s="2">
        <v>738</v>
      </c>
      <c r="H495" s="2">
        <v>913</v>
      </c>
      <c r="I495" s="2">
        <v>961</v>
      </c>
      <c r="J495" s="2">
        <v>423</v>
      </c>
      <c r="K495" s="2">
        <v>696</v>
      </c>
      <c r="L495" s="2">
        <v>494</v>
      </c>
      <c r="M495" s="2">
        <v>679</v>
      </c>
      <c r="N495" s="2">
        <v>499</v>
      </c>
      <c r="O495" s="2">
        <v>596</v>
      </c>
      <c r="P495" s="2">
        <v>7478</v>
      </c>
      <c r="Q495" s="2">
        <v>10</v>
      </c>
      <c r="R495" s="2">
        <v>74780</v>
      </c>
      <c r="S495" s="4">
        <f>SUM($R$2:R495) / SUM($R:$R)</f>
        <v>0.98777187917535958</v>
      </c>
      <c r="T495" s="3" t="str">
        <f t="shared" si="42"/>
        <v>C</v>
      </c>
      <c r="U495" s="2">
        <f t="shared" si="43"/>
        <v>623.16666666666663</v>
      </c>
      <c r="V495" s="2">
        <f t="shared" si="44"/>
        <v>181.32032595950361</v>
      </c>
      <c r="W495" s="2">
        <f t="shared" si="45"/>
        <v>0.29096602186601278</v>
      </c>
      <c r="X495" s="2" t="str">
        <f t="shared" si="46"/>
        <v>Y</v>
      </c>
      <c r="Y495" s="2" t="str">
        <f t="shared" si="47"/>
        <v>CY</v>
      </c>
    </row>
    <row r="496" spans="1:25" x14ac:dyDescent="0.3">
      <c r="A496" s="2" t="s">
        <v>229</v>
      </c>
      <c r="B496" s="2" t="s">
        <v>230</v>
      </c>
      <c r="C496" s="2" t="s">
        <v>20</v>
      </c>
      <c r="D496" s="2">
        <v>3140</v>
      </c>
      <c r="E496" s="2">
        <v>3233</v>
      </c>
      <c r="F496" s="2">
        <v>2908</v>
      </c>
      <c r="G496" s="2">
        <v>3515</v>
      </c>
      <c r="H496" s="2">
        <v>2733</v>
      </c>
      <c r="I496" s="2">
        <v>3111</v>
      </c>
      <c r="J496" s="2">
        <v>2801</v>
      </c>
      <c r="K496" s="2">
        <v>3323</v>
      </c>
      <c r="L496" s="2">
        <v>3108</v>
      </c>
      <c r="M496" s="2">
        <v>3238</v>
      </c>
      <c r="N496" s="2">
        <v>3031</v>
      </c>
      <c r="O496" s="2">
        <v>3170</v>
      </c>
      <c r="P496" s="2">
        <v>37311</v>
      </c>
      <c r="Q496" s="2">
        <v>2</v>
      </c>
      <c r="R496" s="2">
        <v>74622</v>
      </c>
      <c r="S496" s="4">
        <f>SUM($R$2:R496) / SUM($R:$R)</f>
        <v>0.98784147056028515</v>
      </c>
      <c r="T496" s="3" t="str">
        <f t="shared" si="42"/>
        <v>C</v>
      </c>
      <c r="U496" s="2">
        <f t="shared" si="43"/>
        <v>3109.25</v>
      </c>
      <c r="V496" s="2">
        <f t="shared" si="44"/>
        <v>219.51604828473353</v>
      </c>
      <c r="W496" s="2">
        <f t="shared" si="45"/>
        <v>7.0600964311243394E-2</v>
      </c>
      <c r="X496" s="2" t="str">
        <f t="shared" si="46"/>
        <v>X</v>
      </c>
      <c r="Y496" s="2" t="str">
        <f t="shared" si="47"/>
        <v>CX</v>
      </c>
    </row>
    <row r="497" spans="1:25" x14ac:dyDescent="0.3">
      <c r="A497" s="2" t="s">
        <v>1625</v>
      </c>
      <c r="B497" s="2" t="s">
        <v>1626</v>
      </c>
      <c r="C497" s="2" t="s">
        <v>20</v>
      </c>
      <c r="D497" s="2">
        <v>2955</v>
      </c>
      <c r="E497" s="2">
        <v>2628</v>
      </c>
      <c r="F497" s="2">
        <v>3211</v>
      </c>
      <c r="G497" s="2">
        <v>3166</v>
      </c>
      <c r="H497" s="2">
        <v>3078</v>
      </c>
      <c r="I497" s="2">
        <v>3463</v>
      </c>
      <c r="J497" s="2">
        <v>3272</v>
      </c>
      <c r="K497" s="2">
        <v>2948</v>
      </c>
      <c r="L497" s="2">
        <v>3071</v>
      </c>
      <c r="M497" s="2">
        <v>2999</v>
      </c>
      <c r="N497" s="2">
        <v>3347</v>
      </c>
      <c r="O497" s="2">
        <v>3070</v>
      </c>
      <c r="P497" s="2">
        <v>37208</v>
      </c>
      <c r="Q497" s="2">
        <v>2</v>
      </c>
      <c r="R497" s="2">
        <v>74416</v>
      </c>
      <c r="S497" s="4">
        <f>SUM($R$2:R497) / SUM($R:$R)</f>
        <v>0.9879108698326261</v>
      </c>
      <c r="T497" s="3" t="str">
        <f t="shared" si="42"/>
        <v>C</v>
      </c>
      <c r="U497" s="2">
        <f t="shared" si="43"/>
        <v>3100.6666666666665</v>
      </c>
      <c r="V497" s="2">
        <f t="shared" si="44"/>
        <v>217.0824448885443</v>
      </c>
      <c r="W497" s="2">
        <f t="shared" si="45"/>
        <v>7.0011538880416349E-2</v>
      </c>
      <c r="X497" s="2" t="str">
        <f t="shared" si="46"/>
        <v>X</v>
      </c>
      <c r="Y497" s="2" t="str">
        <f t="shared" si="47"/>
        <v>CX</v>
      </c>
    </row>
    <row r="498" spans="1:25" x14ac:dyDescent="0.3">
      <c r="A498" s="2" t="s">
        <v>213</v>
      </c>
      <c r="B498" s="2" t="s">
        <v>214</v>
      </c>
      <c r="C498" s="2" t="s">
        <v>20</v>
      </c>
      <c r="D498" s="2">
        <v>3122</v>
      </c>
      <c r="E498" s="2">
        <v>3065</v>
      </c>
      <c r="F498" s="2">
        <v>3026</v>
      </c>
      <c r="G498" s="2">
        <v>3327</v>
      </c>
      <c r="H498" s="2">
        <v>2953</v>
      </c>
      <c r="I498" s="2">
        <v>3264</v>
      </c>
      <c r="J498" s="2">
        <v>2811</v>
      </c>
      <c r="K498" s="2">
        <v>2916</v>
      </c>
      <c r="L498" s="2">
        <v>3337</v>
      </c>
      <c r="M498" s="2">
        <v>3320</v>
      </c>
      <c r="N498" s="2">
        <v>2886</v>
      </c>
      <c r="O498" s="2">
        <v>3129</v>
      </c>
      <c r="P498" s="2">
        <v>37156</v>
      </c>
      <c r="Q498" s="2">
        <v>2</v>
      </c>
      <c r="R498" s="2">
        <v>74312</v>
      </c>
      <c r="S498" s="4">
        <f>SUM($R$2:R498) / SUM($R:$R)</f>
        <v>0.98798017211608935</v>
      </c>
      <c r="T498" s="3" t="str">
        <f t="shared" si="42"/>
        <v>C</v>
      </c>
      <c r="U498" s="2">
        <f t="shared" si="43"/>
        <v>3096.3333333333335</v>
      </c>
      <c r="V498" s="2">
        <f t="shared" si="44"/>
        <v>184.7948903924335</v>
      </c>
      <c r="W498" s="2">
        <f t="shared" si="45"/>
        <v>5.9681846396522818E-2</v>
      </c>
      <c r="X498" s="2" t="str">
        <f t="shared" si="46"/>
        <v>X</v>
      </c>
      <c r="Y498" s="2" t="str">
        <f t="shared" si="47"/>
        <v>CX</v>
      </c>
    </row>
    <row r="499" spans="1:25" x14ac:dyDescent="0.3">
      <c r="A499" s="2" t="s">
        <v>905</v>
      </c>
      <c r="B499" s="2" t="s">
        <v>906</v>
      </c>
      <c r="C499" s="2" t="s">
        <v>20</v>
      </c>
      <c r="D499" s="2">
        <v>3112</v>
      </c>
      <c r="E499" s="2">
        <v>3104</v>
      </c>
      <c r="F499" s="2">
        <v>3219</v>
      </c>
      <c r="G499" s="2">
        <v>3197</v>
      </c>
      <c r="H499" s="2">
        <v>2887</v>
      </c>
      <c r="I499" s="2">
        <v>2944</v>
      </c>
      <c r="J499" s="2">
        <v>3165</v>
      </c>
      <c r="K499" s="2">
        <v>3176</v>
      </c>
      <c r="L499" s="2">
        <v>2970</v>
      </c>
      <c r="M499" s="2">
        <v>3225</v>
      </c>
      <c r="N499" s="2">
        <v>3022</v>
      </c>
      <c r="O499" s="2">
        <v>3135</v>
      </c>
      <c r="P499" s="2">
        <v>37156</v>
      </c>
      <c r="Q499" s="2">
        <v>2</v>
      </c>
      <c r="R499" s="2">
        <v>74312</v>
      </c>
      <c r="S499" s="4">
        <f>SUM($R$2:R499) / SUM($R:$R)</f>
        <v>0.9880494743995526</v>
      </c>
      <c r="T499" s="3" t="str">
        <f t="shared" si="42"/>
        <v>C</v>
      </c>
      <c r="U499" s="2">
        <f t="shared" si="43"/>
        <v>3096.3333333333335</v>
      </c>
      <c r="V499" s="2">
        <f t="shared" si="44"/>
        <v>114.06085563364316</v>
      </c>
      <c r="W499" s="2">
        <f t="shared" si="45"/>
        <v>3.6837395510919309E-2</v>
      </c>
      <c r="X499" s="2" t="str">
        <f t="shared" si="46"/>
        <v>X</v>
      </c>
      <c r="Y499" s="2" t="str">
        <f t="shared" si="47"/>
        <v>CX</v>
      </c>
    </row>
    <row r="500" spans="1:25" x14ac:dyDescent="0.3">
      <c r="A500" s="2" t="s">
        <v>1067</v>
      </c>
      <c r="B500" s="2" t="s">
        <v>1068</v>
      </c>
      <c r="C500" s="2" t="s">
        <v>20</v>
      </c>
      <c r="D500" s="2">
        <v>2973</v>
      </c>
      <c r="E500" s="2">
        <v>3161</v>
      </c>
      <c r="F500" s="2">
        <v>2943</v>
      </c>
      <c r="G500" s="2">
        <v>3014</v>
      </c>
      <c r="H500" s="2">
        <v>3397</v>
      </c>
      <c r="I500" s="2">
        <v>3009</v>
      </c>
      <c r="J500" s="2">
        <v>3207</v>
      </c>
      <c r="K500" s="2">
        <v>3285</v>
      </c>
      <c r="L500" s="2">
        <v>3091</v>
      </c>
      <c r="M500" s="2">
        <v>3246</v>
      </c>
      <c r="N500" s="2">
        <v>2654</v>
      </c>
      <c r="O500" s="2">
        <v>2978</v>
      </c>
      <c r="P500" s="2">
        <v>36958</v>
      </c>
      <c r="Q500" s="2">
        <v>2</v>
      </c>
      <c r="R500" s="2">
        <v>73916</v>
      </c>
      <c r="S500" s="4">
        <f>SUM($R$2:R500) / SUM($R:$R)</f>
        <v>0.98811840737921219</v>
      </c>
      <c r="T500" s="3" t="str">
        <f t="shared" si="42"/>
        <v>C</v>
      </c>
      <c r="U500" s="2">
        <f t="shared" si="43"/>
        <v>3079.8333333333335</v>
      </c>
      <c r="V500" s="2">
        <f t="shared" si="44"/>
        <v>196.41691897748032</v>
      </c>
      <c r="W500" s="2">
        <f t="shared" si="45"/>
        <v>6.3775177978509762E-2</v>
      </c>
      <c r="X500" s="2" t="str">
        <f t="shared" si="46"/>
        <v>X</v>
      </c>
      <c r="Y500" s="2" t="str">
        <f t="shared" si="47"/>
        <v>CX</v>
      </c>
    </row>
    <row r="501" spans="1:25" x14ac:dyDescent="0.3">
      <c r="A501" s="2" t="s">
        <v>1121</v>
      </c>
      <c r="B501" s="2" t="s">
        <v>1122</v>
      </c>
      <c r="C501" s="2" t="s">
        <v>20</v>
      </c>
      <c r="D501" s="2">
        <v>2889</v>
      </c>
      <c r="E501" s="2">
        <v>2773</v>
      </c>
      <c r="F501" s="2">
        <v>3420</v>
      </c>
      <c r="G501" s="2">
        <v>2860</v>
      </c>
      <c r="H501" s="2">
        <v>3238</v>
      </c>
      <c r="I501" s="2">
        <v>2961</v>
      </c>
      <c r="J501" s="2">
        <v>3125</v>
      </c>
      <c r="K501" s="2">
        <v>3126</v>
      </c>
      <c r="L501" s="2">
        <v>3142</v>
      </c>
      <c r="M501" s="2">
        <v>2916</v>
      </c>
      <c r="N501" s="2">
        <v>3056</v>
      </c>
      <c r="O501" s="2">
        <v>2915</v>
      </c>
      <c r="P501" s="2">
        <v>36421</v>
      </c>
      <c r="Q501" s="2">
        <v>2</v>
      </c>
      <c r="R501" s="2">
        <v>72842</v>
      </c>
      <c r="S501" s="4">
        <f>SUM($R$2:R501) / SUM($R:$R)</f>
        <v>0.98818633876219253</v>
      </c>
      <c r="T501" s="3" t="str">
        <f t="shared" si="42"/>
        <v>C</v>
      </c>
      <c r="U501" s="2">
        <f t="shared" si="43"/>
        <v>3035.0833333333335</v>
      </c>
      <c r="V501" s="2">
        <f t="shared" si="44"/>
        <v>183.97799193151207</v>
      </c>
      <c r="W501" s="2">
        <f t="shared" si="45"/>
        <v>6.061711384031588E-2</v>
      </c>
      <c r="X501" s="2" t="str">
        <f t="shared" si="46"/>
        <v>X</v>
      </c>
      <c r="Y501" s="2" t="str">
        <f t="shared" si="47"/>
        <v>CX</v>
      </c>
    </row>
    <row r="502" spans="1:25" x14ac:dyDescent="0.3">
      <c r="A502" s="2" t="s">
        <v>1947</v>
      </c>
      <c r="B502" s="2" t="s">
        <v>1948</v>
      </c>
      <c r="C502" s="2" t="s">
        <v>25</v>
      </c>
      <c r="D502" s="2">
        <v>544</v>
      </c>
      <c r="E502" s="2">
        <v>816</v>
      </c>
      <c r="F502" s="2">
        <v>639</v>
      </c>
      <c r="G502" s="2">
        <v>327</v>
      </c>
      <c r="H502" s="2">
        <v>775</v>
      </c>
      <c r="I502" s="2">
        <v>492</v>
      </c>
      <c r="J502" s="2">
        <v>731</v>
      </c>
      <c r="K502" s="2">
        <v>806</v>
      </c>
      <c r="L502" s="2">
        <v>309</v>
      </c>
      <c r="M502" s="2">
        <v>759</v>
      </c>
      <c r="N502" s="2">
        <v>730</v>
      </c>
      <c r="O502" s="2">
        <v>355</v>
      </c>
      <c r="P502" s="2">
        <v>7283</v>
      </c>
      <c r="Q502" s="2">
        <v>10</v>
      </c>
      <c r="R502" s="2">
        <v>72830</v>
      </c>
      <c r="S502" s="4">
        <f>SUM($R$2:R502) / SUM($R:$R)</f>
        <v>0.98825425895414842</v>
      </c>
      <c r="T502" s="3" t="str">
        <f t="shared" si="42"/>
        <v>C</v>
      </c>
      <c r="U502" s="2">
        <f t="shared" si="43"/>
        <v>606.91666666666663</v>
      </c>
      <c r="V502" s="2">
        <f t="shared" si="44"/>
        <v>194.01052376954547</v>
      </c>
      <c r="W502" s="2">
        <f t="shared" si="45"/>
        <v>0.31966583622608069</v>
      </c>
      <c r="X502" s="2" t="str">
        <f t="shared" si="46"/>
        <v>Y</v>
      </c>
      <c r="Y502" s="2" t="str">
        <f t="shared" si="47"/>
        <v>CY</v>
      </c>
    </row>
    <row r="503" spans="1:25" x14ac:dyDescent="0.3">
      <c r="A503" s="2" t="s">
        <v>435</v>
      </c>
      <c r="B503" s="2" t="s">
        <v>436</v>
      </c>
      <c r="C503" s="2" t="s">
        <v>41</v>
      </c>
      <c r="D503" s="2">
        <v>129</v>
      </c>
      <c r="E503" s="2">
        <v>107</v>
      </c>
      <c r="F503" s="2">
        <v>111</v>
      </c>
      <c r="G503" s="2">
        <v>124</v>
      </c>
      <c r="H503" s="2">
        <v>129</v>
      </c>
      <c r="I503" s="2">
        <v>119</v>
      </c>
      <c r="J503" s="2">
        <v>129</v>
      </c>
      <c r="K503" s="2">
        <v>120</v>
      </c>
      <c r="L503" s="2">
        <v>144</v>
      </c>
      <c r="M503" s="2">
        <v>97</v>
      </c>
      <c r="N503" s="2">
        <v>130</v>
      </c>
      <c r="O503" s="2">
        <v>111</v>
      </c>
      <c r="P503" s="2">
        <v>1450</v>
      </c>
      <c r="Q503" s="2">
        <v>50</v>
      </c>
      <c r="R503" s="2">
        <v>72500</v>
      </c>
      <c r="S503" s="4">
        <f>SUM($R$2:R503) / SUM($R:$R)</f>
        <v>0.9883218713929347</v>
      </c>
      <c r="T503" s="3" t="str">
        <f t="shared" si="42"/>
        <v>C</v>
      </c>
      <c r="U503" s="2">
        <f t="shared" si="43"/>
        <v>120.83333333333333</v>
      </c>
      <c r="V503" s="2">
        <f t="shared" si="44"/>
        <v>12.748143061448229</v>
      </c>
      <c r="W503" s="2">
        <f t="shared" si="45"/>
        <v>0.10550187361198535</v>
      </c>
      <c r="X503" s="2" t="str">
        <f t="shared" si="46"/>
        <v>X</v>
      </c>
      <c r="Y503" s="2" t="str">
        <f t="shared" si="47"/>
        <v>CX</v>
      </c>
    </row>
    <row r="504" spans="1:25" x14ac:dyDescent="0.3">
      <c r="A504" s="2" t="s">
        <v>1995</v>
      </c>
      <c r="B504" s="2" t="s">
        <v>1996</v>
      </c>
      <c r="C504" s="2" t="s">
        <v>20</v>
      </c>
      <c r="D504" s="2">
        <v>3053</v>
      </c>
      <c r="E504" s="2">
        <v>3263</v>
      </c>
      <c r="F504" s="2">
        <v>3210</v>
      </c>
      <c r="G504" s="2">
        <v>2863</v>
      </c>
      <c r="H504" s="2">
        <v>3054</v>
      </c>
      <c r="I504" s="2">
        <v>2779</v>
      </c>
      <c r="J504" s="2">
        <v>2701</v>
      </c>
      <c r="K504" s="2">
        <v>2944</v>
      </c>
      <c r="L504" s="2">
        <v>2823</v>
      </c>
      <c r="M504" s="2">
        <v>3283</v>
      </c>
      <c r="N504" s="2">
        <v>3284</v>
      </c>
      <c r="O504" s="2">
        <v>2976</v>
      </c>
      <c r="P504" s="2">
        <v>36233</v>
      </c>
      <c r="Q504" s="2">
        <v>2</v>
      </c>
      <c r="R504" s="2">
        <v>72466</v>
      </c>
      <c r="S504" s="4">
        <f>SUM($R$2:R504) / SUM($R:$R)</f>
        <v>0.98838945212381857</v>
      </c>
      <c r="T504" s="3" t="str">
        <f t="shared" si="42"/>
        <v>C</v>
      </c>
      <c r="U504" s="2">
        <f t="shared" si="43"/>
        <v>3019.4166666666665</v>
      </c>
      <c r="V504" s="2">
        <f t="shared" si="44"/>
        <v>206.10388304459622</v>
      </c>
      <c r="W504" s="2">
        <f t="shared" si="45"/>
        <v>6.8259503671657187E-2</v>
      </c>
      <c r="X504" s="2" t="str">
        <f t="shared" si="46"/>
        <v>X</v>
      </c>
      <c r="Y504" s="2" t="str">
        <f t="shared" si="47"/>
        <v>CX</v>
      </c>
    </row>
    <row r="505" spans="1:25" x14ac:dyDescent="0.3">
      <c r="A505" s="2" t="s">
        <v>1797</v>
      </c>
      <c r="B505" s="2" t="s">
        <v>1798</v>
      </c>
      <c r="C505" s="2" t="s">
        <v>25</v>
      </c>
      <c r="D505" s="2">
        <v>876</v>
      </c>
      <c r="E505" s="2">
        <v>829</v>
      </c>
      <c r="F505" s="2">
        <v>833</v>
      </c>
      <c r="G505" s="2">
        <v>765</v>
      </c>
      <c r="H505" s="2">
        <v>519</v>
      </c>
      <c r="I505" s="2">
        <v>553</v>
      </c>
      <c r="J505" s="2">
        <v>394</v>
      </c>
      <c r="K505" s="2">
        <v>451</v>
      </c>
      <c r="L505" s="2">
        <v>378</v>
      </c>
      <c r="M505" s="2">
        <v>559</v>
      </c>
      <c r="N505" s="2">
        <v>676</v>
      </c>
      <c r="O505" s="2">
        <v>336</v>
      </c>
      <c r="P505" s="2">
        <v>7169</v>
      </c>
      <c r="Q505" s="2">
        <v>10</v>
      </c>
      <c r="R505" s="2">
        <v>71690</v>
      </c>
      <c r="S505" s="4">
        <f>SUM($R$2:R505) / SUM($R:$R)</f>
        <v>0.98845630916846117</v>
      </c>
      <c r="T505" s="3" t="str">
        <f t="shared" si="42"/>
        <v>C</v>
      </c>
      <c r="U505" s="2">
        <f t="shared" si="43"/>
        <v>597.41666666666663</v>
      </c>
      <c r="V505" s="2">
        <f t="shared" si="44"/>
        <v>193.03671734264512</v>
      </c>
      <c r="W505" s="2">
        <f t="shared" si="45"/>
        <v>0.32311906934185264</v>
      </c>
      <c r="X505" s="2" t="str">
        <f t="shared" si="46"/>
        <v>Y</v>
      </c>
      <c r="Y505" s="2" t="str">
        <f t="shared" si="47"/>
        <v>CY</v>
      </c>
    </row>
    <row r="506" spans="1:25" x14ac:dyDescent="0.3">
      <c r="A506" s="2" t="s">
        <v>1243</v>
      </c>
      <c r="B506" s="2" t="s">
        <v>1244</v>
      </c>
      <c r="C506" s="2" t="s">
        <v>20</v>
      </c>
      <c r="D506" s="2">
        <v>3002</v>
      </c>
      <c r="E506" s="2">
        <v>2900</v>
      </c>
      <c r="F506" s="2">
        <v>3156</v>
      </c>
      <c r="G506" s="2">
        <v>2853</v>
      </c>
      <c r="H506" s="2">
        <v>2593</v>
      </c>
      <c r="I506" s="2">
        <v>2976</v>
      </c>
      <c r="J506" s="2">
        <v>2955</v>
      </c>
      <c r="K506" s="2">
        <v>3044</v>
      </c>
      <c r="L506" s="2">
        <v>3131</v>
      </c>
      <c r="M506" s="2">
        <v>2826</v>
      </c>
      <c r="N506" s="2">
        <v>3287</v>
      </c>
      <c r="O506" s="2">
        <v>3046</v>
      </c>
      <c r="P506" s="2">
        <v>35769</v>
      </c>
      <c r="Q506" s="2">
        <v>2</v>
      </c>
      <c r="R506" s="2">
        <v>71538</v>
      </c>
      <c r="S506" s="4">
        <f>SUM($R$2:R506) / SUM($R:$R)</f>
        <v>0.98852302446012863</v>
      </c>
      <c r="T506" s="3" t="str">
        <f t="shared" si="42"/>
        <v>C</v>
      </c>
      <c r="U506" s="2">
        <f t="shared" si="43"/>
        <v>2980.75</v>
      </c>
      <c r="V506" s="2">
        <f t="shared" si="44"/>
        <v>179.29413365650413</v>
      </c>
      <c r="W506" s="2">
        <f t="shared" si="45"/>
        <v>6.0150678069782477E-2</v>
      </c>
      <c r="X506" s="2" t="str">
        <f t="shared" si="46"/>
        <v>X</v>
      </c>
      <c r="Y506" s="2" t="str">
        <f t="shared" si="47"/>
        <v>CX</v>
      </c>
    </row>
    <row r="507" spans="1:25" x14ac:dyDescent="0.3">
      <c r="A507" s="2" t="s">
        <v>289</v>
      </c>
      <c r="B507" s="2" t="s">
        <v>290</v>
      </c>
      <c r="C507" s="2" t="s">
        <v>20</v>
      </c>
      <c r="D507" s="2">
        <v>3122</v>
      </c>
      <c r="E507" s="2">
        <v>3209</v>
      </c>
      <c r="F507" s="2">
        <v>3264</v>
      </c>
      <c r="G507" s="2">
        <v>2792</v>
      </c>
      <c r="H507" s="2">
        <v>3058</v>
      </c>
      <c r="I507" s="2">
        <v>2758</v>
      </c>
      <c r="J507" s="2">
        <v>2843</v>
      </c>
      <c r="K507" s="2">
        <v>2844</v>
      </c>
      <c r="L507" s="2">
        <v>2851</v>
      </c>
      <c r="M507" s="2">
        <v>3114</v>
      </c>
      <c r="N507" s="2">
        <v>2887</v>
      </c>
      <c r="O507" s="2">
        <v>2891</v>
      </c>
      <c r="P507" s="2">
        <v>35633</v>
      </c>
      <c r="Q507" s="2">
        <v>2</v>
      </c>
      <c r="R507" s="2">
        <v>71266</v>
      </c>
      <c r="S507" s="4">
        <f>SUM($R$2:R507) / SUM($R:$R)</f>
        <v>0.98858948608857755</v>
      </c>
      <c r="T507" s="3" t="str">
        <f t="shared" si="42"/>
        <v>C</v>
      </c>
      <c r="U507" s="2">
        <f t="shared" si="43"/>
        <v>2969.4166666666665</v>
      </c>
      <c r="V507" s="2">
        <f t="shared" si="44"/>
        <v>173.48327576367981</v>
      </c>
      <c r="W507" s="2">
        <f t="shared" si="45"/>
        <v>5.842335220621777E-2</v>
      </c>
      <c r="X507" s="2" t="str">
        <f t="shared" si="46"/>
        <v>X</v>
      </c>
      <c r="Y507" s="2" t="str">
        <f t="shared" si="47"/>
        <v>CX</v>
      </c>
    </row>
    <row r="508" spans="1:25" x14ac:dyDescent="0.3">
      <c r="A508" s="2" t="s">
        <v>1103</v>
      </c>
      <c r="B508" s="2" t="s">
        <v>1104</v>
      </c>
      <c r="C508" s="2" t="s">
        <v>25</v>
      </c>
      <c r="D508" s="2">
        <v>752</v>
      </c>
      <c r="E508" s="2">
        <v>682</v>
      </c>
      <c r="F508" s="2">
        <v>378</v>
      </c>
      <c r="G508" s="2">
        <v>279</v>
      </c>
      <c r="H508" s="2">
        <v>846</v>
      </c>
      <c r="I508" s="2">
        <v>773</v>
      </c>
      <c r="J508" s="2">
        <v>707</v>
      </c>
      <c r="K508" s="2">
        <v>548</v>
      </c>
      <c r="L508" s="2">
        <v>612</v>
      </c>
      <c r="M508" s="2">
        <v>331</v>
      </c>
      <c r="N508" s="2">
        <v>343</v>
      </c>
      <c r="O508" s="2">
        <v>794</v>
      </c>
      <c r="P508" s="2">
        <v>7045</v>
      </c>
      <c r="Q508" s="2">
        <v>10</v>
      </c>
      <c r="R508" s="2">
        <v>70450</v>
      </c>
      <c r="S508" s="4">
        <f>SUM($R$2:R508) / SUM($R:$R)</f>
        <v>0.98865518672737052</v>
      </c>
      <c r="T508" s="3" t="str">
        <f t="shared" si="42"/>
        <v>C</v>
      </c>
      <c r="U508" s="2">
        <f t="shared" si="43"/>
        <v>587.08333333333337</v>
      </c>
      <c r="V508" s="2">
        <f t="shared" si="44"/>
        <v>204.70353655662097</v>
      </c>
      <c r="W508" s="2">
        <f t="shared" si="45"/>
        <v>0.34867884154427986</v>
      </c>
      <c r="X508" s="2" t="str">
        <f t="shared" si="46"/>
        <v>Y</v>
      </c>
      <c r="Y508" s="2" t="str">
        <f t="shared" si="47"/>
        <v>CY</v>
      </c>
    </row>
    <row r="509" spans="1:25" x14ac:dyDescent="0.3">
      <c r="A509" s="2" t="s">
        <v>1449</v>
      </c>
      <c r="B509" s="2" t="s">
        <v>1450</v>
      </c>
      <c r="C509" s="2" t="s">
        <v>25</v>
      </c>
      <c r="D509" s="2">
        <v>558</v>
      </c>
      <c r="E509" s="2">
        <v>370</v>
      </c>
      <c r="F509" s="2">
        <v>791</v>
      </c>
      <c r="G509" s="2">
        <v>791</v>
      </c>
      <c r="H509" s="2">
        <v>831</v>
      </c>
      <c r="I509" s="2">
        <v>460</v>
      </c>
      <c r="J509" s="2">
        <v>767</v>
      </c>
      <c r="K509" s="2">
        <v>789</v>
      </c>
      <c r="L509" s="2">
        <v>414</v>
      </c>
      <c r="M509" s="2">
        <v>291</v>
      </c>
      <c r="N509" s="2">
        <v>644</v>
      </c>
      <c r="O509" s="2">
        <v>332</v>
      </c>
      <c r="P509" s="2">
        <v>7038</v>
      </c>
      <c r="Q509" s="2">
        <v>10</v>
      </c>
      <c r="R509" s="2">
        <v>70380</v>
      </c>
      <c r="S509" s="4">
        <f>SUM($R$2:R509) / SUM($R:$R)</f>
        <v>0.98872082208518808</v>
      </c>
      <c r="T509" s="3" t="str">
        <f t="shared" si="42"/>
        <v>C</v>
      </c>
      <c r="U509" s="2">
        <f t="shared" si="43"/>
        <v>586.5</v>
      </c>
      <c r="V509" s="2">
        <f t="shared" si="44"/>
        <v>205.79049364032167</v>
      </c>
      <c r="W509" s="2">
        <f t="shared" si="45"/>
        <v>0.35087893203805909</v>
      </c>
      <c r="X509" s="2" t="str">
        <f t="shared" si="46"/>
        <v>Y</v>
      </c>
      <c r="Y509" s="2" t="str">
        <f t="shared" si="47"/>
        <v>CY</v>
      </c>
    </row>
    <row r="510" spans="1:25" x14ac:dyDescent="0.3">
      <c r="A510" s="2" t="s">
        <v>513</v>
      </c>
      <c r="B510" s="2" t="s">
        <v>514</v>
      </c>
      <c r="C510" s="2" t="s">
        <v>56</v>
      </c>
      <c r="D510" s="2">
        <v>123</v>
      </c>
      <c r="E510" s="2">
        <v>116</v>
      </c>
      <c r="F510" s="2">
        <v>114</v>
      </c>
      <c r="G510" s="2">
        <v>118</v>
      </c>
      <c r="H510" s="2">
        <v>127</v>
      </c>
      <c r="I510" s="2">
        <v>108</v>
      </c>
      <c r="J510" s="2">
        <v>108</v>
      </c>
      <c r="K510" s="2">
        <v>122</v>
      </c>
      <c r="L510" s="2">
        <v>118</v>
      </c>
      <c r="M510" s="2">
        <v>106</v>
      </c>
      <c r="N510" s="2">
        <v>120</v>
      </c>
      <c r="O510" s="2">
        <v>125</v>
      </c>
      <c r="P510" s="2">
        <v>1405</v>
      </c>
      <c r="Q510" s="2">
        <v>50</v>
      </c>
      <c r="R510" s="2">
        <v>70250</v>
      </c>
      <c r="S510" s="4">
        <f>SUM($R$2:R510) / SUM($R:$R)</f>
        <v>0.98878633620690859</v>
      </c>
      <c r="T510" s="3" t="str">
        <f t="shared" si="42"/>
        <v>C</v>
      </c>
      <c r="U510" s="2">
        <f t="shared" si="43"/>
        <v>117.08333333333333</v>
      </c>
      <c r="V510" s="2">
        <f t="shared" si="44"/>
        <v>6.9342146875715729</v>
      </c>
      <c r="W510" s="2">
        <f t="shared" si="45"/>
        <v>5.9224609431216282E-2</v>
      </c>
      <c r="X510" s="2" t="str">
        <f t="shared" si="46"/>
        <v>X</v>
      </c>
      <c r="Y510" s="2" t="str">
        <f t="shared" si="47"/>
        <v>CX</v>
      </c>
    </row>
    <row r="511" spans="1:25" x14ac:dyDescent="0.3">
      <c r="A511" s="2" t="s">
        <v>1335</v>
      </c>
      <c r="B511" s="2" t="s">
        <v>1336</v>
      </c>
      <c r="C511" s="2" t="s">
        <v>25</v>
      </c>
      <c r="D511" s="2">
        <v>700</v>
      </c>
      <c r="E511" s="2">
        <v>279</v>
      </c>
      <c r="F511" s="2">
        <v>867</v>
      </c>
      <c r="G511" s="2">
        <v>608</v>
      </c>
      <c r="H511" s="2">
        <v>357</v>
      </c>
      <c r="I511" s="2">
        <v>583</v>
      </c>
      <c r="J511" s="2">
        <v>473</v>
      </c>
      <c r="K511" s="2">
        <v>449</v>
      </c>
      <c r="L511" s="2">
        <v>858</v>
      </c>
      <c r="M511" s="2">
        <v>852</v>
      </c>
      <c r="N511" s="2">
        <v>344</v>
      </c>
      <c r="O511" s="2">
        <v>613</v>
      </c>
      <c r="P511" s="2">
        <v>6983</v>
      </c>
      <c r="Q511" s="2">
        <v>10</v>
      </c>
      <c r="R511" s="2">
        <v>69830</v>
      </c>
      <c r="S511" s="4">
        <f>SUM($R$2:R511) / SUM($R:$R)</f>
        <v>0.98885145864277679</v>
      </c>
      <c r="T511" s="3" t="str">
        <f t="shared" si="42"/>
        <v>C</v>
      </c>
      <c r="U511" s="2">
        <f t="shared" si="43"/>
        <v>581.91666666666663</v>
      </c>
      <c r="V511" s="2">
        <f t="shared" si="44"/>
        <v>207.69534434022842</v>
      </c>
      <c r="W511" s="2">
        <f t="shared" si="45"/>
        <v>0.35691595762319078</v>
      </c>
      <c r="X511" s="2" t="str">
        <f t="shared" si="46"/>
        <v>Y</v>
      </c>
      <c r="Y511" s="2" t="str">
        <f t="shared" si="47"/>
        <v>CY</v>
      </c>
    </row>
    <row r="512" spans="1:25" x14ac:dyDescent="0.3">
      <c r="A512" s="2" t="s">
        <v>849</v>
      </c>
      <c r="B512" s="2" t="s">
        <v>850</v>
      </c>
      <c r="C512" s="2" t="s">
        <v>25</v>
      </c>
      <c r="D512" s="2">
        <v>570</v>
      </c>
      <c r="E512" s="2">
        <v>654</v>
      </c>
      <c r="F512" s="2">
        <v>394</v>
      </c>
      <c r="G512" s="2">
        <v>643</v>
      </c>
      <c r="H512" s="2">
        <v>469</v>
      </c>
      <c r="I512" s="2">
        <v>573</v>
      </c>
      <c r="J512" s="2">
        <v>859</v>
      </c>
      <c r="K512" s="2">
        <v>822</v>
      </c>
      <c r="L512" s="2">
        <v>372</v>
      </c>
      <c r="M512" s="2">
        <v>593</v>
      </c>
      <c r="N512" s="2">
        <v>456</v>
      </c>
      <c r="O512" s="2">
        <v>530</v>
      </c>
      <c r="P512" s="2">
        <v>6935</v>
      </c>
      <c r="Q512" s="2">
        <v>10</v>
      </c>
      <c r="R512" s="2">
        <v>69350</v>
      </c>
      <c r="S512" s="4">
        <f>SUM($R$2:R512) / SUM($R:$R)</f>
        <v>0.98891613343767093</v>
      </c>
      <c r="T512" s="3" t="str">
        <f t="shared" si="42"/>
        <v>C</v>
      </c>
      <c r="U512" s="2">
        <f t="shared" si="43"/>
        <v>577.91666666666663</v>
      </c>
      <c r="V512" s="2">
        <f t="shared" si="44"/>
        <v>152.00864708258794</v>
      </c>
      <c r="W512" s="2">
        <f t="shared" si="45"/>
        <v>0.26302866113785944</v>
      </c>
      <c r="X512" s="2" t="str">
        <f t="shared" si="46"/>
        <v>Y</v>
      </c>
      <c r="Y512" s="2" t="str">
        <f t="shared" si="47"/>
        <v>CY</v>
      </c>
    </row>
    <row r="513" spans="1:25" x14ac:dyDescent="0.3">
      <c r="A513" s="2" t="s">
        <v>1499</v>
      </c>
      <c r="B513" s="2" t="s">
        <v>1500</v>
      </c>
      <c r="C513" s="2" t="s">
        <v>25</v>
      </c>
      <c r="D513" s="2">
        <v>424</v>
      </c>
      <c r="E513" s="2">
        <v>439</v>
      </c>
      <c r="F513" s="2">
        <v>455</v>
      </c>
      <c r="G513" s="2">
        <v>530</v>
      </c>
      <c r="H513" s="2">
        <v>703</v>
      </c>
      <c r="I513" s="2">
        <v>626</v>
      </c>
      <c r="J513" s="2">
        <v>673</v>
      </c>
      <c r="K513" s="2">
        <v>627</v>
      </c>
      <c r="L513" s="2">
        <v>589</v>
      </c>
      <c r="M513" s="2">
        <v>607</v>
      </c>
      <c r="N513" s="2">
        <v>810</v>
      </c>
      <c r="O513" s="2">
        <v>444</v>
      </c>
      <c r="P513" s="2">
        <v>6927</v>
      </c>
      <c r="Q513" s="2">
        <v>10</v>
      </c>
      <c r="R513" s="2">
        <v>69270</v>
      </c>
      <c r="S513" s="4">
        <f>SUM($R$2:R513) / SUM($R:$R)</f>
        <v>0.98898073362573613</v>
      </c>
      <c r="T513" s="3" t="str">
        <f t="shared" si="42"/>
        <v>C</v>
      </c>
      <c r="U513" s="2">
        <f t="shared" si="43"/>
        <v>577.25</v>
      </c>
      <c r="V513" s="2">
        <f t="shared" si="44"/>
        <v>121.56563883538205</v>
      </c>
      <c r="W513" s="2">
        <f t="shared" si="45"/>
        <v>0.21059443713361983</v>
      </c>
      <c r="X513" s="2" t="str">
        <f t="shared" si="46"/>
        <v>Y</v>
      </c>
      <c r="Y513" s="2" t="str">
        <f t="shared" si="47"/>
        <v>CY</v>
      </c>
    </row>
    <row r="514" spans="1:25" x14ac:dyDescent="0.3">
      <c r="A514" s="2" t="s">
        <v>1295</v>
      </c>
      <c r="B514" s="2" t="s">
        <v>1296</v>
      </c>
      <c r="C514" s="2" t="s">
        <v>20</v>
      </c>
      <c r="D514" s="2">
        <v>2831</v>
      </c>
      <c r="E514" s="2">
        <v>2805</v>
      </c>
      <c r="F514" s="2">
        <v>2973</v>
      </c>
      <c r="G514" s="2">
        <v>3063</v>
      </c>
      <c r="H514" s="2">
        <v>2707</v>
      </c>
      <c r="I514" s="2">
        <v>3157</v>
      </c>
      <c r="J514" s="2">
        <v>3136</v>
      </c>
      <c r="K514" s="2">
        <v>2881</v>
      </c>
      <c r="L514" s="2">
        <v>2830</v>
      </c>
      <c r="M514" s="2">
        <v>2663</v>
      </c>
      <c r="N514" s="2">
        <v>2602</v>
      </c>
      <c r="O514" s="2">
        <v>2823</v>
      </c>
      <c r="P514" s="2">
        <v>34471</v>
      </c>
      <c r="Q514" s="2">
        <v>2</v>
      </c>
      <c r="R514" s="2">
        <v>68942</v>
      </c>
      <c r="S514" s="4">
        <f>SUM($R$2:R514) / SUM($R:$R)</f>
        <v>0.9890450279258024</v>
      </c>
      <c r="T514" s="3" t="str">
        <f t="shared" si="42"/>
        <v>C</v>
      </c>
      <c r="U514" s="2">
        <f t="shared" si="43"/>
        <v>2872.5833333333335</v>
      </c>
      <c r="V514" s="2">
        <f t="shared" si="44"/>
        <v>178.8399275804195</v>
      </c>
      <c r="W514" s="2">
        <f t="shared" si="45"/>
        <v>6.2257524613879317E-2</v>
      </c>
      <c r="X514" s="2" t="str">
        <f t="shared" si="46"/>
        <v>X</v>
      </c>
      <c r="Y514" s="2" t="str">
        <f t="shared" si="47"/>
        <v>CX</v>
      </c>
    </row>
    <row r="515" spans="1:25" x14ac:dyDescent="0.3">
      <c r="A515" s="2" t="s">
        <v>1453</v>
      </c>
      <c r="B515" s="2" t="s">
        <v>1454</v>
      </c>
      <c r="C515" s="2" t="s">
        <v>25</v>
      </c>
      <c r="D515" s="2">
        <v>839</v>
      </c>
      <c r="E515" s="2">
        <v>491</v>
      </c>
      <c r="F515" s="2">
        <v>905</v>
      </c>
      <c r="G515" s="2">
        <v>427</v>
      </c>
      <c r="H515" s="2">
        <v>574</v>
      </c>
      <c r="I515" s="2">
        <v>359</v>
      </c>
      <c r="J515" s="2">
        <v>363</v>
      </c>
      <c r="K515" s="2">
        <v>422</v>
      </c>
      <c r="L515" s="2">
        <v>686</v>
      </c>
      <c r="M515" s="2">
        <v>711</v>
      </c>
      <c r="N515" s="2">
        <v>473</v>
      </c>
      <c r="O515" s="2">
        <v>594</v>
      </c>
      <c r="P515" s="2">
        <v>6844</v>
      </c>
      <c r="Q515" s="2">
        <v>10</v>
      </c>
      <c r="R515" s="2">
        <v>68440</v>
      </c>
      <c r="S515" s="4">
        <f>SUM($R$2:R515) / SUM($R:$R)</f>
        <v>0.98910885406801663</v>
      </c>
      <c r="T515" s="3" t="str">
        <f t="shared" ref="T515:T578" si="48">IF(S515&lt;=0.7, "A", IF(S515&lt;=0.9, "B", "C"))</f>
        <v>C</v>
      </c>
      <c r="U515" s="2">
        <f t="shared" ref="U515:U578" si="49">AVERAGE(D515:O515)</f>
        <v>570.33333333333337</v>
      </c>
      <c r="V515" s="2">
        <f t="shared" ref="V515:V578" si="50">_xlfn.STDEV.S(D515:O515)</f>
        <v>181.88074681121708</v>
      </c>
      <c r="W515" s="2">
        <f t="shared" ref="W515:W578" si="51">IF(U515=0,0,V515/U515)</f>
        <v>0.31890253678179498</v>
      </c>
      <c r="X515" s="2" t="str">
        <f t="shared" ref="X515:X578" si="52">(IF(W515&lt;=0.2, "X", IF(W515&lt;=0.5, "Y", "Z")))</f>
        <v>Y</v>
      </c>
      <c r="Y515" s="2" t="str">
        <f t="shared" ref="Y515:Y578" si="53">T515&amp;X515</f>
        <v>CY</v>
      </c>
    </row>
    <row r="516" spans="1:25" x14ac:dyDescent="0.3">
      <c r="A516" s="2" t="s">
        <v>1581</v>
      </c>
      <c r="B516" s="2" t="s">
        <v>1582</v>
      </c>
      <c r="C516" s="2" t="s">
        <v>20</v>
      </c>
      <c r="D516" s="2">
        <v>2872</v>
      </c>
      <c r="E516" s="2">
        <v>2915</v>
      </c>
      <c r="F516" s="2">
        <v>2894</v>
      </c>
      <c r="G516" s="2">
        <v>2458</v>
      </c>
      <c r="H516" s="2">
        <v>2701</v>
      </c>
      <c r="I516" s="2">
        <v>2815</v>
      </c>
      <c r="J516" s="2">
        <v>2838</v>
      </c>
      <c r="K516" s="2">
        <v>2895</v>
      </c>
      <c r="L516" s="2">
        <v>3221</v>
      </c>
      <c r="M516" s="2">
        <v>2537</v>
      </c>
      <c r="N516" s="2">
        <v>2823</v>
      </c>
      <c r="O516" s="2">
        <v>2863</v>
      </c>
      <c r="P516" s="2">
        <v>33832</v>
      </c>
      <c r="Q516" s="2">
        <v>2</v>
      </c>
      <c r="R516" s="2">
        <v>67664</v>
      </c>
      <c r="S516" s="4">
        <f>SUM($R$2:R516) / SUM($R:$R)</f>
        <v>0.98917195652398948</v>
      </c>
      <c r="T516" s="3" t="str">
        <f t="shared" si="48"/>
        <v>C</v>
      </c>
      <c r="U516" s="2">
        <f t="shared" si="49"/>
        <v>2819.3333333333335</v>
      </c>
      <c r="V516" s="2">
        <f t="shared" si="50"/>
        <v>193.32654115550588</v>
      </c>
      <c r="W516" s="2">
        <f t="shared" si="51"/>
        <v>6.8571721857001375E-2</v>
      </c>
      <c r="X516" s="2" t="str">
        <f t="shared" si="52"/>
        <v>X</v>
      </c>
      <c r="Y516" s="2" t="str">
        <f t="shared" si="53"/>
        <v>CX</v>
      </c>
    </row>
    <row r="517" spans="1:25" x14ac:dyDescent="0.3">
      <c r="A517" s="2" t="s">
        <v>1145</v>
      </c>
      <c r="B517" s="2" t="s">
        <v>1146</v>
      </c>
      <c r="C517" s="2" t="s">
        <v>25</v>
      </c>
      <c r="D517" s="2">
        <v>704</v>
      </c>
      <c r="E517" s="2">
        <v>646</v>
      </c>
      <c r="F517" s="2">
        <v>699</v>
      </c>
      <c r="G517" s="2">
        <v>292</v>
      </c>
      <c r="H517" s="2">
        <v>828</v>
      </c>
      <c r="I517" s="2">
        <v>512</v>
      </c>
      <c r="J517" s="2">
        <v>528</v>
      </c>
      <c r="K517" s="2">
        <v>334</v>
      </c>
      <c r="L517" s="2">
        <v>257</v>
      </c>
      <c r="M517" s="2">
        <v>469</v>
      </c>
      <c r="N517" s="2">
        <v>749</v>
      </c>
      <c r="O517" s="2">
        <v>716</v>
      </c>
      <c r="P517" s="2">
        <v>6734</v>
      </c>
      <c r="Q517" s="2">
        <v>10</v>
      </c>
      <c r="R517" s="2">
        <v>67340</v>
      </c>
      <c r="S517" s="4">
        <f>SUM($R$2:R517) / SUM($R:$R)</f>
        <v>0.98923475682230488</v>
      </c>
      <c r="T517" s="3" t="str">
        <f t="shared" si="48"/>
        <v>C</v>
      </c>
      <c r="U517" s="2">
        <f t="shared" si="49"/>
        <v>561.16666666666663</v>
      </c>
      <c r="V517" s="2">
        <f t="shared" si="50"/>
        <v>192.03116855596562</v>
      </c>
      <c r="W517" s="2">
        <f t="shared" si="51"/>
        <v>0.34219988456661532</v>
      </c>
      <c r="X517" s="2" t="str">
        <f t="shared" si="52"/>
        <v>Y</v>
      </c>
      <c r="Y517" s="2" t="str">
        <f t="shared" si="53"/>
        <v>CY</v>
      </c>
    </row>
    <row r="518" spans="1:25" x14ac:dyDescent="0.3">
      <c r="A518" s="2" t="s">
        <v>1007</v>
      </c>
      <c r="B518" s="2" t="s">
        <v>1008</v>
      </c>
      <c r="C518" s="2" t="s">
        <v>36</v>
      </c>
      <c r="D518" s="2">
        <v>122</v>
      </c>
      <c r="E518" s="2">
        <v>112</v>
      </c>
      <c r="F518" s="2">
        <v>102</v>
      </c>
      <c r="G518" s="2">
        <v>99</v>
      </c>
      <c r="H518" s="2">
        <v>108</v>
      </c>
      <c r="I518" s="2">
        <v>121</v>
      </c>
      <c r="J518" s="2">
        <v>123</v>
      </c>
      <c r="K518" s="2">
        <v>108</v>
      </c>
      <c r="L518" s="2">
        <v>120</v>
      </c>
      <c r="M518" s="2">
        <v>91</v>
      </c>
      <c r="N518" s="2">
        <v>127</v>
      </c>
      <c r="O518" s="2">
        <v>111</v>
      </c>
      <c r="P518" s="2">
        <v>1344</v>
      </c>
      <c r="Q518" s="2">
        <v>50</v>
      </c>
      <c r="R518" s="2">
        <v>67200</v>
      </c>
      <c r="S518" s="4">
        <f>SUM($R$2:R518) / SUM($R:$R)</f>
        <v>0.98929742655866959</v>
      </c>
      <c r="T518" s="3" t="str">
        <f t="shared" si="48"/>
        <v>C</v>
      </c>
      <c r="U518" s="2">
        <f t="shared" si="49"/>
        <v>112</v>
      </c>
      <c r="V518" s="2">
        <f t="shared" si="50"/>
        <v>11.012389716711231</v>
      </c>
      <c r="W518" s="2">
        <f t="shared" si="51"/>
        <v>9.8324908184921705E-2</v>
      </c>
      <c r="X518" s="2" t="str">
        <f t="shared" si="52"/>
        <v>X</v>
      </c>
      <c r="Y518" s="2" t="str">
        <f t="shared" si="53"/>
        <v>CX</v>
      </c>
    </row>
    <row r="519" spans="1:25" x14ac:dyDescent="0.3">
      <c r="A519" s="2" t="s">
        <v>941</v>
      </c>
      <c r="B519" s="2" t="s">
        <v>942</v>
      </c>
      <c r="C519" s="2" t="s">
        <v>25</v>
      </c>
      <c r="D519" s="2">
        <v>782</v>
      </c>
      <c r="E519" s="2">
        <v>831</v>
      </c>
      <c r="F519" s="2">
        <v>705</v>
      </c>
      <c r="G519" s="2">
        <v>433</v>
      </c>
      <c r="H519" s="2">
        <v>527</v>
      </c>
      <c r="I519" s="2">
        <v>443</v>
      </c>
      <c r="J519" s="2">
        <v>246</v>
      </c>
      <c r="K519" s="2">
        <v>623</v>
      </c>
      <c r="L519" s="2">
        <v>548</v>
      </c>
      <c r="M519" s="2">
        <v>685</v>
      </c>
      <c r="N519" s="2">
        <v>400</v>
      </c>
      <c r="O519" s="2">
        <v>447</v>
      </c>
      <c r="P519" s="2">
        <v>6670</v>
      </c>
      <c r="Q519" s="2">
        <v>10</v>
      </c>
      <c r="R519" s="2">
        <v>66700</v>
      </c>
      <c r="S519" s="4">
        <f>SUM($R$2:R519) / SUM($R:$R)</f>
        <v>0.98935963000235294</v>
      </c>
      <c r="T519" s="3" t="str">
        <f t="shared" si="48"/>
        <v>C</v>
      </c>
      <c r="U519" s="2">
        <f t="shared" si="49"/>
        <v>555.83333333333337</v>
      </c>
      <c r="V519" s="2">
        <f t="shared" si="50"/>
        <v>173.50705164256857</v>
      </c>
      <c r="W519" s="2">
        <f t="shared" si="51"/>
        <v>0.31215661464929878</v>
      </c>
      <c r="X519" s="2" t="str">
        <f t="shared" si="52"/>
        <v>Y</v>
      </c>
      <c r="Y519" s="2" t="str">
        <f t="shared" si="53"/>
        <v>CY</v>
      </c>
    </row>
    <row r="520" spans="1:25" x14ac:dyDescent="0.3">
      <c r="A520" s="2" t="s">
        <v>539</v>
      </c>
      <c r="B520" s="2" t="s">
        <v>540</v>
      </c>
      <c r="C520" s="2" t="s">
        <v>20</v>
      </c>
      <c r="D520" s="2">
        <v>2776</v>
      </c>
      <c r="E520" s="2">
        <v>2640</v>
      </c>
      <c r="F520" s="2">
        <v>2499</v>
      </c>
      <c r="G520" s="2">
        <v>2946</v>
      </c>
      <c r="H520" s="2">
        <v>2737</v>
      </c>
      <c r="I520" s="2">
        <v>2794</v>
      </c>
      <c r="J520" s="2">
        <v>2763</v>
      </c>
      <c r="K520" s="2">
        <v>2789</v>
      </c>
      <c r="L520" s="2">
        <v>2689</v>
      </c>
      <c r="M520" s="2">
        <v>2793</v>
      </c>
      <c r="N520" s="2">
        <v>2891</v>
      </c>
      <c r="O520" s="2">
        <v>2950</v>
      </c>
      <c r="P520" s="2">
        <v>33267</v>
      </c>
      <c r="Q520" s="2">
        <v>2</v>
      </c>
      <c r="R520" s="2">
        <v>66534</v>
      </c>
      <c r="S520" s="4">
        <f>SUM($R$2:R520) / SUM($R:$R)</f>
        <v>0.98942167863686614</v>
      </c>
      <c r="T520" s="3" t="str">
        <f t="shared" si="48"/>
        <v>C</v>
      </c>
      <c r="U520" s="2">
        <f t="shared" si="49"/>
        <v>2772.25</v>
      </c>
      <c r="V520" s="2">
        <f t="shared" si="50"/>
        <v>127.02836118542405</v>
      </c>
      <c r="W520" s="2">
        <f t="shared" si="51"/>
        <v>4.5821394602010658E-2</v>
      </c>
      <c r="X520" s="2" t="str">
        <f t="shared" si="52"/>
        <v>X</v>
      </c>
      <c r="Y520" s="2" t="str">
        <f t="shared" si="53"/>
        <v>CX</v>
      </c>
    </row>
    <row r="521" spans="1:25" x14ac:dyDescent="0.3">
      <c r="A521" s="2" t="s">
        <v>869</v>
      </c>
      <c r="B521" s="2" t="s">
        <v>870</v>
      </c>
      <c r="C521" s="2" t="s">
        <v>20</v>
      </c>
      <c r="D521" s="2">
        <v>2702</v>
      </c>
      <c r="E521" s="2">
        <v>2716</v>
      </c>
      <c r="F521" s="2">
        <v>2787</v>
      </c>
      <c r="G521" s="2">
        <v>2909</v>
      </c>
      <c r="H521" s="2">
        <v>2570</v>
      </c>
      <c r="I521" s="2">
        <v>2955</v>
      </c>
      <c r="J521" s="2">
        <v>2677</v>
      </c>
      <c r="K521" s="2">
        <v>2857</v>
      </c>
      <c r="L521" s="2">
        <v>2874</v>
      </c>
      <c r="M521" s="2">
        <v>2922</v>
      </c>
      <c r="N521" s="2">
        <v>2791</v>
      </c>
      <c r="O521" s="2">
        <v>2422</v>
      </c>
      <c r="P521" s="2">
        <v>33182</v>
      </c>
      <c r="Q521" s="2">
        <v>2</v>
      </c>
      <c r="R521" s="2">
        <v>66364</v>
      </c>
      <c r="S521" s="4">
        <f>SUM($R$2:R521) / SUM($R:$R)</f>
        <v>0.9894835687318676</v>
      </c>
      <c r="T521" s="3" t="str">
        <f t="shared" si="48"/>
        <v>C</v>
      </c>
      <c r="U521" s="2">
        <f t="shared" si="49"/>
        <v>2765.1666666666665</v>
      </c>
      <c r="V521" s="2">
        <f t="shared" si="50"/>
        <v>157.47371112973013</v>
      </c>
      <c r="W521" s="2">
        <f t="shared" si="51"/>
        <v>5.6949084851930613E-2</v>
      </c>
      <c r="X521" s="2" t="str">
        <f t="shared" si="52"/>
        <v>X</v>
      </c>
      <c r="Y521" s="2" t="str">
        <f t="shared" si="53"/>
        <v>CX</v>
      </c>
    </row>
    <row r="522" spans="1:25" x14ac:dyDescent="0.3">
      <c r="A522" s="2" t="s">
        <v>52</v>
      </c>
      <c r="B522" s="2" t="s">
        <v>53</v>
      </c>
      <c r="C522" s="2" t="s">
        <v>20</v>
      </c>
      <c r="D522" s="2">
        <v>2829</v>
      </c>
      <c r="E522" s="2">
        <v>3018</v>
      </c>
      <c r="F522" s="2">
        <v>2878</v>
      </c>
      <c r="G522" s="2">
        <v>2427</v>
      </c>
      <c r="H522" s="2">
        <v>2987</v>
      </c>
      <c r="I522" s="2">
        <v>2597</v>
      </c>
      <c r="J522" s="2">
        <v>2541</v>
      </c>
      <c r="K522" s="2">
        <v>2887</v>
      </c>
      <c r="L522" s="2">
        <v>2792</v>
      </c>
      <c r="M522" s="2">
        <v>2821</v>
      </c>
      <c r="N522" s="2">
        <v>2245</v>
      </c>
      <c r="O522" s="2">
        <v>2947</v>
      </c>
      <c r="P522" s="2">
        <v>32969</v>
      </c>
      <c r="Q522" s="2">
        <v>2</v>
      </c>
      <c r="R522" s="2">
        <v>65938</v>
      </c>
      <c r="S522" s="4">
        <f>SUM($R$2:R522) / SUM($R:$R)</f>
        <v>0.9895450615455047</v>
      </c>
      <c r="T522" s="3" t="str">
        <f t="shared" si="48"/>
        <v>C</v>
      </c>
      <c r="U522" s="2">
        <f t="shared" si="49"/>
        <v>2747.4166666666665</v>
      </c>
      <c r="V522" s="2">
        <f t="shared" si="50"/>
        <v>241.46614983295592</v>
      </c>
      <c r="W522" s="2">
        <f t="shared" si="51"/>
        <v>8.7888434529269047E-2</v>
      </c>
      <c r="X522" s="2" t="str">
        <f t="shared" si="52"/>
        <v>X</v>
      </c>
      <c r="Y522" s="2" t="str">
        <f t="shared" si="53"/>
        <v>CX</v>
      </c>
    </row>
    <row r="523" spans="1:25" x14ac:dyDescent="0.3">
      <c r="A523" s="2" t="s">
        <v>409</v>
      </c>
      <c r="B523" s="2" t="s">
        <v>410</v>
      </c>
      <c r="C523" s="2" t="s">
        <v>20</v>
      </c>
      <c r="D523" s="2">
        <v>2690</v>
      </c>
      <c r="E523" s="2">
        <v>2735</v>
      </c>
      <c r="F523" s="2">
        <v>2806</v>
      </c>
      <c r="G523" s="2">
        <v>2961</v>
      </c>
      <c r="H523" s="2">
        <v>2653</v>
      </c>
      <c r="I523" s="2">
        <v>2352</v>
      </c>
      <c r="J523" s="2">
        <v>2693</v>
      </c>
      <c r="K523" s="2">
        <v>3189</v>
      </c>
      <c r="L523" s="2">
        <v>2801</v>
      </c>
      <c r="M523" s="2">
        <v>2679</v>
      </c>
      <c r="N523" s="2">
        <v>2579</v>
      </c>
      <c r="O523" s="2">
        <v>2709</v>
      </c>
      <c r="P523" s="2">
        <v>32847</v>
      </c>
      <c r="Q523" s="2">
        <v>2</v>
      </c>
      <c r="R523" s="2">
        <v>65694</v>
      </c>
      <c r="S523" s="4">
        <f>SUM($R$2:R523) / SUM($R:$R)</f>
        <v>0.98960632680831329</v>
      </c>
      <c r="T523" s="3" t="str">
        <f t="shared" si="48"/>
        <v>C</v>
      </c>
      <c r="U523" s="2">
        <f t="shared" si="49"/>
        <v>2737.25</v>
      </c>
      <c r="V523" s="2">
        <f t="shared" si="50"/>
        <v>202.68162449785848</v>
      </c>
      <c r="W523" s="2">
        <f t="shared" si="51"/>
        <v>7.4045711753715771E-2</v>
      </c>
      <c r="X523" s="2" t="str">
        <f t="shared" si="52"/>
        <v>X</v>
      </c>
      <c r="Y523" s="2" t="str">
        <f t="shared" si="53"/>
        <v>CX</v>
      </c>
    </row>
    <row r="524" spans="1:25" x14ac:dyDescent="0.3">
      <c r="A524" s="2" t="s">
        <v>689</v>
      </c>
      <c r="B524" s="2" t="s">
        <v>690</v>
      </c>
      <c r="C524" s="2" t="s">
        <v>20</v>
      </c>
      <c r="D524" s="2">
        <v>2710</v>
      </c>
      <c r="E524" s="2">
        <v>2754</v>
      </c>
      <c r="F524" s="2">
        <v>2974</v>
      </c>
      <c r="G524" s="2">
        <v>2766</v>
      </c>
      <c r="H524" s="2">
        <v>2594</v>
      </c>
      <c r="I524" s="2">
        <v>2490</v>
      </c>
      <c r="J524" s="2">
        <v>2754</v>
      </c>
      <c r="K524" s="2">
        <v>2789</v>
      </c>
      <c r="L524" s="2">
        <v>2574</v>
      </c>
      <c r="M524" s="2">
        <v>2995</v>
      </c>
      <c r="N524" s="2">
        <v>2705</v>
      </c>
      <c r="O524" s="2">
        <v>2738</v>
      </c>
      <c r="P524" s="2">
        <v>32843</v>
      </c>
      <c r="Q524" s="2">
        <v>2</v>
      </c>
      <c r="R524" s="2">
        <v>65686</v>
      </c>
      <c r="S524" s="4">
        <f>SUM($R$2:R524) / SUM($R:$R)</f>
        <v>0.98966758461043902</v>
      </c>
      <c r="T524" s="3" t="str">
        <f t="shared" si="48"/>
        <v>C</v>
      </c>
      <c r="U524" s="2">
        <f t="shared" si="49"/>
        <v>2736.9166666666665</v>
      </c>
      <c r="V524" s="2">
        <f t="shared" si="50"/>
        <v>146.67122065932693</v>
      </c>
      <c r="W524" s="2">
        <f t="shared" si="51"/>
        <v>5.3589947566054362E-2</v>
      </c>
      <c r="X524" s="2" t="str">
        <f t="shared" si="52"/>
        <v>X</v>
      </c>
      <c r="Y524" s="2" t="str">
        <f t="shared" si="53"/>
        <v>CX</v>
      </c>
    </row>
    <row r="525" spans="1:25" x14ac:dyDescent="0.3">
      <c r="A525" s="2" t="s">
        <v>961</v>
      </c>
      <c r="B525" s="2" t="s">
        <v>962</v>
      </c>
      <c r="C525" s="2" t="s">
        <v>20</v>
      </c>
      <c r="D525" s="2">
        <v>2704</v>
      </c>
      <c r="E525" s="2">
        <v>2617</v>
      </c>
      <c r="F525" s="2">
        <v>2759</v>
      </c>
      <c r="G525" s="2">
        <v>2979</v>
      </c>
      <c r="H525" s="2">
        <v>2851</v>
      </c>
      <c r="I525" s="2">
        <v>3052</v>
      </c>
      <c r="J525" s="2">
        <v>2565</v>
      </c>
      <c r="K525" s="2">
        <v>2572</v>
      </c>
      <c r="L525" s="2">
        <v>2923</v>
      </c>
      <c r="M525" s="2">
        <v>2593</v>
      </c>
      <c r="N525" s="2">
        <v>2552</v>
      </c>
      <c r="O525" s="2">
        <v>2617</v>
      </c>
      <c r="P525" s="2">
        <v>32784</v>
      </c>
      <c r="Q525" s="2">
        <v>2</v>
      </c>
      <c r="R525" s="2">
        <v>65568</v>
      </c>
      <c r="S525" s="4">
        <f>SUM($R$2:R525) / SUM($R:$R)</f>
        <v>0.98972873236749193</v>
      </c>
      <c r="T525" s="3" t="str">
        <f t="shared" si="48"/>
        <v>C</v>
      </c>
      <c r="U525" s="2">
        <f t="shared" si="49"/>
        <v>2732</v>
      </c>
      <c r="V525" s="2">
        <f t="shared" si="50"/>
        <v>177.66771845728806</v>
      </c>
      <c r="W525" s="2">
        <f t="shared" si="51"/>
        <v>6.5032107780852139E-2</v>
      </c>
      <c r="X525" s="2" t="str">
        <f t="shared" si="52"/>
        <v>X</v>
      </c>
      <c r="Y525" s="2" t="str">
        <f t="shared" si="53"/>
        <v>CX</v>
      </c>
    </row>
    <row r="526" spans="1:25" x14ac:dyDescent="0.3">
      <c r="A526" s="2" t="s">
        <v>1263</v>
      </c>
      <c r="B526" s="2" t="s">
        <v>1264</v>
      </c>
      <c r="C526" s="2" t="s">
        <v>25</v>
      </c>
      <c r="D526" s="2">
        <v>631</v>
      </c>
      <c r="E526" s="2">
        <v>455</v>
      </c>
      <c r="F526" s="2">
        <v>408</v>
      </c>
      <c r="G526" s="2">
        <v>371</v>
      </c>
      <c r="H526" s="2">
        <v>510</v>
      </c>
      <c r="I526" s="2">
        <v>853</v>
      </c>
      <c r="J526" s="2">
        <v>836</v>
      </c>
      <c r="K526" s="2">
        <v>295</v>
      </c>
      <c r="L526" s="2">
        <v>488</v>
      </c>
      <c r="M526" s="2">
        <v>401</v>
      </c>
      <c r="N526" s="2">
        <v>800</v>
      </c>
      <c r="O526" s="2">
        <v>481</v>
      </c>
      <c r="P526" s="2">
        <v>6529</v>
      </c>
      <c r="Q526" s="2">
        <v>10</v>
      </c>
      <c r="R526" s="2">
        <v>65290</v>
      </c>
      <c r="S526" s="4">
        <f>SUM($R$2:R526) / SUM($R:$R)</f>
        <v>0.98978962086581412</v>
      </c>
      <c r="T526" s="3" t="str">
        <f t="shared" si="48"/>
        <v>C</v>
      </c>
      <c r="U526" s="2">
        <f t="shared" si="49"/>
        <v>544.08333333333337</v>
      </c>
      <c r="V526" s="2">
        <f t="shared" si="50"/>
        <v>190.90857323162132</v>
      </c>
      <c r="W526" s="2">
        <f t="shared" si="51"/>
        <v>0.35088112709135483</v>
      </c>
      <c r="X526" s="2" t="str">
        <f t="shared" si="52"/>
        <v>Y</v>
      </c>
      <c r="Y526" s="2" t="str">
        <f t="shared" si="53"/>
        <v>CY</v>
      </c>
    </row>
    <row r="527" spans="1:25" x14ac:dyDescent="0.3">
      <c r="A527" s="2" t="s">
        <v>1133</v>
      </c>
      <c r="B527" s="2" t="s">
        <v>1134</v>
      </c>
      <c r="C527" s="2" t="s">
        <v>20</v>
      </c>
      <c r="D527" s="2">
        <v>2844</v>
      </c>
      <c r="E527" s="2">
        <v>2703</v>
      </c>
      <c r="F527" s="2">
        <v>2473</v>
      </c>
      <c r="G527" s="2">
        <v>2686</v>
      </c>
      <c r="H527" s="2">
        <v>2780</v>
      </c>
      <c r="I527" s="2">
        <v>3265</v>
      </c>
      <c r="J527" s="2">
        <v>3023</v>
      </c>
      <c r="K527" s="2">
        <v>2723</v>
      </c>
      <c r="L527" s="2">
        <v>2211</v>
      </c>
      <c r="M527" s="2">
        <v>2530</v>
      </c>
      <c r="N527" s="2">
        <v>2629</v>
      </c>
      <c r="O527" s="2">
        <v>2701</v>
      </c>
      <c r="P527" s="2">
        <v>32568</v>
      </c>
      <c r="Q527" s="2">
        <v>2</v>
      </c>
      <c r="R527" s="2">
        <v>65136</v>
      </c>
      <c r="S527" s="4">
        <f>SUM($R$2:R527) / SUM($R:$R)</f>
        <v>0.98985036574599039</v>
      </c>
      <c r="T527" s="3" t="str">
        <f t="shared" si="48"/>
        <v>C</v>
      </c>
      <c r="U527" s="2">
        <f t="shared" si="49"/>
        <v>2714</v>
      </c>
      <c r="V527" s="2">
        <f t="shared" si="50"/>
        <v>265.20386669332504</v>
      </c>
      <c r="W527" s="2">
        <f t="shared" si="51"/>
        <v>9.7716973726354101E-2</v>
      </c>
      <c r="X527" s="2" t="str">
        <f t="shared" si="52"/>
        <v>X</v>
      </c>
      <c r="Y527" s="2" t="str">
        <f t="shared" si="53"/>
        <v>CX</v>
      </c>
    </row>
    <row r="528" spans="1:25" x14ac:dyDescent="0.3">
      <c r="A528" s="2" t="s">
        <v>329</v>
      </c>
      <c r="B528" s="2" t="s">
        <v>330</v>
      </c>
      <c r="C528" s="2" t="s">
        <v>20</v>
      </c>
      <c r="D528" s="2">
        <v>2778</v>
      </c>
      <c r="E528" s="2">
        <v>2255</v>
      </c>
      <c r="F528" s="2">
        <v>2824</v>
      </c>
      <c r="G528" s="2">
        <v>3109</v>
      </c>
      <c r="H528" s="2">
        <v>2539</v>
      </c>
      <c r="I528" s="2">
        <v>2558</v>
      </c>
      <c r="J528" s="2">
        <v>2680</v>
      </c>
      <c r="K528" s="2">
        <v>2594</v>
      </c>
      <c r="L528" s="2">
        <v>3005</v>
      </c>
      <c r="M528" s="2">
        <v>2835</v>
      </c>
      <c r="N528" s="2">
        <v>2757</v>
      </c>
      <c r="O528" s="2">
        <v>2607</v>
      </c>
      <c r="P528" s="2">
        <v>32541</v>
      </c>
      <c r="Q528" s="2">
        <v>2</v>
      </c>
      <c r="R528" s="2">
        <v>65082</v>
      </c>
      <c r="S528" s="4">
        <f>SUM($R$2:R528) / SUM($R:$R)</f>
        <v>0.98991106026655717</v>
      </c>
      <c r="T528" s="3" t="str">
        <f t="shared" si="48"/>
        <v>C</v>
      </c>
      <c r="U528" s="2">
        <f t="shared" si="49"/>
        <v>2711.75</v>
      </c>
      <c r="V528" s="2">
        <f t="shared" si="50"/>
        <v>226.83158550302952</v>
      </c>
      <c r="W528" s="2">
        <f t="shared" si="51"/>
        <v>8.3647676040575089E-2</v>
      </c>
      <c r="X528" s="2" t="str">
        <f t="shared" si="52"/>
        <v>X</v>
      </c>
      <c r="Y528" s="2" t="str">
        <f t="shared" si="53"/>
        <v>CX</v>
      </c>
    </row>
    <row r="529" spans="1:25" x14ac:dyDescent="0.3">
      <c r="A529" s="2" t="s">
        <v>925</v>
      </c>
      <c r="B529" s="2" t="s">
        <v>926</v>
      </c>
      <c r="C529" s="2" t="s">
        <v>36</v>
      </c>
      <c r="D529" s="2">
        <v>118</v>
      </c>
      <c r="E529" s="2">
        <v>106</v>
      </c>
      <c r="F529" s="2">
        <v>91</v>
      </c>
      <c r="G529" s="2">
        <v>110</v>
      </c>
      <c r="H529" s="2">
        <v>103</v>
      </c>
      <c r="I529" s="2">
        <v>98</v>
      </c>
      <c r="J529" s="2">
        <v>108</v>
      </c>
      <c r="K529" s="2">
        <v>103</v>
      </c>
      <c r="L529" s="2">
        <v>121</v>
      </c>
      <c r="M529" s="2">
        <v>106</v>
      </c>
      <c r="N529" s="2">
        <v>119</v>
      </c>
      <c r="O529" s="2">
        <v>110</v>
      </c>
      <c r="P529" s="2">
        <v>1293</v>
      </c>
      <c r="Q529" s="2">
        <v>50</v>
      </c>
      <c r="R529" s="2">
        <v>64650</v>
      </c>
      <c r="S529" s="4">
        <f>SUM($R$2:R529) / SUM($R:$R)</f>
        <v>0.98997135191024721</v>
      </c>
      <c r="T529" s="3" t="str">
        <f t="shared" si="48"/>
        <v>C</v>
      </c>
      <c r="U529" s="2">
        <f t="shared" si="49"/>
        <v>107.75</v>
      </c>
      <c r="V529" s="2">
        <f t="shared" si="50"/>
        <v>8.7607077339676156</v>
      </c>
      <c r="W529" s="2">
        <f t="shared" si="51"/>
        <v>8.130587224099875E-2</v>
      </c>
      <c r="X529" s="2" t="str">
        <f t="shared" si="52"/>
        <v>X</v>
      </c>
      <c r="Y529" s="2" t="str">
        <f t="shared" si="53"/>
        <v>CX</v>
      </c>
    </row>
    <row r="530" spans="1:25" x14ac:dyDescent="0.3">
      <c r="A530" s="2" t="s">
        <v>1163</v>
      </c>
      <c r="B530" s="2" t="s">
        <v>1164</v>
      </c>
      <c r="C530" s="2" t="s">
        <v>20</v>
      </c>
      <c r="D530" s="2">
        <v>2827</v>
      </c>
      <c r="E530" s="2">
        <v>2471</v>
      </c>
      <c r="F530" s="2">
        <v>2472</v>
      </c>
      <c r="G530" s="2">
        <v>3232</v>
      </c>
      <c r="H530" s="2">
        <v>2648</v>
      </c>
      <c r="I530" s="2">
        <v>2406</v>
      </c>
      <c r="J530" s="2">
        <v>2926</v>
      </c>
      <c r="K530" s="2">
        <v>2722</v>
      </c>
      <c r="L530" s="2">
        <v>2699</v>
      </c>
      <c r="M530" s="2">
        <v>2383</v>
      </c>
      <c r="N530" s="2">
        <v>2869</v>
      </c>
      <c r="O530" s="2">
        <v>2541</v>
      </c>
      <c r="P530" s="2">
        <v>32196</v>
      </c>
      <c r="Q530" s="2">
        <v>2</v>
      </c>
      <c r="R530" s="2">
        <v>64392</v>
      </c>
      <c r="S530" s="4">
        <f>SUM($R$2:R530) / SUM($R:$R)</f>
        <v>0.99003140294691383</v>
      </c>
      <c r="T530" s="3" t="str">
        <f t="shared" si="48"/>
        <v>C</v>
      </c>
      <c r="U530" s="2">
        <f t="shared" si="49"/>
        <v>2683</v>
      </c>
      <c r="V530" s="2">
        <f t="shared" si="50"/>
        <v>251.38561468932002</v>
      </c>
      <c r="W530" s="2">
        <f t="shared" si="51"/>
        <v>9.3695719228222146E-2</v>
      </c>
      <c r="X530" s="2" t="str">
        <f t="shared" si="52"/>
        <v>X</v>
      </c>
      <c r="Y530" s="2" t="str">
        <f t="shared" si="53"/>
        <v>CX</v>
      </c>
    </row>
    <row r="531" spans="1:25" x14ac:dyDescent="0.3">
      <c r="A531" s="2" t="s">
        <v>1845</v>
      </c>
      <c r="B531" s="2" t="s">
        <v>1846</v>
      </c>
      <c r="C531" s="2" t="s">
        <v>20</v>
      </c>
      <c r="D531" s="2">
        <v>2476</v>
      </c>
      <c r="E531" s="2">
        <v>2511</v>
      </c>
      <c r="F531" s="2">
        <v>2957</v>
      </c>
      <c r="G531" s="2">
        <v>2415</v>
      </c>
      <c r="H531" s="2">
        <v>2431</v>
      </c>
      <c r="I531" s="2">
        <v>2836</v>
      </c>
      <c r="J531" s="2">
        <v>2790</v>
      </c>
      <c r="K531" s="2">
        <v>2332</v>
      </c>
      <c r="L531" s="2">
        <v>2672</v>
      </c>
      <c r="M531" s="2">
        <v>3056</v>
      </c>
      <c r="N531" s="2">
        <v>2964</v>
      </c>
      <c r="O531" s="2">
        <v>2727</v>
      </c>
      <c r="P531" s="2">
        <v>32167</v>
      </c>
      <c r="Q531" s="2">
        <v>2</v>
      </c>
      <c r="R531" s="2">
        <v>64334</v>
      </c>
      <c r="S531" s="4">
        <f>SUM($R$2:R531) / SUM($R:$R)</f>
        <v>0.99009139989362926</v>
      </c>
      <c r="T531" s="3" t="str">
        <f t="shared" si="48"/>
        <v>C</v>
      </c>
      <c r="U531" s="2">
        <f t="shared" si="49"/>
        <v>2680.5833333333335</v>
      </c>
      <c r="V531" s="2">
        <f t="shared" si="50"/>
        <v>245.12944941335991</v>
      </c>
      <c r="W531" s="2">
        <f t="shared" si="51"/>
        <v>9.1446308109563182E-2</v>
      </c>
      <c r="X531" s="2" t="str">
        <f t="shared" si="52"/>
        <v>X</v>
      </c>
      <c r="Y531" s="2" t="str">
        <f t="shared" si="53"/>
        <v>CX</v>
      </c>
    </row>
    <row r="532" spans="1:25" x14ac:dyDescent="0.3">
      <c r="A532" s="2" t="s">
        <v>467</v>
      </c>
      <c r="B532" s="2" t="s">
        <v>468</v>
      </c>
      <c r="C532" s="2" t="s">
        <v>20</v>
      </c>
      <c r="D532" s="2">
        <v>2863</v>
      </c>
      <c r="E532" s="2">
        <v>2740</v>
      </c>
      <c r="F532" s="2">
        <v>2548</v>
      </c>
      <c r="G532" s="2">
        <v>2619</v>
      </c>
      <c r="H532" s="2">
        <v>2401</v>
      </c>
      <c r="I532" s="2">
        <v>2815</v>
      </c>
      <c r="J532" s="2">
        <v>2427</v>
      </c>
      <c r="K532" s="2">
        <v>2566</v>
      </c>
      <c r="L532" s="2">
        <v>2811</v>
      </c>
      <c r="M532" s="2">
        <v>2522</v>
      </c>
      <c r="N532" s="2">
        <v>2741</v>
      </c>
      <c r="O532" s="2">
        <v>2620</v>
      </c>
      <c r="P532" s="2">
        <v>31673</v>
      </c>
      <c r="Q532" s="2">
        <v>2</v>
      </c>
      <c r="R532" s="2">
        <v>63346</v>
      </c>
      <c r="S532" s="4">
        <f>SUM($R$2:R532) / SUM($R:$R)</f>
        <v>0.99015047544600665</v>
      </c>
      <c r="T532" s="3" t="str">
        <f t="shared" si="48"/>
        <v>C</v>
      </c>
      <c r="U532" s="2">
        <f t="shared" si="49"/>
        <v>2639.4166666666665</v>
      </c>
      <c r="V532" s="2">
        <f t="shared" si="50"/>
        <v>154.03273461616311</v>
      </c>
      <c r="W532" s="2">
        <f t="shared" si="51"/>
        <v>5.8358627707951805E-2</v>
      </c>
      <c r="X532" s="2" t="str">
        <f t="shared" si="52"/>
        <v>X</v>
      </c>
      <c r="Y532" s="2" t="str">
        <f t="shared" si="53"/>
        <v>CX</v>
      </c>
    </row>
    <row r="533" spans="1:25" x14ac:dyDescent="0.3">
      <c r="A533" s="2" t="s">
        <v>1435</v>
      </c>
      <c r="B533" s="2" t="s">
        <v>1436</v>
      </c>
      <c r="C533" s="2" t="s">
        <v>25</v>
      </c>
      <c r="D533" s="2">
        <v>268</v>
      </c>
      <c r="E533" s="2">
        <v>726</v>
      </c>
      <c r="F533" s="2">
        <v>655</v>
      </c>
      <c r="G533" s="2">
        <v>519</v>
      </c>
      <c r="H533" s="2">
        <v>206</v>
      </c>
      <c r="I533" s="2">
        <v>777</v>
      </c>
      <c r="J533" s="2">
        <v>561</v>
      </c>
      <c r="K533" s="2">
        <v>323</v>
      </c>
      <c r="L533" s="2">
        <v>486</v>
      </c>
      <c r="M533" s="2">
        <v>608</v>
      </c>
      <c r="N533" s="2">
        <v>775</v>
      </c>
      <c r="O533" s="2">
        <v>425</v>
      </c>
      <c r="P533" s="2">
        <v>6329</v>
      </c>
      <c r="Q533" s="2">
        <v>10</v>
      </c>
      <c r="R533" s="2">
        <v>63290</v>
      </c>
      <c r="S533" s="4">
        <f>SUM($R$2:R533) / SUM($R:$R)</f>
        <v>0.99020949877360365</v>
      </c>
      <c r="T533" s="3" t="str">
        <f t="shared" si="48"/>
        <v>C</v>
      </c>
      <c r="U533" s="2">
        <f t="shared" si="49"/>
        <v>527.41666666666663</v>
      </c>
      <c r="V533" s="2">
        <f t="shared" si="50"/>
        <v>193.43566387976662</v>
      </c>
      <c r="W533" s="2">
        <f t="shared" si="51"/>
        <v>0.36676062040720486</v>
      </c>
      <c r="X533" s="2" t="str">
        <f t="shared" si="52"/>
        <v>Y</v>
      </c>
      <c r="Y533" s="2" t="str">
        <f t="shared" si="53"/>
        <v>CY</v>
      </c>
    </row>
    <row r="534" spans="1:25" x14ac:dyDescent="0.3">
      <c r="A534" s="2" t="s">
        <v>1175</v>
      </c>
      <c r="B534" s="2" t="s">
        <v>1176</v>
      </c>
      <c r="C534" s="2" t="s">
        <v>20</v>
      </c>
      <c r="D534" s="2">
        <v>2775</v>
      </c>
      <c r="E534" s="2">
        <v>2852</v>
      </c>
      <c r="F534" s="2">
        <v>2589</v>
      </c>
      <c r="G534" s="2">
        <v>2718</v>
      </c>
      <c r="H534" s="2">
        <v>2818</v>
      </c>
      <c r="I534" s="2">
        <v>2866</v>
      </c>
      <c r="J534" s="2">
        <v>2441</v>
      </c>
      <c r="K534" s="2">
        <v>2416</v>
      </c>
      <c r="L534" s="2">
        <v>2303</v>
      </c>
      <c r="M534" s="2">
        <v>2732</v>
      </c>
      <c r="N534" s="2">
        <v>2510</v>
      </c>
      <c r="O534" s="2">
        <v>2512</v>
      </c>
      <c r="P534" s="2">
        <v>31532</v>
      </c>
      <c r="Q534" s="2">
        <v>2</v>
      </c>
      <c r="R534" s="2">
        <v>63064</v>
      </c>
      <c r="S534" s="4">
        <f>SUM($R$2:R534) / SUM($R:$R)</f>
        <v>0.99026831133690862</v>
      </c>
      <c r="T534" s="3" t="str">
        <f t="shared" si="48"/>
        <v>C</v>
      </c>
      <c r="U534" s="2">
        <f t="shared" si="49"/>
        <v>2627.6666666666665</v>
      </c>
      <c r="V534" s="2">
        <f t="shared" si="50"/>
        <v>190.18714865929167</v>
      </c>
      <c r="W534" s="2">
        <f t="shared" si="51"/>
        <v>7.2378719520217558E-2</v>
      </c>
      <c r="X534" s="2" t="str">
        <f t="shared" si="52"/>
        <v>X</v>
      </c>
      <c r="Y534" s="2" t="str">
        <f t="shared" si="53"/>
        <v>CX</v>
      </c>
    </row>
    <row r="535" spans="1:25" x14ac:dyDescent="0.3">
      <c r="A535" s="2" t="s">
        <v>1979</v>
      </c>
      <c r="B535" s="2" t="s">
        <v>1980</v>
      </c>
      <c r="C535" s="2" t="s">
        <v>20</v>
      </c>
      <c r="D535" s="2">
        <v>2776</v>
      </c>
      <c r="E535" s="2">
        <v>2679</v>
      </c>
      <c r="F535" s="2">
        <v>2721</v>
      </c>
      <c r="G535" s="2">
        <v>2696</v>
      </c>
      <c r="H535" s="2">
        <v>2699</v>
      </c>
      <c r="I535" s="2">
        <v>2449</v>
      </c>
      <c r="J535" s="2">
        <v>2215</v>
      </c>
      <c r="K535" s="2">
        <v>2477</v>
      </c>
      <c r="L535" s="2">
        <v>2571</v>
      </c>
      <c r="M535" s="2">
        <v>2750</v>
      </c>
      <c r="N535" s="2">
        <v>2798</v>
      </c>
      <c r="O535" s="2">
        <v>2655</v>
      </c>
      <c r="P535" s="2">
        <v>31486</v>
      </c>
      <c r="Q535" s="2">
        <v>2</v>
      </c>
      <c r="R535" s="2">
        <v>62972</v>
      </c>
      <c r="S535" s="4">
        <f>SUM($R$2:R535) / SUM($R:$R)</f>
        <v>0.99032703810236034</v>
      </c>
      <c r="T535" s="3" t="str">
        <f t="shared" si="48"/>
        <v>C</v>
      </c>
      <c r="U535" s="2">
        <f t="shared" si="49"/>
        <v>2623.8333333333335</v>
      </c>
      <c r="V535" s="2">
        <f t="shared" si="50"/>
        <v>169.43319055192836</v>
      </c>
      <c r="W535" s="2">
        <f t="shared" si="51"/>
        <v>6.4574677209653181E-2</v>
      </c>
      <c r="X535" s="2" t="str">
        <f t="shared" si="52"/>
        <v>X</v>
      </c>
      <c r="Y535" s="2" t="str">
        <f t="shared" si="53"/>
        <v>CX</v>
      </c>
    </row>
    <row r="536" spans="1:25" x14ac:dyDescent="0.3">
      <c r="A536" s="2" t="s">
        <v>1033</v>
      </c>
      <c r="B536" s="2" t="s">
        <v>1034</v>
      </c>
      <c r="C536" s="2" t="s">
        <v>20</v>
      </c>
      <c r="D536" s="2">
        <v>2673</v>
      </c>
      <c r="E536" s="2">
        <v>2649</v>
      </c>
      <c r="F536" s="2">
        <v>2825</v>
      </c>
      <c r="G536" s="2">
        <v>2418</v>
      </c>
      <c r="H536" s="2">
        <v>2621</v>
      </c>
      <c r="I536" s="2">
        <v>2629</v>
      </c>
      <c r="J536" s="2">
        <v>2934</v>
      </c>
      <c r="K536" s="2">
        <v>2494</v>
      </c>
      <c r="L536" s="2">
        <v>2516</v>
      </c>
      <c r="M536" s="2">
        <v>2591</v>
      </c>
      <c r="N536" s="2">
        <v>2524</v>
      </c>
      <c r="O536" s="2">
        <v>2586</v>
      </c>
      <c r="P536" s="2">
        <v>31460</v>
      </c>
      <c r="Q536" s="2">
        <v>2</v>
      </c>
      <c r="R536" s="2">
        <v>62920</v>
      </c>
      <c r="S536" s="4">
        <f>SUM($R$2:R536) / SUM($R:$R)</f>
        <v>0.99038571637337325</v>
      </c>
      <c r="T536" s="3" t="str">
        <f t="shared" si="48"/>
        <v>C</v>
      </c>
      <c r="U536" s="2">
        <f t="shared" si="49"/>
        <v>2621.6666666666665</v>
      </c>
      <c r="V536" s="2">
        <f t="shared" si="50"/>
        <v>142.39147914581594</v>
      </c>
      <c r="W536" s="2">
        <f t="shared" si="51"/>
        <v>5.4313342331525474E-2</v>
      </c>
      <c r="X536" s="2" t="str">
        <f t="shared" si="52"/>
        <v>X</v>
      </c>
      <c r="Y536" s="2" t="str">
        <f t="shared" si="53"/>
        <v>CX</v>
      </c>
    </row>
    <row r="537" spans="1:25" x14ac:dyDescent="0.3">
      <c r="A537" s="2" t="s">
        <v>1765</v>
      </c>
      <c r="B537" s="2" t="s">
        <v>1766</v>
      </c>
      <c r="C537" s="2" t="s">
        <v>25</v>
      </c>
      <c r="D537" s="2">
        <v>475</v>
      </c>
      <c r="E537" s="2">
        <v>479</v>
      </c>
      <c r="F537" s="2">
        <v>554</v>
      </c>
      <c r="G537" s="2">
        <v>607</v>
      </c>
      <c r="H537" s="2">
        <v>275</v>
      </c>
      <c r="I537" s="2">
        <v>697</v>
      </c>
      <c r="J537" s="2">
        <v>273</v>
      </c>
      <c r="K537" s="2">
        <v>425</v>
      </c>
      <c r="L537" s="2">
        <v>535</v>
      </c>
      <c r="M537" s="2">
        <v>541</v>
      </c>
      <c r="N537" s="2">
        <v>591</v>
      </c>
      <c r="O537" s="2">
        <v>806</v>
      </c>
      <c r="P537" s="2">
        <v>6258</v>
      </c>
      <c r="Q537" s="2">
        <v>10</v>
      </c>
      <c r="R537" s="2">
        <v>62580</v>
      </c>
      <c r="S537" s="4">
        <f>SUM($R$2:R537) / SUM($R:$R)</f>
        <v>0.99044407756536279</v>
      </c>
      <c r="T537" s="3" t="str">
        <f t="shared" si="48"/>
        <v>C</v>
      </c>
      <c r="U537" s="2">
        <f t="shared" si="49"/>
        <v>521.5</v>
      </c>
      <c r="V537" s="2">
        <f t="shared" si="50"/>
        <v>154.12362216445248</v>
      </c>
      <c r="W537" s="2">
        <f t="shared" si="51"/>
        <v>0.29553906455312079</v>
      </c>
      <c r="X537" s="2" t="str">
        <f t="shared" si="52"/>
        <v>Y</v>
      </c>
      <c r="Y537" s="2" t="str">
        <f t="shared" si="53"/>
        <v>CY</v>
      </c>
    </row>
    <row r="538" spans="1:25" x14ac:dyDescent="0.3">
      <c r="A538" s="2" t="s">
        <v>1119</v>
      </c>
      <c r="B538" s="2" t="s">
        <v>1120</v>
      </c>
      <c r="C538" s="2" t="s">
        <v>20</v>
      </c>
      <c r="D538" s="2">
        <v>2552</v>
      </c>
      <c r="E538" s="2">
        <v>2658</v>
      </c>
      <c r="F538" s="2">
        <v>2535</v>
      </c>
      <c r="G538" s="2">
        <v>2554</v>
      </c>
      <c r="H538" s="2">
        <v>2615</v>
      </c>
      <c r="I538" s="2">
        <v>2632</v>
      </c>
      <c r="J538" s="2">
        <v>2696</v>
      </c>
      <c r="K538" s="2">
        <v>2325</v>
      </c>
      <c r="L538" s="2">
        <v>2539</v>
      </c>
      <c r="M538" s="2">
        <v>2502</v>
      </c>
      <c r="N538" s="2">
        <v>2713</v>
      </c>
      <c r="O538" s="2">
        <v>2875</v>
      </c>
      <c r="P538" s="2">
        <v>31196</v>
      </c>
      <c r="Q538" s="2">
        <v>2</v>
      </c>
      <c r="R538" s="2">
        <v>62392</v>
      </c>
      <c r="S538" s="4">
        <f>SUM($R$2:R538) / SUM($R:$R)</f>
        <v>0.99050226343130421</v>
      </c>
      <c r="T538" s="3" t="str">
        <f t="shared" si="48"/>
        <v>C</v>
      </c>
      <c r="U538" s="2">
        <f t="shared" si="49"/>
        <v>2599.6666666666665</v>
      </c>
      <c r="V538" s="2">
        <f t="shared" si="50"/>
        <v>134.77815666921521</v>
      </c>
      <c r="W538" s="2">
        <f t="shared" si="51"/>
        <v>5.184439928293956E-2</v>
      </c>
      <c r="X538" s="2" t="str">
        <f t="shared" si="52"/>
        <v>X</v>
      </c>
      <c r="Y538" s="2" t="str">
        <f t="shared" si="53"/>
        <v>CX</v>
      </c>
    </row>
    <row r="539" spans="1:25" x14ac:dyDescent="0.3">
      <c r="A539" s="2" t="s">
        <v>957</v>
      </c>
      <c r="B539" s="2" t="s">
        <v>958</v>
      </c>
      <c r="C539" s="2" t="s">
        <v>56</v>
      </c>
      <c r="D539" s="2">
        <v>482</v>
      </c>
      <c r="E539" s="2">
        <v>506</v>
      </c>
      <c r="F539" s="2">
        <v>480</v>
      </c>
      <c r="G539" s="2">
        <v>517</v>
      </c>
      <c r="H539" s="2">
        <v>484</v>
      </c>
      <c r="I539" s="2">
        <v>496</v>
      </c>
      <c r="J539" s="2">
        <v>496</v>
      </c>
      <c r="K539" s="2">
        <v>492</v>
      </c>
      <c r="L539" s="2">
        <v>499</v>
      </c>
      <c r="M539" s="2">
        <v>515</v>
      </c>
      <c r="N539" s="2">
        <v>544</v>
      </c>
      <c r="O539" s="2">
        <v>537</v>
      </c>
      <c r="P539" s="2">
        <v>6048</v>
      </c>
      <c r="Q539" s="2">
        <v>10</v>
      </c>
      <c r="R539" s="2">
        <v>60480</v>
      </c>
      <c r="S539" s="4">
        <f>SUM($R$2:R539) / SUM($R:$R)</f>
        <v>0.99055866619403243</v>
      </c>
      <c r="T539" s="3" t="str">
        <f t="shared" si="48"/>
        <v>C</v>
      </c>
      <c r="U539" s="2">
        <f t="shared" si="49"/>
        <v>504</v>
      </c>
      <c r="V539" s="2">
        <f t="shared" si="50"/>
        <v>20.758349908147586</v>
      </c>
      <c r="W539" s="2">
        <f t="shared" si="51"/>
        <v>4.118720219870553E-2</v>
      </c>
      <c r="X539" s="2" t="str">
        <f t="shared" si="52"/>
        <v>X</v>
      </c>
      <c r="Y539" s="2" t="str">
        <f t="shared" si="53"/>
        <v>CX</v>
      </c>
    </row>
    <row r="540" spans="1:25" x14ac:dyDescent="0.3">
      <c r="A540" s="2" t="s">
        <v>1355</v>
      </c>
      <c r="B540" s="2" t="s">
        <v>1356</v>
      </c>
      <c r="C540" s="2" t="s">
        <v>41</v>
      </c>
      <c r="D540" s="2">
        <v>95</v>
      </c>
      <c r="E540" s="2">
        <v>93</v>
      </c>
      <c r="F540" s="2">
        <v>89</v>
      </c>
      <c r="G540" s="2">
        <v>103</v>
      </c>
      <c r="H540" s="2">
        <v>105</v>
      </c>
      <c r="I540" s="2">
        <v>92</v>
      </c>
      <c r="J540" s="2">
        <v>104</v>
      </c>
      <c r="K540" s="2">
        <v>97</v>
      </c>
      <c r="L540" s="2">
        <v>102</v>
      </c>
      <c r="M540" s="2">
        <v>98</v>
      </c>
      <c r="N540" s="2">
        <v>109</v>
      </c>
      <c r="O540" s="2">
        <v>121</v>
      </c>
      <c r="P540" s="2">
        <v>1208</v>
      </c>
      <c r="Q540" s="2">
        <v>50</v>
      </c>
      <c r="R540" s="2">
        <v>60400</v>
      </c>
      <c r="S540" s="4">
        <f>SUM($R$2:R540) / SUM($R:$R)</f>
        <v>0.99061499434993161</v>
      </c>
      <c r="T540" s="3" t="str">
        <f t="shared" si="48"/>
        <v>C</v>
      </c>
      <c r="U540" s="2">
        <f t="shared" si="49"/>
        <v>100.66666666666667</v>
      </c>
      <c r="V540" s="2">
        <f t="shared" si="50"/>
        <v>8.7524888235324596</v>
      </c>
      <c r="W540" s="2">
        <f t="shared" si="51"/>
        <v>8.6945253213898607E-2</v>
      </c>
      <c r="X540" s="2" t="str">
        <f t="shared" si="52"/>
        <v>X</v>
      </c>
      <c r="Y540" s="2" t="str">
        <f t="shared" si="53"/>
        <v>CX</v>
      </c>
    </row>
    <row r="541" spans="1:25" x14ac:dyDescent="0.3">
      <c r="A541" s="2" t="s">
        <v>1237</v>
      </c>
      <c r="B541" s="2" t="s">
        <v>1238</v>
      </c>
      <c r="C541" s="2" t="s">
        <v>20</v>
      </c>
      <c r="D541" s="2">
        <v>2171</v>
      </c>
      <c r="E541" s="2">
        <v>2644</v>
      </c>
      <c r="F541" s="2">
        <v>2371</v>
      </c>
      <c r="G541" s="2">
        <v>2414</v>
      </c>
      <c r="H541" s="2">
        <v>2490</v>
      </c>
      <c r="I541" s="2">
        <v>2600</v>
      </c>
      <c r="J541" s="2">
        <v>2581</v>
      </c>
      <c r="K541" s="2">
        <v>2715</v>
      </c>
      <c r="L541" s="2">
        <v>2633</v>
      </c>
      <c r="M541" s="2">
        <v>2516</v>
      </c>
      <c r="N541" s="2">
        <v>2569</v>
      </c>
      <c r="O541" s="2">
        <v>2416</v>
      </c>
      <c r="P541" s="2">
        <v>30120</v>
      </c>
      <c r="Q541" s="2">
        <v>2</v>
      </c>
      <c r="R541" s="2">
        <v>60240</v>
      </c>
      <c r="S541" s="4">
        <f>SUM($R$2:R541) / SUM($R:$R)</f>
        <v>0.99067117329217269</v>
      </c>
      <c r="T541" s="3" t="str">
        <f t="shared" si="48"/>
        <v>C</v>
      </c>
      <c r="U541" s="2">
        <f t="shared" si="49"/>
        <v>2510</v>
      </c>
      <c r="V541" s="2">
        <f t="shared" si="50"/>
        <v>149.07655141509741</v>
      </c>
      <c r="W541" s="2">
        <f t="shared" si="51"/>
        <v>5.9393048372548773E-2</v>
      </c>
      <c r="X541" s="2" t="str">
        <f t="shared" si="52"/>
        <v>X</v>
      </c>
      <c r="Y541" s="2" t="str">
        <f t="shared" si="53"/>
        <v>CX</v>
      </c>
    </row>
    <row r="542" spans="1:25" x14ac:dyDescent="0.3">
      <c r="A542" s="2" t="s">
        <v>509</v>
      </c>
      <c r="B542" s="2" t="s">
        <v>510</v>
      </c>
      <c r="C542" s="2" t="s">
        <v>20</v>
      </c>
      <c r="D542" s="2">
        <v>2001</v>
      </c>
      <c r="E542" s="2">
        <v>2706</v>
      </c>
      <c r="F542" s="2">
        <v>2540</v>
      </c>
      <c r="G542" s="2">
        <v>2562</v>
      </c>
      <c r="H542" s="2">
        <v>2598</v>
      </c>
      <c r="I542" s="2">
        <v>2447</v>
      </c>
      <c r="J542" s="2">
        <v>2564</v>
      </c>
      <c r="K542" s="2">
        <v>2625</v>
      </c>
      <c r="L542" s="2">
        <v>2655</v>
      </c>
      <c r="M542" s="2">
        <v>2658</v>
      </c>
      <c r="N542" s="2">
        <v>2288</v>
      </c>
      <c r="O542" s="2">
        <v>2362</v>
      </c>
      <c r="P542" s="2">
        <v>30006</v>
      </c>
      <c r="Q542" s="2">
        <v>2</v>
      </c>
      <c r="R542" s="2">
        <v>60012</v>
      </c>
      <c r="S542" s="4">
        <f>SUM($R$2:R542) / SUM($R:$R)</f>
        <v>0.99072713960495129</v>
      </c>
      <c r="T542" s="3" t="str">
        <f t="shared" si="48"/>
        <v>C</v>
      </c>
      <c r="U542" s="2">
        <f t="shared" si="49"/>
        <v>2500.5</v>
      </c>
      <c r="V542" s="2">
        <f t="shared" si="50"/>
        <v>200.45153574322694</v>
      </c>
      <c r="W542" s="2">
        <f t="shared" si="51"/>
        <v>8.016458138101458E-2</v>
      </c>
      <c r="X542" s="2" t="str">
        <f t="shared" si="52"/>
        <v>X</v>
      </c>
      <c r="Y542" s="2" t="str">
        <f t="shared" si="53"/>
        <v>CX</v>
      </c>
    </row>
    <row r="543" spans="1:25" x14ac:dyDescent="0.3">
      <c r="A543" s="2" t="s">
        <v>1803</v>
      </c>
      <c r="B543" s="2" t="s">
        <v>1804</v>
      </c>
      <c r="C543" s="2" t="s">
        <v>25</v>
      </c>
      <c r="D543" s="2">
        <v>814</v>
      </c>
      <c r="E543" s="2">
        <v>385</v>
      </c>
      <c r="F543" s="2">
        <v>432</v>
      </c>
      <c r="G543" s="2">
        <v>706</v>
      </c>
      <c r="H543" s="2">
        <v>519</v>
      </c>
      <c r="I543" s="2">
        <v>337</v>
      </c>
      <c r="J543" s="2">
        <v>439</v>
      </c>
      <c r="K543" s="2">
        <v>556</v>
      </c>
      <c r="L543" s="2">
        <v>372</v>
      </c>
      <c r="M543" s="2">
        <v>743</v>
      </c>
      <c r="N543" s="2">
        <v>307</v>
      </c>
      <c r="O543" s="2">
        <v>386</v>
      </c>
      <c r="P543" s="2">
        <v>5996</v>
      </c>
      <c r="Q543" s="2">
        <v>10</v>
      </c>
      <c r="R543" s="2">
        <v>59960</v>
      </c>
      <c r="S543" s="4">
        <f>SUM($R$2:R543) / SUM($R:$R)</f>
        <v>0.99078305742329087</v>
      </c>
      <c r="T543" s="3" t="str">
        <f t="shared" si="48"/>
        <v>C</v>
      </c>
      <c r="U543" s="2">
        <f t="shared" si="49"/>
        <v>499.66666666666669</v>
      </c>
      <c r="V543" s="2">
        <f t="shared" si="50"/>
        <v>170.11885328329788</v>
      </c>
      <c r="W543" s="2">
        <f t="shared" si="51"/>
        <v>0.34046468302194371</v>
      </c>
      <c r="X543" s="2" t="str">
        <f t="shared" si="52"/>
        <v>Y</v>
      </c>
      <c r="Y543" s="2" t="str">
        <f t="shared" si="53"/>
        <v>CY</v>
      </c>
    </row>
    <row r="544" spans="1:25" x14ac:dyDescent="0.3">
      <c r="A544" s="2" t="s">
        <v>1215</v>
      </c>
      <c r="B544" s="2" t="s">
        <v>1216</v>
      </c>
      <c r="C544" s="2" t="s">
        <v>41</v>
      </c>
      <c r="D544" s="2">
        <v>509</v>
      </c>
      <c r="E544" s="2">
        <v>498</v>
      </c>
      <c r="F544" s="2">
        <v>507</v>
      </c>
      <c r="G544" s="2">
        <v>540</v>
      </c>
      <c r="H544" s="2">
        <v>503</v>
      </c>
      <c r="I544" s="2">
        <v>495</v>
      </c>
      <c r="J544" s="2">
        <v>475</v>
      </c>
      <c r="K544" s="2">
        <v>474</v>
      </c>
      <c r="L544" s="2">
        <v>501</v>
      </c>
      <c r="M544" s="2">
        <v>470</v>
      </c>
      <c r="N544" s="2">
        <v>492</v>
      </c>
      <c r="O544" s="2">
        <v>498</v>
      </c>
      <c r="P544" s="2">
        <v>5962</v>
      </c>
      <c r="Q544" s="2">
        <v>10</v>
      </c>
      <c r="R544" s="2">
        <v>59620</v>
      </c>
      <c r="S544" s="4">
        <f>SUM($R$2:R544) / SUM($R:$R)</f>
        <v>0.9908386581626073</v>
      </c>
      <c r="T544" s="3" t="str">
        <f t="shared" si="48"/>
        <v>C</v>
      </c>
      <c r="U544" s="2">
        <f t="shared" si="49"/>
        <v>496.83333333333331</v>
      </c>
      <c r="V544" s="2">
        <f t="shared" si="50"/>
        <v>18.871976980473328</v>
      </c>
      <c r="W544" s="2">
        <f t="shared" si="51"/>
        <v>3.7984522604105994E-2</v>
      </c>
      <c r="X544" s="2" t="str">
        <f t="shared" si="52"/>
        <v>X</v>
      </c>
      <c r="Y544" s="2" t="str">
        <f t="shared" si="53"/>
        <v>CX</v>
      </c>
    </row>
    <row r="545" spans="1:25" x14ac:dyDescent="0.3">
      <c r="A545" s="2" t="s">
        <v>1491</v>
      </c>
      <c r="B545" s="2" t="s">
        <v>1492</v>
      </c>
      <c r="C545" s="2" t="s">
        <v>36</v>
      </c>
      <c r="D545" s="2">
        <v>548</v>
      </c>
      <c r="E545" s="2">
        <v>491</v>
      </c>
      <c r="F545" s="2">
        <v>502</v>
      </c>
      <c r="G545" s="2">
        <v>448</v>
      </c>
      <c r="H545" s="2">
        <v>488</v>
      </c>
      <c r="I545" s="2">
        <v>486</v>
      </c>
      <c r="J545" s="2">
        <v>467</v>
      </c>
      <c r="K545" s="2">
        <v>530</v>
      </c>
      <c r="L545" s="2">
        <v>489</v>
      </c>
      <c r="M545" s="2">
        <v>501</v>
      </c>
      <c r="N545" s="2">
        <v>493</v>
      </c>
      <c r="O545" s="2">
        <v>514</v>
      </c>
      <c r="P545" s="2">
        <v>5957</v>
      </c>
      <c r="Q545" s="2">
        <v>10</v>
      </c>
      <c r="R545" s="2">
        <v>59570</v>
      </c>
      <c r="S545" s="4">
        <f>SUM($R$2:R545) / SUM($R:$R)</f>
        <v>0.99089421227265551</v>
      </c>
      <c r="T545" s="3" t="str">
        <f t="shared" si="48"/>
        <v>C</v>
      </c>
      <c r="U545" s="2">
        <f t="shared" si="49"/>
        <v>496.41666666666669</v>
      </c>
      <c r="V545" s="2">
        <f t="shared" si="50"/>
        <v>26.345461342199595</v>
      </c>
      <c r="W545" s="2">
        <f t="shared" si="51"/>
        <v>5.3071266762866401E-2</v>
      </c>
      <c r="X545" s="2" t="str">
        <f t="shared" si="52"/>
        <v>X</v>
      </c>
      <c r="Y545" s="2" t="str">
        <f t="shared" si="53"/>
        <v>CX</v>
      </c>
    </row>
    <row r="546" spans="1:25" x14ac:dyDescent="0.3">
      <c r="A546" s="2" t="s">
        <v>1629</v>
      </c>
      <c r="B546" s="2" t="s">
        <v>1630</v>
      </c>
      <c r="C546" s="2" t="s">
        <v>41</v>
      </c>
      <c r="D546" s="2">
        <v>494</v>
      </c>
      <c r="E546" s="2">
        <v>508</v>
      </c>
      <c r="F546" s="2">
        <v>498</v>
      </c>
      <c r="G546" s="2">
        <v>498</v>
      </c>
      <c r="H546" s="2">
        <v>486</v>
      </c>
      <c r="I546" s="2">
        <v>507</v>
      </c>
      <c r="J546" s="2">
        <v>463</v>
      </c>
      <c r="K546" s="2">
        <v>494</v>
      </c>
      <c r="L546" s="2">
        <v>503</v>
      </c>
      <c r="M546" s="2">
        <v>487</v>
      </c>
      <c r="N546" s="2">
        <v>531</v>
      </c>
      <c r="O546" s="2">
        <v>467</v>
      </c>
      <c r="P546" s="2">
        <v>5936</v>
      </c>
      <c r="Q546" s="2">
        <v>10</v>
      </c>
      <c r="R546" s="2">
        <v>59360</v>
      </c>
      <c r="S546" s="4">
        <f>SUM($R$2:R546) / SUM($R:$R)</f>
        <v>0.99094957053977761</v>
      </c>
      <c r="T546" s="3" t="str">
        <f t="shared" si="48"/>
        <v>C</v>
      </c>
      <c r="U546" s="2">
        <f t="shared" si="49"/>
        <v>494.66666666666669</v>
      </c>
      <c r="V546" s="2">
        <f t="shared" si="50"/>
        <v>18.202563921968064</v>
      </c>
      <c r="W546" s="2">
        <f t="shared" si="51"/>
        <v>3.6797635960851879E-2</v>
      </c>
      <c r="X546" s="2" t="str">
        <f t="shared" si="52"/>
        <v>X</v>
      </c>
      <c r="Y546" s="2" t="str">
        <f t="shared" si="53"/>
        <v>CX</v>
      </c>
    </row>
    <row r="547" spans="1:25" x14ac:dyDescent="0.3">
      <c r="A547" s="2" t="s">
        <v>1543</v>
      </c>
      <c r="B547" s="2" t="s">
        <v>1544</v>
      </c>
      <c r="C547" s="2" t="s">
        <v>25</v>
      </c>
      <c r="D547" s="2">
        <v>344</v>
      </c>
      <c r="E547" s="2">
        <v>756</v>
      </c>
      <c r="F547" s="2">
        <v>584</v>
      </c>
      <c r="G547" s="2">
        <v>469</v>
      </c>
      <c r="H547" s="2">
        <v>414</v>
      </c>
      <c r="I547" s="2">
        <v>775</v>
      </c>
      <c r="J547" s="2">
        <v>239</v>
      </c>
      <c r="K547" s="2">
        <v>517</v>
      </c>
      <c r="L547" s="2">
        <v>550</v>
      </c>
      <c r="M547" s="2">
        <v>368</v>
      </c>
      <c r="N547" s="2">
        <v>658</v>
      </c>
      <c r="O547" s="2">
        <v>247</v>
      </c>
      <c r="P547" s="2">
        <v>5921</v>
      </c>
      <c r="Q547" s="2">
        <v>10</v>
      </c>
      <c r="R547" s="2">
        <v>59210</v>
      </c>
      <c r="S547" s="4">
        <f>SUM($R$2:R547) / SUM($R:$R)</f>
        <v>0.99100478891909538</v>
      </c>
      <c r="T547" s="3" t="str">
        <f t="shared" si="48"/>
        <v>C</v>
      </c>
      <c r="U547" s="2">
        <f t="shared" si="49"/>
        <v>493.41666666666669</v>
      </c>
      <c r="V547" s="2">
        <f t="shared" si="50"/>
        <v>180.32720680793429</v>
      </c>
      <c r="W547" s="2">
        <f t="shared" si="51"/>
        <v>0.36546638772085988</v>
      </c>
      <c r="X547" s="2" t="str">
        <f t="shared" si="52"/>
        <v>Y</v>
      </c>
      <c r="Y547" s="2" t="str">
        <f t="shared" si="53"/>
        <v>CY</v>
      </c>
    </row>
    <row r="548" spans="1:25" x14ac:dyDescent="0.3">
      <c r="A548" s="2" t="s">
        <v>909</v>
      </c>
      <c r="B548" s="2" t="s">
        <v>910</v>
      </c>
      <c r="C548" s="2" t="s">
        <v>20</v>
      </c>
      <c r="D548" s="2">
        <v>2416</v>
      </c>
      <c r="E548" s="2">
        <v>2460</v>
      </c>
      <c r="F548" s="2">
        <v>2315</v>
      </c>
      <c r="G548" s="2">
        <v>2620</v>
      </c>
      <c r="H548" s="2">
        <v>2534</v>
      </c>
      <c r="I548" s="2">
        <v>2599</v>
      </c>
      <c r="J548" s="2">
        <v>2550</v>
      </c>
      <c r="K548" s="2">
        <v>2949</v>
      </c>
      <c r="L548" s="2">
        <v>2478</v>
      </c>
      <c r="M548" s="2">
        <v>1994</v>
      </c>
      <c r="N548" s="2">
        <v>2206</v>
      </c>
      <c r="O548" s="2">
        <v>2314</v>
      </c>
      <c r="P548" s="2">
        <v>29435</v>
      </c>
      <c r="Q548" s="2">
        <v>2</v>
      </c>
      <c r="R548" s="2">
        <v>58870</v>
      </c>
      <c r="S548" s="4">
        <f>SUM($R$2:R548) / SUM($R:$R)</f>
        <v>0.99105969021938978</v>
      </c>
      <c r="T548" s="3" t="str">
        <f t="shared" si="48"/>
        <v>C</v>
      </c>
      <c r="U548" s="2">
        <f t="shared" si="49"/>
        <v>2452.9166666666665</v>
      </c>
      <c r="V548" s="2">
        <f t="shared" si="50"/>
        <v>238.03913289179741</v>
      </c>
      <c r="W548" s="2">
        <f t="shared" si="51"/>
        <v>9.7043302011264446E-2</v>
      </c>
      <c r="X548" s="2" t="str">
        <f t="shared" si="52"/>
        <v>X</v>
      </c>
      <c r="Y548" s="2" t="str">
        <f t="shared" si="53"/>
        <v>CX</v>
      </c>
    </row>
    <row r="549" spans="1:25" x14ac:dyDescent="0.3">
      <c r="A549" s="2" t="s">
        <v>1027</v>
      </c>
      <c r="B549" s="2" t="s">
        <v>1028</v>
      </c>
      <c r="C549" s="2" t="s">
        <v>41</v>
      </c>
      <c r="D549" s="2">
        <v>454</v>
      </c>
      <c r="E549" s="2">
        <v>476</v>
      </c>
      <c r="F549" s="2">
        <v>499</v>
      </c>
      <c r="G549" s="2">
        <v>503</v>
      </c>
      <c r="H549" s="2">
        <v>470</v>
      </c>
      <c r="I549" s="2">
        <v>526</v>
      </c>
      <c r="J549" s="2">
        <v>495</v>
      </c>
      <c r="K549" s="2">
        <v>475</v>
      </c>
      <c r="L549" s="2">
        <v>505</v>
      </c>
      <c r="M549" s="2">
        <v>499</v>
      </c>
      <c r="N549" s="2">
        <v>484</v>
      </c>
      <c r="O549" s="2">
        <v>493</v>
      </c>
      <c r="P549" s="2">
        <v>5879</v>
      </c>
      <c r="Q549" s="2">
        <v>10</v>
      </c>
      <c r="R549" s="2">
        <v>58790</v>
      </c>
      <c r="S549" s="4">
        <f>SUM($R$2:R549) / SUM($R:$R)</f>
        <v>0.99111451691285524</v>
      </c>
      <c r="T549" s="3" t="str">
        <f t="shared" si="48"/>
        <v>C</v>
      </c>
      <c r="U549" s="2">
        <f t="shared" si="49"/>
        <v>489.91666666666669</v>
      </c>
      <c r="V549" s="2">
        <f t="shared" si="50"/>
        <v>19.161791211268387</v>
      </c>
      <c r="W549" s="2">
        <f t="shared" si="51"/>
        <v>3.9112348109409868E-2</v>
      </c>
      <c r="X549" s="2" t="str">
        <f t="shared" si="52"/>
        <v>X</v>
      </c>
      <c r="Y549" s="2" t="str">
        <f t="shared" si="53"/>
        <v>CX</v>
      </c>
    </row>
    <row r="550" spans="1:25" x14ac:dyDescent="0.3">
      <c r="A550" s="2" t="s">
        <v>1481</v>
      </c>
      <c r="B550" s="2" t="s">
        <v>1482</v>
      </c>
      <c r="C550" s="2" t="s">
        <v>25</v>
      </c>
      <c r="D550" s="2">
        <v>299</v>
      </c>
      <c r="E550" s="2">
        <v>672</v>
      </c>
      <c r="F550" s="2">
        <v>440</v>
      </c>
      <c r="G550" s="2">
        <v>302</v>
      </c>
      <c r="H550" s="2">
        <v>346</v>
      </c>
      <c r="I550" s="2">
        <v>707</v>
      </c>
      <c r="J550" s="2">
        <v>301</v>
      </c>
      <c r="K550" s="2">
        <v>398</v>
      </c>
      <c r="L550" s="2">
        <v>712</v>
      </c>
      <c r="M550" s="2">
        <v>279</v>
      </c>
      <c r="N550" s="2">
        <v>650</v>
      </c>
      <c r="O550" s="2">
        <v>750</v>
      </c>
      <c r="P550" s="2">
        <v>5856</v>
      </c>
      <c r="Q550" s="2">
        <v>10</v>
      </c>
      <c r="R550" s="2">
        <v>58560</v>
      </c>
      <c r="S550" s="4">
        <f>SUM($R$2:R550) / SUM($R:$R)</f>
        <v>0.99116912911168731</v>
      </c>
      <c r="T550" s="3" t="str">
        <f t="shared" si="48"/>
        <v>C</v>
      </c>
      <c r="U550" s="2">
        <f t="shared" si="49"/>
        <v>488</v>
      </c>
      <c r="V550" s="2">
        <f t="shared" si="50"/>
        <v>192.21578782948367</v>
      </c>
      <c r="W550" s="2">
        <f t="shared" si="51"/>
        <v>0.39388481112599111</v>
      </c>
      <c r="X550" s="2" t="str">
        <f t="shared" si="52"/>
        <v>Y</v>
      </c>
      <c r="Y550" s="2" t="str">
        <f t="shared" si="53"/>
        <v>CY</v>
      </c>
    </row>
    <row r="551" spans="1:25" x14ac:dyDescent="0.3">
      <c r="A551" s="2" t="s">
        <v>489</v>
      </c>
      <c r="B551" s="2" t="s">
        <v>490</v>
      </c>
      <c r="C551" s="2" t="s">
        <v>20</v>
      </c>
      <c r="D551" s="2">
        <v>2533</v>
      </c>
      <c r="E551" s="2">
        <v>2415</v>
      </c>
      <c r="F551" s="2">
        <v>2407</v>
      </c>
      <c r="G551" s="2">
        <v>2549</v>
      </c>
      <c r="H551" s="2">
        <v>2563</v>
      </c>
      <c r="I551" s="2">
        <v>2446</v>
      </c>
      <c r="J551" s="2">
        <v>2338</v>
      </c>
      <c r="K551" s="2">
        <v>2213</v>
      </c>
      <c r="L551" s="2">
        <v>2535</v>
      </c>
      <c r="M551" s="2">
        <v>2466</v>
      </c>
      <c r="N551" s="2">
        <v>2439</v>
      </c>
      <c r="O551" s="2">
        <v>2260</v>
      </c>
      <c r="P551" s="2">
        <v>29164</v>
      </c>
      <c r="Q551" s="2">
        <v>2</v>
      </c>
      <c r="R551" s="2">
        <v>58328</v>
      </c>
      <c r="S551" s="4">
        <f>SUM($R$2:R551) / SUM($R:$R)</f>
        <v>0.9912235249507152</v>
      </c>
      <c r="T551" s="3" t="str">
        <f t="shared" si="48"/>
        <v>C</v>
      </c>
      <c r="U551" s="2">
        <f t="shared" si="49"/>
        <v>2430.3333333333335</v>
      </c>
      <c r="V551" s="2">
        <f t="shared" si="50"/>
        <v>112.94514624633526</v>
      </c>
      <c r="W551" s="2">
        <f t="shared" si="51"/>
        <v>4.6473109139899292E-2</v>
      </c>
      <c r="X551" s="2" t="str">
        <f t="shared" si="52"/>
        <v>X</v>
      </c>
      <c r="Y551" s="2" t="str">
        <f t="shared" si="53"/>
        <v>CX</v>
      </c>
    </row>
    <row r="552" spans="1:25" x14ac:dyDescent="0.3">
      <c r="A552" s="2" t="s">
        <v>633</v>
      </c>
      <c r="B552" s="2" t="s">
        <v>634</v>
      </c>
      <c r="C552" s="2" t="s">
        <v>41</v>
      </c>
      <c r="D552" s="2">
        <v>479</v>
      </c>
      <c r="E552" s="2">
        <v>457</v>
      </c>
      <c r="F552" s="2">
        <v>466</v>
      </c>
      <c r="G552" s="2">
        <v>448</v>
      </c>
      <c r="H552" s="2">
        <v>524</v>
      </c>
      <c r="I552" s="2">
        <v>494</v>
      </c>
      <c r="J552" s="2">
        <v>514</v>
      </c>
      <c r="K552" s="2">
        <v>475</v>
      </c>
      <c r="L552" s="2">
        <v>467</v>
      </c>
      <c r="M552" s="2">
        <v>475</v>
      </c>
      <c r="N552" s="2">
        <v>475</v>
      </c>
      <c r="O552" s="2">
        <v>499</v>
      </c>
      <c r="P552" s="2">
        <v>5773</v>
      </c>
      <c r="Q552" s="2">
        <v>10</v>
      </c>
      <c r="R552" s="2">
        <v>57730</v>
      </c>
      <c r="S552" s="4">
        <f>SUM($R$2:R552) / SUM($R:$R)</f>
        <v>0.9912773631036963</v>
      </c>
      <c r="T552" s="3" t="str">
        <f t="shared" si="48"/>
        <v>C</v>
      </c>
      <c r="U552" s="2">
        <f t="shared" si="49"/>
        <v>481.08333333333331</v>
      </c>
      <c r="V552" s="2">
        <f t="shared" si="50"/>
        <v>22.621222269579004</v>
      </c>
      <c r="W552" s="2">
        <f t="shared" si="51"/>
        <v>4.7021421658574064E-2</v>
      </c>
      <c r="X552" s="2" t="str">
        <f t="shared" si="52"/>
        <v>X</v>
      </c>
      <c r="Y552" s="2" t="str">
        <f t="shared" si="53"/>
        <v>CX</v>
      </c>
    </row>
    <row r="553" spans="1:25" x14ac:dyDescent="0.3">
      <c r="A553" s="2" t="s">
        <v>1357</v>
      </c>
      <c r="B553" s="2" t="s">
        <v>1358</v>
      </c>
      <c r="C553" s="2" t="s">
        <v>41</v>
      </c>
      <c r="D553" s="2">
        <v>505</v>
      </c>
      <c r="E553" s="2">
        <v>470</v>
      </c>
      <c r="F553" s="2">
        <v>455</v>
      </c>
      <c r="G553" s="2">
        <v>458</v>
      </c>
      <c r="H553" s="2">
        <v>491</v>
      </c>
      <c r="I553" s="2">
        <v>441</v>
      </c>
      <c r="J553" s="2">
        <v>482</v>
      </c>
      <c r="K553" s="2">
        <v>471</v>
      </c>
      <c r="L553" s="2">
        <v>494</v>
      </c>
      <c r="M553" s="2">
        <v>500</v>
      </c>
      <c r="N553" s="2">
        <v>495</v>
      </c>
      <c r="O553" s="2">
        <v>510</v>
      </c>
      <c r="P553" s="2">
        <v>5772</v>
      </c>
      <c r="Q553" s="2">
        <v>10</v>
      </c>
      <c r="R553" s="2">
        <v>57720</v>
      </c>
      <c r="S553" s="4">
        <f>SUM($R$2:R553) / SUM($R:$R)</f>
        <v>0.99133119193082375</v>
      </c>
      <c r="T553" s="3" t="str">
        <f t="shared" si="48"/>
        <v>C</v>
      </c>
      <c r="U553" s="2">
        <f t="shared" si="49"/>
        <v>481</v>
      </c>
      <c r="V553" s="2">
        <f t="shared" si="50"/>
        <v>21.888145400899297</v>
      </c>
      <c r="W553" s="2">
        <f t="shared" si="51"/>
        <v>4.5505499793969437E-2</v>
      </c>
      <c r="X553" s="2" t="str">
        <f t="shared" si="52"/>
        <v>X</v>
      </c>
      <c r="Y553" s="2" t="str">
        <f t="shared" si="53"/>
        <v>CX</v>
      </c>
    </row>
    <row r="554" spans="1:25" x14ac:dyDescent="0.3">
      <c r="A554" s="2" t="s">
        <v>563</v>
      </c>
      <c r="B554" s="2" t="s">
        <v>564</v>
      </c>
      <c r="C554" s="2" t="s">
        <v>20</v>
      </c>
      <c r="D554" s="2">
        <v>2295</v>
      </c>
      <c r="E554" s="2">
        <v>2404</v>
      </c>
      <c r="F554" s="2">
        <v>2555</v>
      </c>
      <c r="G554" s="2">
        <v>2592</v>
      </c>
      <c r="H554" s="2">
        <v>2407</v>
      </c>
      <c r="I554" s="2">
        <v>2094</v>
      </c>
      <c r="J554" s="2">
        <v>2110</v>
      </c>
      <c r="K554" s="2">
        <v>2384</v>
      </c>
      <c r="L554" s="2">
        <v>2644</v>
      </c>
      <c r="M554" s="2">
        <v>2476</v>
      </c>
      <c r="N554" s="2">
        <v>2246</v>
      </c>
      <c r="O554" s="2">
        <v>2614</v>
      </c>
      <c r="P554" s="2">
        <v>28821</v>
      </c>
      <c r="Q554" s="2">
        <v>2</v>
      </c>
      <c r="R554" s="2">
        <v>57642</v>
      </c>
      <c r="S554" s="4">
        <f>SUM($R$2:R554) / SUM($R:$R)</f>
        <v>0.99138494801629307</v>
      </c>
      <c r="T554" s="3" t="str">
        <f t="shared" si="48"/>
        <v>C</v>
      </c>
      <c r="U554" s="2">
        <f t="shared" si="49"/>
        <v>2401.75</v>
      </c>
      <c r="V554" s="2">
        <f t="shared" si="50"/>
        <v>187.02412338324896</v>
      </c>
      <c r="W554" s="2">
        <f t="shared" si="51"/>
        <v>7.7869937913291956E-2</v>
      </c>
      <c r="X554" s="2" t="str">
        <f t="shared" si="52"/>
        <v>X</v>
      </c>
      <c r="Y554" s="2" t="str">
        <f t="shared" si="53"/>
        <v>CX</v>
      </c>
    </row>
    <row r="555" spans="1:25" x14ac:dyDescent="0.3">
      <c r="A555" s="2" t="s">
        <v>159</v>
      </c>
      <c r="B555" s="2" t="s">
        <v>160</v>
      </c>
      <c r="C555" s="2" t="s">
        <v>41</v>
      </c>
      <c r="D555" s="2">
        <v>484</v>
      </c>
      <c r="E555" s="2">
        <v>492</v>
      </c>
      <c r="F555" s="2">
        <v>454</v>
      </c>
      <c r="G555" s="2">
        <v>466</v>
      </c>
      <c r="H555" s="2">
        <v>453</v>
      </c>
      <c r="I555" s="2">
        <v>496</v>
      </c>
      <c r="J555" s="2">
        <v>437</v>
      </c>
      <c r="K555" s="2">
        <v>490</v>
      </c>
      <c r="L555" s="2">
        <v>487</v>
      </c>
      <c r="M555" s="2">
        <v>501</v>
      </c>
      <c r="N555" s="2">
        <v>517</v>
      </c>
      <c r="O555" s="2">
        <v>440</v>
      </c>
      <c r="P555" s="2">
        <v>5717</v>
      </c>
      <c r="Q555" s="2">
        <v>10</v>
      </c>
      <c r="R555" s="2">
        <v>57170</v>
      </c>
      <c r="S555" s="4">
        <f>SUM($R$2:R555) / SUM($R:$R)</f>
        <v>0.99143826392147105</v>
      </c>
      <c r="T555" s="3" t="str">
        <f t="shared" si="48"/>
        <v>C</v>
      </c>
      <c r="U555" s="2">
        <f t="shared" si="49"/>
        <v>476.41666666666669</v>
      </c>
      <c r="V555" s="2">
        <f t="shared" si="50"/>
        <v>25.709772932533344</v>
      </c>
      <c r="W555" s="2">
        <f t="shared" si="51"/>
        <v>5.3964889835648087E-2</v>
      </c>
      <c r="X555" s="2" t="str">
        <f t="shared" si="52"/>
        <v>X</v>
      </c>
      <c r="Y555" s="2" t="str">
        <f t="shared" si="53"/>
        <v>CX</v>
      </c>
    </row>
    <row r="556" spans="1:25" x14ac:dyDescent="0.3">
      <c r="A556" s="2" t="s">
        <v>1297</v>
      </c>
      <c r="B556" s="2" t="s">
        <v>1298</v>
      </c>
      <c r="C556" s="2" t="s">
        <v>41</v>
      </c>
      <c r="D556" s="2">
        <v>102</v>
      </c>
      <c r="E556" s="2">
        <v>93</v>
      </c>
      <c r="F556" s="2">
        <v>87</v>
      </c>
      <c r="G556" s="2">
        <v>97</v>
      </c>
      <c r="H556" s="2">
        <v>110</v>
      </c>
      <c r="I556" s="2">
        <v>94</v>
      </c>
      <c r="J556" s="2">
        <v>109</v>
      </c>
      <c r="K556" s="2">
        <v>97</v>
      </c>
      <c r="L556" s="2">
        <v>80</v>
      </c>
      <c r="M556" s="2">
        <v>82</v>
      </c>
      <c r="N556" s="2">
        <v>102</v>
      </c>
      <c r="O556" s="2">
        <v>89</v>
      </c>
      <c r="P556" s="2">
        <v>1142</v>
      </c>
      <c r="Q556" s="2">
        <v>50</v>
      </c>
      <c r="R556" s="2">
        <v>57100</v>
      </c>
      <c r="S556" s="4">
        <f>SUM($R$2:R556) / SUM($R:$R)</f>
        <v>0.99149151454567375</v>
      </c>
      <c r="T556" s="3" t="str">
        <f t="shared" si="48"/>
        <v>C</v>
      </c>
      <c r="U556" s="2">
        <f t="shared" si="49"/>
        <v>95.166666666666671</v>
      </c>
      <c r="V556" s="2">
        <f t="shared" si="50"/>
        <v>9.6562116920883749</v>
      </c>
      <c r="W556" s="2">
        <f t="shared" si="51"/>
        <v>0.10146632250880953</v>
      </c>
      <c r="X556" s="2" t="str">
        <f t="shared" si="52"/>
        <v>X</v>
      </c>
      <c r="Y556" s="2" t="str">
        <f t="shared" si="53"/>
        <v>CX</v>
      </c>
    </row>
    <row r="557" spans="1:25" x14ac:dyDescent="0.3">
      <c r="A557" s="2" t="s">
        <v>241</v>
      </c>
      <c r="B557" s="2" t="s">
        <v>242</v>
      </c>
      <c r="C557" s="2" t="s">
        <v>41</v>
      </c>
      <c r="D557" s="2">
        <v>442</v>
      </c>
      <c r="E557" s="2">
        <v>494</v>
      </c>
      <c r="F557" s="2">
        <v>438</v>
      </c>
      <c r="G557" s="2">
        <v>471</v>
      </c>
      <c r="H557" s="2">
        <v>469</v>
      </c>
      <c r="I557" s="2">
        <v>487</v>
      </c>
      <c r="J557" s="2">
        <v>463</v>
      </c>
      <c r="K557" s="2">
        <v>442</v>
      </c>
      <c r="L557" s="2">
        <v>492</v>
      </c>
      <c r="M557" s="2">
        <v>512</v>
      </c>
      <c r="N557" s="2">
        <v>488</v>
      </c>
      <c r="O557" s="2">
        <v>491</v>
      </c>
      <c r="P557" s="2">
        <v>5689</v>
      </c>
      <c r="Q557" s="2">
        <v>10</v>
      </c>
      <c r="R557" s="2">
        <v>56890</v>
      </c>
      <c r="S557" s="4">
        <f>SUM($R$2:R557) / SUM($R:$R)</f>
        <v>0.99154456932695034</v>
      </c>
      <c r="T557" s="3" t="str">
        <f t="shared" si="48"/>
        <v>C</v>
      </c>
      <c r="U557" s="2">
        <f t="shared" si="49"/>
        <v>474.08333333333331</v>
      </c>
      <c r="V557" s="2">
        <f t="shared" si="50"/>
        <v>23.971416059106478</v>
      </c>
      <c r="W557" s="2">
        <f t="shared" si="51"/>
        <v>5.0563718177057085E-2</v>
      </c>
      <c r="X557" s="2" t="str">
        <f t="shared" si="52"/>
        <v>X</v>
      </c>
      <c r="Y557" s="2" t="str">
        <f t="shared" si="53"/>
        <v>CX</v>
      </c>
    </row>
    <row r="558" spans="1:25" x14ac:dyDescent="0.3">
      <c r="A558" s="2" t="s">
        <v>443</v>
      </c>
      <c r="B558" s="2" t="s">
        <v>444</v>
      </c>
      <c r="C558" s="2" t="s">
        <v>25</v>
      </c>
      <c r="D558" s="2">
        <v>336</v>
      </c>
      <c r="E558" s="2">
        <v>695</v>
      </c>
      <c r="F558" s="2">
        <v>602</v>
      </c>
      <c r="G558" s="2">
        <v>287</v>
      </c>
      <c r="H558" s="2">
        <v>517</v>
      </c>
      <c r="I558" s="2">
        <v>813</v>
      </c>
      <c r="J558" s="2">
        <v>304</v>
      </c>
      <c r="K558" s="2">
        <v>517</v>
      </c>
      <c r="L558" s="2">
        <v>377</v>
      </c>
      <c r="M558" s="2">
        <v>438</v>
      </c>
      <c r="N558" s="2">
        <v>429</v>
      </c>
      <c r="O558" s="2">
        <v>371</v>
      </c>
      <c r="P558" s="2">
        <v>5686</v>
      </c>
      <c r="Q558" s="2">
        <v>10</v>
      </c>
      <c r="R558" s="2">
        <v>56860</v>
      </c>
      <c r="S558" s="4">
        <f>SUM($R$2:R558) / SUM($R:$R)</f>
        <v>0.991597596130666</v>
      </c>
      <c r="T558" s="3" t="str">
        <f t="shared" si="48"/>
        <v>C</v>
      </c>
      <c r="U558" s="2">
        <f t="shared" si="49"/>
        <v>473.83333333333331</v>
      </c>
      <c r="V558" s="2">
        <f t="shared" si="50"/>
        <v>162.39560749396307</v>
      </c>
      <c r="W558" s="2">
        <f t="shared" si="51"/>
        <v>0.34272727575229633</v>
      </c>
      <c r="X558" s="2" t="str">
        <f t="shared" si="52"/>
        <v>Y</v>
      </c>
      <c r="Y558" s="2" t="str">
        <f t="shared" si="53"/>
        <v>CY</v>
      </c>
    </row>
    <row r="559" spans="1:25" x14ac:dyDescent="0.3">
      <c r="A559" s="2" t="s">
        <v>453</v>
      </c>
      <c r="B559" s="2" t="s">
        <v>454</v>
      </c>
      <c r="C559" s="2" t="s">
        <v>56</v>
      </c>
      <c r="D559" s="2">
        <v>473</v>
      </c>
      <c r="E559" s="2">
        <v>438</v>
      </c>
      <c r="F559" s="2">
        <v>497</v>
      </c>
      <c r="G559" s="2">
        <v>491</v>
      </c>
      <c r="H559" s="2">
        <v>421</v>
      </c>
      <c r="I559" s="2">
        <v>489</v>
      </c>
      <c r="J559" s="2">
        <v>443</v>
      </c>
      <c r="K559" s="2">
        <v>473</v>
      </c>
      <c r="L559" s="2">
        <v>465</v>
      </c>
      <c r="M559" s="2">
        <v>491</v>
      </c>
      <c r="N559" s="2">
        <v>476</v>
      </c>
      <c r="O559" s="2">
        <v>465</v>
      </c>
      <c r="P559" s="2">
        <v>5622</v>
      </c>
      <c r="Q559" s="2">
        <v>10</v>
      </c>
      <c r="R559" s="2">
        <v>56220</v>
      </c>
      <c r="S559" s="4">
        <f>SUM($R$2:R559) / SUM($R:$R)</f>
        <v>0.99165002607974961</v>
      </c>
      <c r="T559" s="3" t="str">
        <f t="shared" si="48"/>
        <v>C</v>
      </c>
      <c r="U559" s="2">
        <f t="shared" si="49"/>
        <v>468.5</v>
      </c>
      <c r="V559" s="2">
        <f t="shared" si="50"/>
        <v>23.74677011530391</v>
      </c>
      <c r="W559" s="2">
        <f t="shared" si="51"/>
        <v>5.0686809210894149E-2</v>
      </c>
      <c r="X559" s="2" t="str">
        <f t="shared" si="52"/>
        <v>X</v>
      </c>
      <c r="Y559" s="2" t="str">
        <f t="shared" si="53"/>
        <v>CX</v>
      </c>
    </row>
    <row r="560" spans="1:25" x14ac:dyDescent="0.3">
      <c r="A560" s="2" t="s">
        <v>1265</v>
      </c>
      <c r="B560" s="2" t="s">
        <v>1266</v>
      </c>
      <c r="C560" s="2" t="s">
        <v>20</v>
      </c>
      <c r="D560" s="2">
        <v>2311</v>
      </c>
      <c r="E560" s="2">
        <v>2366</v>
      </c>
      <c r="F560" s="2">
        <v>2460</v>
      </c>
      <c r="G560" s="2">
        <v>2382</v>
      </c>
      <c r="H560" s="2">
        <v>2359</v>
      </c>
      <c r="I560" s="2">
        <v>2381</v>
      </c>
      <c r="J560" s="2">
        <v>2496</v>
      </c>
      <c r="K560" s="2">
        <v>2180</v>
      </c>
      <c r="L560" s="2">
        <v>2449</v>
      </c>
      <c r="M560" s="2">
        <v>2136</v>
      </c>
      <c r="N560" s="2">
        <v>2259</v>
      </c>
      <c r="O560" s="2">
        <v>2269</v>
      </c>
      <c r="P560" s="2">
        <v>28048</v>
      </c>
      <c r="Q560" s="2">
        <v>2</v>
      </c>
      <c r="R560" s="2">
        <v>56096</v>
      </c>
      <c r="S560" s="4">
        <f>SUM($R$2:R560) / SUM($R:$R)</f>
        <v>0.99170234038824834</v>
      </c>
      <c r="T560" s="3" t="str">
        <f t="shared" si="48"/>
        <v>C</v>
      </c>
      <c r="U560" s="2">
        <f t="shared" si="49"/>
        <v>2337.3333333333335</v>
      </c>
      <c r="V560" s="2">
        <f t="shared" si="50"/>
        <v>110.64795387610968</v>
      </c>
      <c r="W560" s="2">
        <f t="shared" si="51"/>
        <v>4.7339398406778241E-2</v>
      </c>
      <c r="X560" s="2" t="str">
        <f t="shared" si="52"/>
        <v>X</v>
      </c>
      <c r="Y560" s="2" t="str">
        <f t="shared" si="53"/>
        <v>CX</v>
      </c>
    </row>
    <row r="561" spans="1:25" x14ac:dyDescent="0.3">
      <c r="A561" s="2" t="s">
        <v>1825</v>
      </c>
      <c r="B561" s="2" t="s">
        <v>1826</v>
      </c>
      <c r="C561" s="2" t="s">
        <v>20</v>
      </c>
      <c r="D561" s="2">
        <v>2805</v>
      </c>
      <c r="E561" s="2">
        <v>2181</v>
      </c>
      <c r="F561" s="2">
        <v>2398</v>
      </c>
      <c r="G561" s="2">
        <v>2265</v>
      </c>
      <c r="H561" s="2">
        <v>2324</v>
      </c>
      <c r="I561" s="2">
        <v>2134</v>
      </c>
      <c r="J561" s="2">
        <v>2632</v>
      </c>
      <c r="K561" s="2">
        <v>2127</v>
      </c>
      <c r="L561" s="2">
        <v>2140</v>
      </c>
      <c r="M561" s="2">
        <v>2279</v>
      </c>
      <c r="N561" s="2">
        <v>2368</v>
      </c>
      <c r="O561" s="2">
        <v>2367</v>
      </c>
      <c r="P561" s="2">
        <v>28020</v>
      </c>
      <c r="Q561" s="2">
        <v>2</v>
      </c>
      <c r="R561" s="2">
        <v>56040</v>
      </c>
      <c r="S561" s="4">
        <f>SUM($R$2:R561) / SUM($R:$R)</f>
        <v>0.99175460247196667</v>
      </c>
      <c r="T561" s="3" t="str">
        <f t="shared" si="48"/>
        <v>C</v>
      </c>
      <c r="U561" s="2">
        <f t="shared" si="49"/>
        <v>2335</v>
      </c>
      <c r="V561" s="2">
        <f t="shared" si="50"/>
        <v>206.43158673032573</v>
      </c>
      <c r="W561" s="2">
        <f t="shared" si="51"/>
        <v>8.8407531790289387E-2</v>
      </c>
      <c r="X561" s="2" t="str">
        <f t="shared" si="52"/>
        <v>X</v>
      </c>
      <c r="Y561" s="2" t="str">
        <f t="shared" si="53"/>
        <v>CX</v>
      </c>
    </row>
    <row r="562" spans="1:25" x14ac:dyDescent="0.3">
      <c r="A562" s="2" t="s">
        <v>155</v>
      </c>
      <c r="B562" s="2" t="s">
        <v>156</v>
      </c>
      <c r="C562" s="2" t="s">
        <v>56</v>
      </c>
      <c r="D562" s="2">
        <v>442</v>
      </c>
      <c r="E562" s="2">
        <v>494</v>
      </c>
      <c r="F562" s="2">
        <v>451</v>
      </c>
      <c r="G562" s="2">
        <v>458</v>
      </c>
      <c r="H562" s="2">
        <v>468</v>
      </c>
      <c r="I562" s="2">
        <v>446</v>
      </c>
      <c r="J562" s="2">
        <v>459</v>
      </c>
      <c r="K562" s="2">
        <v>439</v>
      </c>
      <c r="L562" s="2">
        <v>466</v>
      </c>
      <c r="M562" s="2">
        <v>499</v>
      </c>
      <c r="N562" s="2">
        <v>497</v>
      </c>
      <c r="O562" s="2">
        <v>476</v>
      </c>
      <c r="P562" s="2">
        <v>5595</v>
      </c>
      <c r="Q562" s="2">
        <v>10</v>
      </c>
      <c r="R562" s="2">
        <v>55950</v>
      </c>
      <c r="S562" s="4">
        <f>SUM($R$2:R562) / SUM($R:$R)</f>
        <v>0.99180678062300243</v>
      </c>
      <c r="T562" s="3" t="str">
        <f t="shared" si="48"/>
        <v>C</v>
      </c>
      <c r="U562" s="2">
        <f t="shared" si="49"/>
        <v>466.25</v>
      </c>
      <c r="V562" s="2">
        <f t="shared" si="50"/>
        <v>21.277922830953212</v>
      </c>
      <c r="W562" s="2">
        <f t="shared" si="51"/>
        <v>4.5636295615985444E-2</v>
      </c>
      <c r="X562" s="2" t="str">
        <f t="shared" si="52"/>
        <v>X</v>
      </c>
      <c r="Y562" s="2" t="str">
        <f t="shared" si="53"/>
        <v>CX</v>
      </c>
    </row>
    <row r="563" spans="1:25" x14ac:dyDescent="0.3">
      <c r="A563" s="2" t="s">
        <v>1457</v>
      </c>
      <c r="B563" s="2" t="s">
        <v>1458</v>
      </c>
      <c r="C563" s="2" t="s">
        <v>20</v>
      </c>
      <c r="D563" s="2">
        <v>2274</v>
      </c>
      <c r="E563" s="2">
        <v>2411</v>
      </c>
      <c r="F563" s="2">
        <v>2587</v>
      </c>
      <c r="G563" s="2">
        <v>1957</v>
      </c>
      <c r="H563" s="2">
        <v>2528</v>
      </c>
      <c r="I563" s="2">
        <v>2009</v>
      </c>
      <c r="J563" s="2">
        <v>2357</v>
      </c>
      <c r="K563" s="2">
        <v>2161</v>
      </c>
      <c r="L563" s="2">
        <v>2353</v>
      </c>
      <c r="M563" s="2">
        <v>2523</v>
      </c>
      <c r="N563" s="2">
        <v>2581</v>
      </c>
      <c r="O563" s="2">
        <v>2170</v>
      </c>
      <c r="P563" s="2">
        <v>27911</v>
      </c>
      <c r="Q563" s="2">
        <v>2</v>
      </c>
      <c r="R563" s="2">
        <v>55822</v>
      </c>
      <c r="S563" s="4">
        <f>SUM($R$2:R563) / SUM($R:$R)</f>
        <v>0.99185883940311181</v>
      </c>
      <c r="T563" s="3" t="str">
        <f t="shared" si="48"/>
        <v>C</v>
      </c>
      <c r="U563" s="2">
        <f t="shared" si="49"/>
        <v>2325.9166666666665</v>
      </c>
      <c r="V563" s="2">
        <f t="shared" si="50"/>
        <v>215.86799768433121</v>
      </c>
      <c r="W563" s="2">
        <f t="shared" si="51"/>
        <v>9.2809858916268667E-2</v>
      </c>
      <c r="X563" s="2" t="str">
        <f t="shared" si="52"/>
        <v>X</v>
      </c>
      <c r="Y563" s="2" t="str">
        <f t="shared" si="53"/>
        <v>CX</v>
      </c>
    </row>
    <row r="564" spans="1:25" x14ac:dyDescent="0.3">
      <c r="A564" s="2" t="s">
        <v>1069</v>
      </c>
      <c r="B564" s="2" t="s">
        <v>1070</v>
      </c>
      <c r="C564" s="2" t="s">
        <v>36</v>
      </c>
      <c r="D564" s="2">
        <v>473</v>
      </c>
      <c r="E564" s="2">
        <v>444</v>
      </c>
      <c r="F564" s="2">
        <v>440</v>
      </c>
      <c r="G564" s="2">
        <v>476</v>
      </c>
      <c r="H564" s="2">
        <v>474</v>
      </c>
      <c r="I564" s="2">
        <v>458</v>
      </c>
      <c r="J564" s="2">
        <v>456</v>
      </c>
      <c r="K564" s="2">
        <v>477</v>
      </c>
      <c r="L564" s="2">
        <v>464</v>
      </c>
      <c r="M564" s="2">
        <v>464</v>
      </c>
      <c r="N564" s="2">
        <v>491</v>
      </c>
      <c r="O564" s="2">
        <v>460</v>
      </c>
      <c r="P564" s="2">
        <v>5577</v>
      </c>
      <c r="Q564" s="2">
        <v>10</v>
      </c>
      <c r="R564" s="2">
        <v>55770</v>
      </c>
      <c r="S564" s="4">
        <f>SUM($R$2:R564) / SUM($R:$R)</f>
        <v>0.99191084968878229</v>
      </c>
      <c r="T564" s="3" t="str">
        <f t="shared" si="48"/>
        <v>C</v>
      </c>
      <c r="U564" s="2">
        <f t="shared" si="49"/>
        <v>464.75</v>
      </c>
      <c r="V564" s="2">
        <f t="shared" si="50"/>
        <v>14.485886548323823</v>
      </c>
      <c r="W564" s="2">
        <f t="shared" si="51"/>
        <v>3.116920182533367E-2</v>
      </c>
      <c r="X564" s="2" t="str">
        <f t="shared" si="52"/>
        <v>X</v>
      </c>
      <c r="Y564" s="2" t="str">
        <f t="shared" si="53"/>
        <v>CX</v>
      </c>
    </row>
    <row r="565" spans="1:25" x14ac:dyDescent="0.3">
      <c r="A565" s="2" t="s">
        <v>381</v>
      </c>
      <c r="B565" s="2" t="s">
        <v>382</v>
      </c>
      <c r="C565" s="2" t="s">
        <v>20</v>
      </c>
      <c r="D565" s="2">
        <v>2301</v>
      </c>
      <c r="E565" s="2">
        <v>2533</v>
      </c>
      <c r="F565" s="2">
        <v>2181</v>
      </c>
      <c r="G565" s="2">
        <v>2241</v>
      </c>
      <c r="H565" s="2">
        <v>2566</v>
      </c>
      <c r="I565" s="2">
        <v>2237</v>
      </c>
      <c r="J565" s="2">
        <v>2296</v>
      </c>
      <c r="K565" s="2">
        <v>2207</v>
      </c>
      <c r="L565" s="2">
        <v>2219</v>
      </c>
      <c r="M565" s="2">
        <v>2499</v>
      </c>
      <c r="N565" s="2">
        <v>1945</v>
      </c>
      <c r="O565" s="2">
        <v>2658</v>
      </c>
      <c r="P565" s="2">
        <v>27883</v>
      </c>
      <c r="Q565" s="2">
        <v>2</v>
      </c>
      <c r="R565" s="2">
        <v>55766</v>
      </c>
      <c r="S565" s="4">
        <f>SUM($R$2:R565) / SUM($R:$R)</f>
        <v>0.99196285624411129</v>
      </c>
      <c r="T565" s="3" t="str">
        <f t="shared" si="48"/>
        <v>C</v>
      </c>
      <c r="U565" s="2">
        <f t="shared" si="49"/>
        <v>2323.5833333333335</v>
      </c>
      <c r="V565" s="2">
        <f t="shared" si="50"/>
        <v>202.03485672856883</v>
      </c>
      <c r="W565" s="2">
        <f t="shared" si="51"/>
        <v>8.6949692670904341E-2</v>
      </c>
      <c r="X565" s="2" t="str">
        <f t="shared" si="52"/>
        <v>X</v>
      </c>
      <c r="Y565" s="2" t="str">
        <f t="shared" si="53"/>
        <v>CX</v>
      </c>
    </row>
    <row r="566" spans="1:25" x14ac:dyDescent="0.3">
      <c r="A566" s="2" t="s">
        <v>1827</v>
      </c>
      <c r="B566" s="2" t="s">
        <v>1828</v>
      </c>
      <c r="C566" s="2" t="s">
        <v>41</v>
      </c>
      <c r="D566" s="2">
        <v>440</v>
      </c>
      <c r="E566" s="2">
        <v>504</v>
      </c>
      <c r="F566" s="2">
        <v>485</v>
      </c>
      <c r="G566" s="2">
        <v>430</v>
      </c>
      <c r="H566" s="2">
        <v>449</v>
      </c>
      <c r="I566" s="2">
        <v>500</v>
      </c>
      <c r="J566" s="2">
        <v>423</v>
      </c>
      <c r="K566" s="2">
        <v>485</v>
      </c>
      <c r="L566" s="2">
        <v>443</v>
      </c>
      <c r="M566" s="2">
        <v>495</v>
      </c>
      <c r="N566" s="2">
        <v>453</v>
      </c>
      <c r="O566" s="2">
        <v>413</v>
      </c>
      <c r="P566" s="2">
        <v>5520</v>
      </c>
      <c r="Q566" s="2">
        <v>10</v>
      </c>
      <c r="R566" s="2">
        <v>55200</v>
      </c>
      <c r="S566" s="4">
        <f>SUM($R$2:R566) / SUM($R:$R)</f>
        <v>0.99201433495612512</v>
      </c>
      <c r="T566" s="3" t="str">
        <f t="shared" si="48"/>
        <v>C</v>
      </c>
      <c r="U566" s="2">
        <f t="shared" si="49"/>
        <v>460</v>
      </c>
      <c r="V566" s="2">
        <f t="shared" si="50"/>
        <v>32.119096556976253</v>
      </c>
      <c r="W566" s="2">
        <f t="shared" si="51"/>
        <v>6.9824122949948372E-2</v>
      </c>
      <c r="X566" s="2" t="str">
        <f t="shared" si="52"/>
        <v>X</v>
      </c>
      <c r="Y566" s="2" t="str">
        <f t="shared" si="53"/>
        <v>CX</v>
      </c>
    </row>
    <row r="567" spans="1:25" x14ac:dyDescent="0.3">
      <c r="A567" s="2" t="s">
        <v>1941</v>
      </c>
      <c r="B567" s="2" t="s">
        <v>1942</v>
      </c>
      <c r="C567" s="2" t="s">
        <v>41</v>
      </c>
      <c r="D567" s="2">
        <v>101</v>
      </c>
      <c r="E567" s="2">
        <v>105</v>
      </c>
      <c r="F567" s="2">
        <v>89</v>
      </c>
      <c r="G567" s="2">
        <v>88</v>
      </c>
      <c r="H567" s="2">
        <v>98</v>
      </c>
      <c r="I567" s="2">
        <v>78</v>
      </c>
      <c r="J567" s="2">
        <v>90</v>
      </c>
      <c r="K567" s="2">
        <v>91</v>
      </c>
      <c r="L567" s="2">
        <v>93</v>
      </c>
      <c r="M567" s="2">
        <v>103</v>
      </c>
      <c r="N567" s="2">
        <v>92</v>
      </c>
      <c r="O567" s="2">
        <v>76</v>
      </c>
      <c r="P567" s="2">
        <v>1104</v>
      </c>
      <c r="Q567" s="2">
        <v>50</v>
      </c>
      <c r="R567" s="2">
        <v>55200</v>
      </c>
      <c r="S567" s="4">
        <f>SUM($R$2:R567) / SUM($R:$R)</f>
        <v>0.99206581366813895</v>
      </c>
      <c r="T567" s="3" t="str">
        <f t="shared" si="48"/>
        <v>C</v>
      </c>
      <c r="U567" s="2">
        <f t="shared" si="49"/>
        <v>92</v>
      </c>
      <c r="V567" s="2">
        <f t="shared" si="50"/>
        <v>8.9949480770647536</v>
      </c>
      <c r="W567" s="2">
        <f t="shared" si="51"/>
        <v>9.7771174750703849E-2</v>
      </c>
      <c r="X567" s="2" t="str">
        <f t="shared" si="52"/>
        <v>X</v>
      </c>
      <c r="Y567" s="2" t="str">
        <f t="shared" si="53"/>
        <v>CX</v>
      </c>
    </row>
    <row r="568" spans="1:25" x14ac:dyDescent="0.3">
      <c r="A568" s="2" t="s">
        <v>681</v>
      </c>
      <c r="B568" s="2" t="s">
        <v>682</v>
      </c>
      <c r="C568" s="2" t="s">
        <v>56</v>
      </c>
      <c r="D568" s="2">
        <v>429</v>
      </c>
      <c r="E568" s="2">
        <v>463</v>
      </c>
      <c r="F568" s="2">
        <v>476</v>
      </c>
      <c r="G568" s="2">
        <v>474</v>
      </c>
      <c r="H568" s="2">
        <v>450</v>
      </c>
      <c r="I568" s="2">
        <v>478</v>
      </c>
      <c r="J568" s="2">
        <v>428</v>
      </c>
      <c r="K568" s="2">
        <v>447</v>
      </c>
      <c r="L568" s="2">
        <v>478</v>
      </c>
      <c r="M568" s="2">
        <v>465</v>
      </c>
      <c r="N568" s="2">
        <v>467</v>
      </c>
      <c r="O568" s="2">
        <v>448</v>
      </c>
      <c r="P568" s="2">
        <v>5503</v>
      </c>
      <c r="Q568" s="2">
        <v>10</v>
      </c>
      <c r="R568" s="2">
        <v>55030</v>
      </c>
      <c r="S568" s="4">
        <f>SUM($R$2:R568) / SUM($R:$R)</f>
        <v>0.99211713384064115</v>
      </c>
      <c r="T568" s="3" t="str">
        <f t="shared" si="48"/>
        <v>C</v>
      </c>
      <c r="U568" s="2">
        <f t="shared" si="49"/>
        <v>458.58333333333331</v>
      </c>
      <c r="V568" s="2">
        <f t="shared" si="50"/>
        <v>17.98210389821115</v>
      </c>
      <c r="W568" s="2">
        <f t="shared" si="51"/>
        <v>3.9212292709164785E-2</v>
      </c>
      <c r="X568" s="2" t="str">
        <f t="shared" si="52"/>
        <v>X</v>
      </c>
      <c r="Y568" s="2" t="str">
        <f t="shared" si="53"/>
        <v>CX</v>
      </c>
    </row>
    <row r="569" spans="1:25" x14ac:dyDescent="0.3">
      <c r="A569" s="2" t="s">
        <v>873</v>
      </c>
      <c r="B569" s="2" t="s">
        <v>874</v>
      </c>
      <c r="C569" s="2" t="s">
        <v>56</v>
      </c>
      <c r="D569" s="2">
        <v>471</v>
      </c>
      <c r="E569" s="2">
        <v>461</v>
      </c>
      <c r="F569" s="2">
        <v>506</v>
      </c>
      <c r="G569" s="2">
        <v>470</v>
      </c>
      <c r="H569" s="2">
        <v>418</v>
      </c>
      <c r="I569" s="2">
        <v>461</v>
      </c>
      <c r="J569" s="2">
        <v>480</v>
      </c>
      <c r="K569" s="2">
        <v>474</v>
      </c>
      <c r="L569" s="2">
        <v>448</v>
      </c>
      <c r="M569" s="2">
        <v>431</v>
      </c>
      <c r="N569" s="2">
        <v>422</v>
      </c>
      <c r="O569" s="2">
        <v>446</v>
      </c>
      <c r="P569" s="2">
        <v>5488</v>
      </c>
      <c r="Q569" s="2">
        <v>10</v>
      </c>
      <c r="R569" s="2">
        <v>54880</v>
      </c>
      <c r="S569" s="4">
        <f>SUM($R$2:R569) / SUM($R:$R)</f>
        <v>0.9921683141253389</v>
      </c>
      <c r="T569" s="3" t="str">
        <f t="shared" si="48"/>
        <v>C</v>
      </c>
      <c r="U569" s="2">
        <f t="shared" si="49"/>
        <v>457.33333333333331</v>
      </c>
      <c r="V569" s="2">
        <f t="shared" si="50"/>
        <v>25.652691984674941</v>
      </c>
      <c r="W569" s="2">
        <f t="shared" si="51"/>
        <v>5.6091892094770279E-2</v>
      </c>
      <c r="X569" s="2" t="str">
        <f t="shared" si="52"/>
        <v>X</v>
      </c>
      <c r="Y569" s="2" t="str">
        <f t="shared" si="53"/>
        <v>CX</v>
      </c>
    </row>
    <row r="570" spans="1:25" x14ac:dyDescent="0.3">
      <c r="A570" s="2" t="s">
        <v>1167</v>
      </c>
      <c r="B570" s="2" t="s">
        <v>1168</v>
      </c>
      <c r="C570" s="2" t="s">
        <v>41</v>
      </c>
      <c r="D570" s="2">
        <v>493</v>
      </c>
      <c r="E570" s="2">
        <v>438</v>
      </c>
      <c r="F570" s="2">
        <v>431</v>
      </c>
      <c r="G570" s="2">
        <v>440</v>
      </c>
      <c r="H570" s="2">
        <v>458</v>
      </c>
      <c r="I570" s="2">
        <v>444</v>
      </c>
      <c r="J570" s="2">
        <v>437</v>
      </c>
      <c r="K570" s="2">
        <v>459</v>
      </c>
      <c r="L570" s="2">
        <v>490</v>
      </c>
      <c r="M570" s="2">
        <v>491</v>
      </c>
      <c r="N570" s="2">
        <v>469</v>
      </c>
      <c r="O570" s="2">
        <v>434</v>
      </c>
      <c r="P570" s="2">
        <v>5484</v>
      </c>
      <c r="Q570" s="2">
        <v>10</v>
      </c>
      <c r="R570" s="2">
        <v>54840</v>
      </c>
      <c r="S570" s="4">
        <f>SUM($R$2:R570) / SUM($R:$R)</f>
        <v>0.99221945710662218</v>
      </c>
      <c r="T570" s="3" t="str">
        <f t="shared" si="48"/>
        <v>C</v>
      </c>
      <c r="U570" s="2">
        <f t="shared" si="49"/>
        <v>457</v>
      </c>
      <c r="V570" s="2">
        <f t="shared" si="50"/>
        <v>23.575796525635816</v>
      </c>
      <c r="W570" s="2">
        <f t="shared" si="51"/>
        <v>5.1588176204892373E-2</v>
      </c>
      <c r="X570" s="2" t="str">
        <f t="shared" si="52"/>
        <v>X</v>
      </c>
      <c r="Y570" s="2" t="str">
        <f t="shared" si="53"/>
        <v>CX</v>
      </c>
    </row>
    <row r="571" spans="1:25" x14ac:dyDescent="0.3">
      <c r="A571" s="2" t="s">
        <v>1649</v>
      </c>
      <c r="B571" s="2" t="s">
        <v>1650</v>
      </c>
      <c r="C571" s="2" t="s">
        <v>20</v>
      </c>
      <c r="D571" s="2">
        <v>2438</v>
      </c>
      <c r="E571" s="2">
        <v>2039</v>
      </c>
      <c r="F571" s="2">
        <v>2397</v>
      </c>
      <c r="G571" s="2">
        <v>2651</v>
      </c>
      <c r="H571" s="2">
        <v>2155</v>
      </c>
      <c r="I571" s="2">
        <v>2059</v>
      </c>
      <c r="J571" s="2">
        <v>2517</v>
      </c>
      <c r="K571" s="2">
        <v>2030</v>
      </c>
      <c r="L571" s="2">
        <v>2378</v>
      </c>
      <c r="M571" s="2">
        <v>2135</v>
      </c>
      <c r="N571" s="2">
        <v>2143</v>
      </c>
      <c r="O571" s="2">
        <v>2215</v>
      </c>
      <c r="P571" s="2">
        <v>27157</v>
      </c>
      <c r="Q571" s="2">
        <v>2</v>
      </c>
      <c r="R571" s="2">
        <v>54314</v>
      </c>
      <c r="S571" s="4">
        <f>SUM($R$2:R571) / SUM($R:$R)</f>
        <v>0.99227010954800476</v>
      </c>
      <c r="T571" s="3" t="str">
        <f t="shared" si="48"/>
        <v>C</v>
      </c>
      <c r="U571" s="2">
        <f t="shared" si="49"/>
        <v>2263.0833333333335</v>
      </c>
      <c r="V571" s="2">
        <f t="shared" si="50"/>
        <v>206.19913514205956</v>
      </c>
      <c r="W571" s="2">
        <f t="shared" si="51"/>
        <v>9.1114247586431288E-2</v>
      </c>
      <c r="X571" s="2" t="str">
        <f t="shared" si="52"/>
        <v>X</v>
      </c>
      <c r="Y571" s="2" t="str">
        <f t="shared" si="53"/>
        <v>CX</v>
      </c>
    </row>
    <row r="572" spans="1:25" x14ac:dyDescent="0.3">
      <c r="A572" s="2" t="s">
        <v>1249</v>
      </c>
      <c r="B572" s="2" t="s">
        <v>1250</v>
      </c>
      <c r="C572" s="2" t="s">
        <v>56</v>
      </c>
      <c r="D572" s="2">
        <v>439</v>
      </c>
      <c r="E572" s="2">
        <v>501</v>
      </c>
      <c r="F572" s="2">
        <v>453</v>
      </c>
      <c r="G572" s="2">
        <v>434</v>
      </c>
      <c r="H572" s="2">
        <v>438</v>
      </c>
      <c r="I572" s="2">
        <v>491</v>
      </c>
      <c r="J572" s="2">
        <v>444</v>
      </c>
      <c r="K572" s="2">
        <v>432</v>
      </c>
      <c r="L572" s="2">
        <v>452</v>
      </c>
      <c r="M572" s="2">
        <v>441</v>
      </c>
      <c r="N572" s="2">
        <v>430</v>
      </c>
      <c r="O572" s="2">
        <v>470</v>
      </c>
      <c r="P572" s="2">
        <v>5425</v>
      </c>
      <c r="Q572" s="2">
        <v>10</v>
      </c>
      <c r="R572" s="2">
        <v>54250</v>
      </c>
      <c r="S572" s="4">
        <f>SUM($R$2:R572) / SUM($R:$R)</f>
        <v>0.99232070230392411</v>
      </c>
      <c r="T572" s="3" t="str">
        <f t="shared" si="48"/>
        <v>C</v>
      </c>
      <c r="U572" s="2">
        <f t="shared" si="49"/>
        <v>452.08333333333331</v>
      </c>
      <c r="V572" s="2">
        <f t="shared" si="50"/>
        <v>23.364535414844333</v>
      </c>
      <c r="W572" s="2">
        <f t="shared" si="51"/>
        <v>5.1681921654955207E-2</v>
      </c>
      <c r="X572" s="2" t="str">
        <f t="shared" si="52"/>
        <v>X</v>
      </c>
      <c r="Y572" s="2" t="str">
        <f t="shared" si="53"/>
        <v>CX</v>
      </c>
    </row>
    <row r="573" spans="1:25" x14ac:dyDescent="0.3">
      <c r="A573" s="2" t="s">
        <v>1937</v>
      </c>
      <c r="B573" s="2" t="s">
        <v>1938</v>
      </c>
      <c r="C573" s="2" t="s">
        <v>25</v>
      </c>
      <c r="D573" s="2">
        <v>345</v>
      </c>
      <c r="E573" s="2">
        <v>584</v>
      </c>
      <c r="F573" s="2">
        <v>501</v>
      </c>
      <c r="G573" s="2">
        <v>96</v>
      </c>
      <c r="H573" s="2">
        <v>352</v>
      </c>
      <c r="I573" s="2">
        <v>600</v>
      </c>
      <c r="J573" s="2">
        <v>190</v>
      </c>
      <c r="K573" s="2">
        <v>551</v>
      </c>
      <c r="L573" s="2">
        <v>671</v>
      </c>
      <c r="M573" s="2">
        <v>471</v>
      </c>
      <c r="N573" s="2">
        <v>494</v>
      </c>
      <c r="O573" s="2">
        <v>564</v>
      </c>
      <c r="P573" s="2">
        <v>5419</v>
      </c>
      <c r="Q573" s="2">
        <v>10</v>
      </c>
      <c r="R573" s="2">
        <v>54190</v>
      </c>
      <c r="S573" s="4">
        <f>SUM($R$2:R573) / SUM($R:$R)</f>
        <v>0.9923712391047218</v>
      </c>
      <c r="T573" s="3" t="str">
        <f t="shared" si="48"/>
        <v>C</v>
      </c>
      <c r="U573" s="2">
        <f t="shared" si="49"/>
        <v>451.58333333333331</v>
      </c>
      <c r="V573" s="2">
        <f t="shared" si="50"/>
        <v>173.46388585803584</v>
      </c>
      <c r="W573" s="2">
        <f t="shared" si="51"/>
        <v>0.3841237553601089</v>
      </c>
      <c r="X573" s="2" t="str">
        <f t="shared" si="52"/>
        <v>Y</v>
      </c>
      <c r="Y573" s="2" t="str">
        <f t="shared" si="53"/>
        <v>CY</v>
      </c>
    </row>
    <row r="574" spans="1:25" x14ac:dyDescent="0.3">
      <c r="A574" s="2" t="s">
        <v>1899</v>
      </c>
      <c r="B574" s="2" t="s">
        <v>1900</v>
      </c>
      <c r="C574" s="2" t="s">
        <v>20</v>
      </c>
      <c r="D574" s="2">
        <v>2276</v>
      </c>
      <c r="E574" s="2">
        <v>2439</v>
      </c>
      <c r="F574" s="2">
        <v>2471</v>
      </c>
      <c r="G574" s="2">
        <v>1948</v>
      </c>
      <c r="H574" s="2">
        <v>2398</v>
      </c>
      <c r="I574" s="2">
        <v>2404</v>
      </c>
      <c r="J574" s="2">
        <v>2354</v>
      </c>
      <c r="K574" s="2">
        <v>2371</v>
      </c>
      <c r="L574" s="2">
        <v>2302</v>
      </c>
      <c r="M574" s="2">
        <v>1640</v>
      </c>
      <c r="N574" s="2">
        <v>2180</v>
      </c>
      <c r="O574" s="2">
        <v>2173</v>
      </c>
      <c r="P574" s="2">
        <v>26956</v>
      </c>
      <c r="Q574" s="2">
        <v>2</v>
      </c>
      <c r="R574" s="2">
        <v>53912</v>
      </c>
      <c r="S574" s="4">
        <f>SUM($R$2:R574) / SUM($R:$R)</f>
        <v>0.99242151664678857</v>
      </c>
      <c r="T574" s="3" t="str">
        <f t="shared" si="48"/>
        <v>C</v>
      </c>
      <c r="U574" s="2">
        <f t="shared" si="49"/>
        <v>2246.3333333333335</v>
      </c>
      <c r="V574" s="2">
        <f t="shared" si="50"/>
        <v>239.88456820021966</v>
      </c>
      <c r="W574" s="2">
        <f t="shared" si="51"/>
        <v>0.10678939079991971</v>
      </c>
      <c r="X574" s="2" t="str">
        <f t="shared" si="52"/>
        <v>X</v>
      </c>
      <c r="Y574" s="2" t="str">
        <f t="shared" si="53"/>
        <v>CX</v>
      </c>
    </row>
    <row r="575" spans="1:25" x14ac:dyDescent="0.3">
      <c r="A575" s="2" t="s">
        <v>555</v>
      </c>
      <c r="B575" s="2" t="s">
        <v>556</v>
      </c>
      <c r="C575" s="2" t="s">
        <v>25</v>
      </c>
      <c r="D575" s="2">
        <v>387</v>
      </c>
      <c r="E575" s="2">
        <v>481</v>
      </c>
      <c r="F575" s="2">
        <v>259</v>
      </c>
      <c r="G575" s="2">
        <v>394</v>
      </c>
      <c r="H575" s="2">
        <v>688</v>
      </c>
      <c r="I575" s="2">
        <v>473</v>
      </c>
      <c r="J575" s="2">
        <v>273</v>
      </c>
      <c r="K575" s="2">
        <v>318</v>
      </c>
      <c r="L575" s="2">
        <v>666</v>
      </c>
      <c r="M575" s="2">
        <v>617</v>
      </c>
      <c r="N575" s="2">
        <v>195</v>
      </c>
      <c r="O575" s="2">
        <v>588</v>
      </c>
      <c r="P575" s="2">
        <v>5339</v>
      </c>
      <c r="Q575" s="2">
        <v>10</v>
      </c>
      <c r="R575" s="2">
        <v>53390</v>
      </c>
      <c r="S575" s="4">
        <f>SUM($R$2:R575) / SUM($R:$R)</f>
        <v>0.99247130737929623</v>
      </c>
      <c r="T575" s="3" t="str">
        <f t="shared" si="48"/>
        <v>C</v>
      </c>
      <c r="U575" s="2">
        <f t="shared" si="49"/>
        <v>444.91666666666669</v>
      </c>
      <c r="V575" s="2">
        <f t="shared" si="50"/>
        <v>167.54291625693631</v>
      </c>
      <c r="W575" s="2">
        <f t="shared" si="51"/>
        <v>0.37657145440779838</v>
      </c>
      <c r="X575" s="2" t="str">
        <f t="shared" si="52"/>
        <v>Y</v>
      </c>
      <c r="Y575" s="2" t="str">
        <f t="shared" si="53"/>
        <v>CY</v>
      </c>
    </row>
    <row r="576" spans="1:25" x14ac:dyDescent="0.3">
      <c r="A576" s="2" t="s">
        <v>711</v>
      </c>
      <c r="B576" s="2" t="s">
        <v>712</v>
      </c>
      <c r="C576" s="2" t="s">
        <v>20</v>
      </c>
      <c r="D576" s="2">
        <v>2279</v>
      </c>
      <c r="E576" s="2">
        <v>2472</v>
      </c>
      <c r="F576" s="2">
        <v>2209</v>
      </c>
      <c r="G576" s="2">
        <v>2101</v>
      </c>
      <c r="H576" s="2">
        <v>2075</v>
      </c>
      <c r="I576" s="2">
        <v>2050</v>
      </c>
      <c r="J576" s="2">
        <v>2109</v>
      </c>
      <c r="K576" s="2">
        <v>2225</v>
      </c>
      <c r="L576" s="2">
        <v>2400</v>
      </c>
      <c r="M576" s="2">
        <v>2273</v>
      </c>
      <c r="N576" s="2">
        <v>2209</v>
      </c>
      <c r="O576" s="2">
        <v>2250</v>
      </c>
      <c r="P576" s="2">
        <v>26652</v>
      </c>
      <c r="Q576" s="2">
        <v>2</v>
      </c>
      <c r="R576" s="2">
        <v>53304</v>
      </c>
      <c r="S576" s="4">
        <f>SUM($R$2:R576) / SUM($R:$R)</f>
        <v>0.99252101790946257</v>
      </c>
      <c r="T576" s="3" t="str">
        <f t="shared" si="48"/>
        <v>C</v>
      </c>
      <c r="U576" s="2">
        <f t="shared" si="49"/>
        <v>2221</v>
      </c>
      <c r="V576" s="2">
        <f t="shared" si="50"/>
        <v>127.83369878656623</v>
      </c>
      <c r="W576" s="2">
        <f t="shared" si="51"/>
        <v>5.7556820705342744E-2</v>
      </c>
      <c r="X576" s="2" t="str">
        <f t="shared" si="52"/>
        <v>X</v>
      </c>
      <c r="Y576" s="2" t="str">
        <f t="shared" si="53"/>
        <v>CX</v>
      </c>
    </row>
    <row r="577" spans="1:25" x14ac:dyDescent="0.3">
      <c r="A577" s="2" t="s">
        <v>169</v>
      </c>
      <c r="B577" s="2" t="s">
        <v>170</v>
      </c>
      <c r="C577" s="2" t="s">
        <v>25</v>
      </c>
      <c r="D577" s="2">
        <v>430</v>
      </c>
      <c r="E577" s="2">
        <v>624</v>
      </c>
      <c r="F577" s="2">
        <v>281</v>
      </c>
      <c r="G577" s="2">
        <v>490</v>
      </c>
      <c r="H577" s="2">
        <v>638</v>
      </c>
      <c r="I577" s="2">
        <v>522</v>
      </c>
      <c r="J577" s="2">
        <v>498</v>
      </c>
      <c r="K577" s="2">
        <v>482</v>
      </c>
      <c r="L577" s="2">
        <v>289</v>
      </c>
      <c r="M577" s="2">
        <v>472</v>
      </c>
      <c r="N577" s="2">
        <v>333</v>
      </c>
      <c r="O577" s="2">
        <v>247</v>
      </c>
      <c r="P577" s="2">
        <v>5306</v>
      </c>
      <c r="Q577" s="2">
        <v>10</v>
      </c>
      <c r="R577" s="2">
        <v>53060</v>
      </c>
      <c r="S577" s="4">
        <f>SUM($R$2:R577) / SUM($R:$R)</f>
        <v>0.9925705008888005</v>
      </c>
      <c r="T577" s="3" t="str">
        <f t="shared" si="48"/>
        <v>C</v>
      </c>
      <c r="U577" s="2">
        <f t="shared" si="49"/>
        <v>442.16666666666669</v>
      </c>
      <c r="V577" s="2">
        <f t="shared" si="50"/>
        <v>129.77591409343978</v>
      </c>
      <c r="W577" s="2">
        <f t="shared" si="51"/>
        <v>0.29349999418041411</v>
      </c>
      <c r="X577" s="2" t="str">
        <f t="shared" si="52"/>
        <v>Y</v>
      </c>
      <c r="Y577" s="2" t="str">
        <f t="shared" si="53"/>
        <v>CY</v>
      </c>
    </row>
    <row r="578" spans="1:25" x14ac:dyDescent="0.3">
      <c r="A578" s="2" t="s">
        <v>1381</v>
      </c>
      <c r="B578" s="2" t="s">
        <v>1382</v>
      </c>
      <c r="C578" s="2" t="s">
        <v>41</v>
      </c>
      <c r="D578" s="2">
        <v>462</v>
      </c>
      <c r="E578" s="2">
        <v>410</v>
      </c>
      <c r="F578" s="2">
        <v>423</v>
      </c>
      <c r="G578" s="2">
        <v>418</v>
      </c>
      <c r="H578" s="2">
        <v>441</v>
      </c>
      <c r="I578" s="2">
        <v>436</v>
      </c>
      <c r="J578" s="2">
        <v>424</v>
      </c>
      <c r="K578" s="2">
        <v>461</v>
      </c>
      <c r="L578" s="2">
        <v>436</v>
      </c>
      <c r="M578" s="2">
        <v>478</v>
      </c>
      <c r="N578" s="2">
        <v>467</v>
      </c>
      <c r="O578" s="2">
        <v>434</v>
      </c>
      <c r="P578" s="2">
        <v>5290</v>
      </c>
      <c r="Q578" s="2">
        <v>10</v>
      </c>
      <c r="R578" s="2">
        <v>52900</v>
      </c>
      <c r="S578" s="4">
        <f>SUM($R$2:R578) / SUM($R:$R)</f>
        <v>0.99261983465448034</v>
      </c>
      <c r="T578" s="3" t="str">
        <f t="shared" si="48"/>
        <v>C</v>
      </c>
      <c r="U578" s="2">
        <f t="shared" si="49"/>
        <v>440.83333333333331</v>
      </c>
      <c r="V578" s="2">
        <f t="shared" si="50"/>
        <v>21.506165430293507</v>
      </c>
      <c r="W578" s="2">
        <f t="shared" si="51"/>
        <v>4.8785252393860508E-2</v>
      </c>
      <c r="X578" s="2" t="str">
        <f t="shared" si="52"/>
        <v>X</v>
      </c>
      <c r="Y578" s="2" t="str">
        <f t="shared" si="53"/>
        <v>CX</v>
      </c>
    </row>
    <row r="579" spans="1:25" x14ac:dyDescent="0.3">
      <c r="A579" s="2" t="s">
        <v>1607</v>
      </c>
      <c r="B579" s="2" t="s">
        <v>1608</v>
      </c>
      <c r="C579" s="2" t="s">
        <v>20</v>
      </c>
      <c r="D579" s="2">
        <v>2461</v>
      </c>
      <c r="E579" s="2">
        <v>2268</v>
      </c>
      <c r="F579" s="2">
        <v>2107</v>
      </c>
      <c r="G579" s="2">
        <v>2332</v>
      </c>
      <c r="H579" s="2">
        <v>2453</v>
      </c>
      <c r="I579" s="2">
        <v>2229</v>
      </c>
      <c r="J579" s="2">
        <v>1880</v>
      </c>
      <c r="K579" s="2">
        <v>2102</v>
      </c>
      <c r="L579" s="2">
        <v>2062</v>
      </c>
      <c r="M579" s="2">
        <v>1962</v>
      </c>
      <c r="N579" s="2">
        <v>2017</v>
      </c>
      <c r="O579" s="2">
        <v>2356</v>
      </c>
      <c r="P579" s="2">
        <v>26229</v>
      </c>
      <c r="Q579" s="2">
        <v>2</v>
      </c>
      <c r="R579" s="2">
        <v>52458</v>
      </c>
      <c r="S579" s="4">
        <f>SUM($R$2:R579) / SUM($R:$R)</f>
        <v>0.99266875621743</v>
      </c>
      <c r="T579" s="3" t="str">
        <f t="shared" ref="T579:T642" si="54">IF(S579&lt;=0.7, "A", IF(S579&lt;=0.9, "B", "C"))</f>
        <v>C</v>
      </c>
      <c r="U579" s="2">
        <f t="shared" ref="U579:U642" si="55">AVERAGE(D579:O579)</f>
        <v>2185.75</v>
      </c>
      <c r="V579" s="2">
        <f t="shared" ref="V579:V642" si="56">_xlfn.STDEV.S(D579:O579)</f>
        <v>192.29434114493239</v>
      </c>
      <c r="W579" s="2">
        <f t="shared" ref="W579:W642" si="57">IF(U579=0,0,V579/U579)</f>
        <v>8.7976365615890381E-2</v>
      </c>
      <c r="X579" s="2" t="str">
        <f t="shared" ref="X579:X642" si="58">(IF(W579&lt;=0.2, "X", IF(W579&lt;=0.5, "Y", "Z")))</f>
        <v>X</v>
      </c>
      <c r="Y579" s="2" t="str">
        <f t="shared" ref="Y579:Y642" si="59">T579&amp;X579</f>
        <v>CX</v>
      </c>
    </row>
    <row r="580" spans="1:25" x14ac:dyDescent="0.3">
      <c r="A580" s="2" t="s">
        <v>123</v>
      </c>
      <c r="B580" s="2" t="s">
        <v>124</v>
      </c>
      <c r="C580" s="2" t="s">
        <v>25</v>
      </c>
      <c r="D580" s="2">
        <v>674</v>
      </c>
      <c r="E580" s="2">
        <v>450</v>
      </c>
      <c r="F580" s="2">
        <v>217</v>
      </c>
      <c r="G580" s="2">
        <v>597</v>
      </c>
      <c r="H580" s="2">
        <v>373</v>
      </c>
      <c r="I580" s="2">
        <v>455</v>
      </c>
      <c r="J580" s="2">
        <v>720</v>
      </c>
      <c r="K580" s="2">
        <v>300</v>
      </c>
      <c r="L580" s="2">
        <v>319</v>
      </c>
      <c r="M580" s="2">
        <v>489</v>
      </c>
      <c r="N580" s="2">
        <v>422</v>
      </c>
      <c r="O580" s="2">
        <v>227</v>
      </c>
      <c r="P580" s="2">
        <v>5243</v>
      </c>
      <c r="Q580" s="2">
        <v>10</v>
      </c>
      <c r="R580" s="2">
        <v>52430</v>
      </c>
      <c r="S580" s="4">
        <f>SUM($R$2:R580) / SUM($R:$R)</f>
        <v>0.99271765166798953</v>
      </c>
      <c r="T580" s="3" t="str">
        <f t="shared" si="54"/>
        <v>C</v>
      </c>
      <c r="U580" s="2">
        <f t="shared" si="55"/>
        <v>436.91666666666669</v>
      </c>
      <c r="V580" s="2">
        <f t="shared" si="56"/>
        <v>163.64288076247743</v>
      </c>
      <c r="W580" s="2">
        <f t="shared" si="57"/>
        <v>0.37454025732399943</v>
      </c>
      <c r="X580" s="2" t="str">
        <f t="shared" si="58"/>
        <v>Y</v>
      </c>
      <c r="Y580" s="2" t="str">
        <f t="shared" si="59"/>
        <v>CY</v>
      </c>
    </row>
    <row r="581" spans="1:25" x14ac:dyDescent="0.3">
      <c r="A581" s="2" t="s">
        <v>79</v>
      </c>
      <c r="B581" s="2" t="s">
        <v>80</v>
      </c>
      <c r="C581" s="2" t="s">
        <v>25</v>
      </c>
      <c r="D581" s="2">
        <v>504</v>
      </c>
      <c r="E581" s="2">
        <v>69</v>
      </c>
      <c r="F581" s="2">
        <v>652</v>
      </c>
      <c r="G581" s="2">
        <v>504</v>
      </c>
      <c r="H581" s="2">
        <v>406</v>
      </c>
      <c r="I581" s="2">
        <v>514</v>
      </c>
      <c r="J581" s="2">
        <v>93</v>
      </c>
      <c r="K581" s="2">
        <v>273</v>
      </c>
      <c r="L581" s="2">
        <v>365</v>
      </c>
      <c r="M581" s="2">
        <v>604</v>
      </c>
      <c r="N581" s="2">
        <v>663</v>
      </c>
      <c r="O581" s="2">
        <v>594</v>
      </c>
      <c r="P581" s="2">
        <v>5241</v>
      </c>
      <c r="Q581" s="2">
        <v>10</v>
      </c>
      <c r="R581" s="2">
        <v>52410</v>
      </c>
      <c r="S581" s="4">
        <f>SUM($R$2:R581) / SUM($R:$R)</f>
        <v>0.99276652846684177</v>
      </c>
      <c r="T581" s="3" t="str">
        <f t="shared" si="54"/>
        <v>C</v>
      </c>
      <c r="U581" s="2">
        <f t="shared" si="55"/>
        <v>436.75</v>
      </c>
      <c r="V581" s="2">
        <f t="shared" si="56"/>
        <v>202.60715458963705</v>
      </c>
      <c r="W581" s="2">
        <f t="shared" si="57"/>
        <v>0.46389732018234014</v>
      </c>
      <c r="X581" s="2" t="str">
        <f t="shared" si="58"/>
        <v>Y</v>
      </c>
      <c r="Y581" s="2" t="str">
        <f t="shared" si="59"/>
        <v>CY</v>
      </c>
    </row>
    <row r="582" spans="1:25" x14ac:dyDescent="0.3">
      <c r="A582" s="2" t="s">
        <v>517</v>
      </c>
      <c r="B582" s="2" t="s">
        <v>518</v>
      </c>
      <c r="C582" s="2" t="s">
        <v>25</v>
      </c>
      <c r="D582" s="2">
        <v>814</v>
      </c>
      <c r="E582" s="2">
        <v>389</v>
      </c>
      <c r="F582" s="2">
        <v>460</v>
      </c>
      <c r="G582" s="2">
        <v>465</v>
      </c>
      <c r="H582" s="2">
        <v>246</v>
      </c>
      <c r="I582" s="2">
        <v>464</v>
      </c>
      <c r="J582" s="2">
        <v>342</v>
      </c>
      <c r="K582" s="2">
        <v>489</v>
      </c>
      <c r="L582" s="2">
        <v>462</v>
      </c>
      <c r="M582" s="2">
        <v>273</v>
      </c>
      <c r="N582" s="2">
        <v>383</v>
      </c>
      <c r="O582" s="2">
        <v>417</v>
      </c>
      <c r="P582" s="2">
        <v>5204</v>
      </c>
      <c r="Q582" s="2">
        <v>10</v>
      </c>
      <c r="R582" s="2">
        <v>52040</v>
      </c>
      <c r="S582" s="4">
        <f>SUM($R$2:R582) / SUM($R:$R)</f>
        <v>0.99281506020910992</v>
      </c>
      <c r="T582" s="3" t="str">
        <f t="shared" si="54"/>
        <v>C</v>
      </c>
      <c r="U582" s="2">
        <f t="shared" si="55"/>
        <v>433.66666666666669</v>
      </c>
      <c r="V582" s="2">
        <f t="shared" si="56"/>
        <v>143.14286146322064</v>
      </c>
      <c r="W582" s="2">
        <f t="shared" si="57"/>
        <v>0.33007577585677317</v>
      </c>
      <c r="X582" s="2" t="str">
        <f t="shared" si="58"/>
        <v>Y</v>
      </c>
      <c r="Y582" s="2" t="str">
        <f t="shared" si="59"/>
        <v>CY</v>
      </c>
    </row>
    <row r="583" spans="1:25" x14ac:dyDescent="0.3">
      <c r="A583" s="2" t="s">
        <v>1737</v>
      </c>
      <c r="B583" s="2" t="s">
        <v>1738</v>
      </c>
      <c r="C583" s="2" t="s">
        <v>20</v>
      </c>
      <c r="D583" s="2">
        <v>2437</v>
      </c>
      <c r="E583" s="2">
        <v>2169</v>
      </c>
      <c r="F583" s="2">
        <v>2141</v>
      </c>
      <c r="G583" s="2">
        <v>1685</v>
      </c>
      <c r="H583" s="2">
        <v>2175</v>
      </c>
      <c r="I583" s="2">
        <v>2174</v>
      </c>
      <c r="J583" s="2">
        <v>2430</v>
      </c>
      <c r="K583" s="2">
        <v>2288</v>
      </c>
      <c r="L583" s="2">
        <v>1837</v>
      </c>
      <c r="M583" s="2">
        <v>2012</v>
      </c>
      <c r="N583" s="2">
        <v>2407</v>
      </c>
      <c r="O583" s="2">
        <v>2039</v>
      </c>
      <c r="P583" s="2">
        <v>25794</v>
      </c>
      <c r="Q583" s="2">
        <v>2</v>
      </c>
      <c r="R583" s="2">
        <v>51588</v>
      </c>
      <c r="S583" s="4">
        <f>SUM($R$2:R583) / SUM($R:$R)</f>
        <v>0.99286317042279415</v>
      </c>
      <c r="T583" s="3" t="str">
        <f t="shared" si="54"/>
        <v>C</v>
      </c>
      <c r="U583" s="2">
        <f t="shared" si="55"/>
        <v>2149.5</v>
      </c>
      <c r="V583" s="2">
        <f t="shared" si="56"/>
        <v>232.1952548258391</v>
      </c>
      <c r="W583" s="2">
        <f t="shared" si="57"/>
        <v>0.10802291455028569</v>
      </c>
      <c r="X583" s="2" t="str">
        <f t="shared" si="58"/>
        <v>X</v>
      </c>
      <c r="Y583" s="2" t="str">
        <f t="shared" si="59"/>
        <v>CX</v>
      </c>
    </row>
    <row r="584" spans="1:25" x14ac:dyDescent="0.3">
      <c r="A584" s="2" t="s">
        <v>1567</v>
      </c>
      <c r="B584" s="2" t="s">
        <v>1568</v>
      </c>
      <c r="C584" s="2" t="s">
        <v>36</v>
      </c>
      <c r="D584" s="2">
        <v>482</v>
      </c>
      <c r="E584" s="2">
        <v>403</v>
      </c>
      <c r="F584" s="2">
        <v>407</v>
      </c>
      <c r="G584" s="2">
        <v>404</v>
      </c>
      <c r="H584" s="2">
        <v>437</v>
      </c>
      <c r="I584" s="2">
        <v>440</v>
      </c>
      <c r="J584" s="2">
        <v>409</v>
      </c>
      <c r="K584" s="2">
        <v>409</v>
      </c>
      <c r="L584" s="2">
        <v>445</v>
      </c>
      <c r="M584" s="2">
        <v>445</v>
      </c>
      <c r="N584" s="2">
        <v>419</v>
      </c>
      <c r="O584" s="2">
        <v>439</v>
      </c>
      <c r="P584" s="2">
        <v>5139</v>
      </c>
      <c r="Q584" s="2">
        <v>10</v>
      </c>
      <c r="R584" s="2">
        <v>51390</v>
      </c>
      <c r="S584" s="4">
        <f>SUM($R$2:R584) / SUM($R:$R)</f>
        <v>0.9929110959845765</v>
      </c>
      <c r="T584" s="3" t="str">
        <f t="shared" si="54"/>
        <v>C</v>
      </c>
      <c r="U584" s="2">
        <f t="shared" si="55"/>
        <v>428.25</v>
      </c>
      <c r="V584" s="2">
        <f t="shared" si="56"/>
        <v>23.901787685138835</v>
      </c>
      <c r="W584" s="2">
        <f t="shared" si="57"/>
        <v>5.5812697455081925E-2</v>
      </c>
      <c r="X584" s="2" t="str">
        <f t="shared" si="58"/>
        <v>X</v>
      </c>
      <c r="Y584" s="2" t="str">
        <f t="shared" si="59"/>
        <v>CX</v>
      </c>
    </row>
    <row r="585" spans="1:25" x14ac:dyDescent="0.3">
      <c r="A585" s="2" t="s">
        <v>1417</v>
      </c>
      <c r="B585" s="2" t="s">
        <v>1418</v>
      </c>
      <c r="C585" s="2" t="s">
        <v>36</v>
      </c>
      <c r="D585" s="2">
        <v>399</v>
      </c>
      <c r="E585" s="2">
        <v>407</v>
      </c>
      <c r="F585" s="2">
        <v>460</v>
      </c>
      <c r="G585" s="2">
        <v>413</v>
      </c>
      <c r="H585" s="2">
        <v>441</v>
      </c>
      <c r="I585" s="2">
        <v>450</v>
      </c>
      <c r="J585" s="2">
        <v>443</v>
      </c>
      <c r="K585" s="2">
        <v>395</v>
      </c>
      <c r="L585" s="2">
        <v>442</v>
      </c>
      <c r="M585" s="2">
        <v>431</v>
      </c>
      <c r="N585" s="2">
        <v>425</v>
      </c>
      <c r="O585" s="2">
        <v>427</v>
      </c>
      <c r="P585" s="2">
        <v>5133</v>
      </c>
      <c r="Q585" s="2">
        <v>10</v>
      </c>
      <c r="R585" s="2">
        <v>51330</v>
      </c>
      <c r="S585" s="4">
        <f>SUM($R$2:R585) / SUM($R:$R)</f>
        <v>0.9929589655912372</v>
      </c>
      <c r="T585" s="3" t="str">
        <f t="shared" si="54"/>
        <v>C</v>
      </c>
      <c r="U585" s="2">
        <f t="shared" si="55"/>
        <v>427.75</v>
      </c>
      <c r="V585" s="2">
        <f t="shared" si="56"/>
        <v>20.697496554809803</v>
      </c>
      <c r="W585" s="2">
        <f t="shared" si="57"/>
        <v>4.8386900186580484E-2</v>
      </c>
      <c r="X585" s="2" t="str">
        <f t="shared" si="58"/>
        <v>X</v>
      </c>
      <c r="Y585" s="2" t="str">
        <f t="shared" si="59"/>
        <v>CX</v>
      </c>
    </row>
    <row r="586" spans="1:25" x14ac:dyDescent="0.3">
      <c r="A586" s="2" t="s">
        <v>1697</v>
      </c>
      <c r="B586" s="2" t="s">
        <v>1698</v>
      </c>
      <c r="C586" s="2" t="s">
        <v>36</v>
      </c>
      <c r="D586" s="2">
        <v>425</v>
      </c>
      <c r="E586" s="2">
        <v>432</v>
      </c>
      <c r="F586" s="2">
        <v>419</v>
      </c>
      <c r="G586" s="2">
        <v>433</v>
      </c>
      <c r="H586" s="2">
        <v>436</v>
      </c>
      <c r="I586" s="2">
        <v>450</v>
      </c>
      <c r="J586" s="2">
        <v>430</v>
      </c>
      <c r="K586" s="2">
        <v>438</v>
      </c>
      <c r="L586" s="2">
        <v>431</v>
      </c>
      <c r="M586" s="2">
        <v>427</v>
      </c>
      <c r="N586" s="2">
        <v>398</v>
      </c>
      <c r="O586" s="2">
        <v>409</v>
      </c>
      <c r="P586" s="2">
        <v>5128</v>
      </c>
      <c r="Q586" s="2">
        <v>10</v>
      </c>
      <c r="R586" s="2">
        <v>51280</v>
      </c>
      <c r="S586" s="4">
        <f>SUM($R$2:R586) / SUM($R:$R)</f>
        <v>0.99300678856862978</v>
      </c>
      <c r="T586" s="3" t="str">
        <f t="shared" si="54"/>
        <v>C</v>
      </c>
      <c r="U586" s="2">
        <f t="shared" si="55"/>
        <v>427.33333333333331</v>
      </c>
      <c r="V586" s="2">
        <f t="shared" si="56"/>
        <v>13.647066506851361</v>
      </c>
      <c r="W586" s="2">
        <f t="shared" si="57"/>
        <v>3.1935413042553887E-2</v>
      </c>
      <c r="X586" s="2" t="str">
        <f t="shared" si="58"/>
        <v>X</v>
      </c>
      <c r="Y586" s="2" t="str">
        <f t="shared" si="59"/>
        <v>CX</v>
      </c>
    </row>
    <row r="587" spans="1:25" x14ac:dyDescent="0.3">
      <c r="A587" s="2" t="s">
        <v>1679</v>
      </c>
      <c r="B587" s="2" t="s">
        <v>1680</v>
      </c>
      <c r="C587" s="2" t="s">
        <v>36</v>
      </c>
      <c r="D587" s="2">
        <v>432</v>
      </c>
      <c r="E587" s="2">
        <v>426</v>
      </c>
      <c r="F587" s="2">
        <v>461</v>
      </c>
      <c r="G587" s="2">
        <v>365</v>
      </c>
      <c r="H587" s="2">
        <v>454</v>
      </c>
      <c r="I587" s="2">
        <v>412</v>
      </c>
      <c r="J587" s="2">
        <v>432</v>
      </c>
      <c r="K587" s="2">
        <v>414</v>
      </c>
      <c r="L587" s="2">
        <v>413</v>
      </c>
      <c r="M587" s="2">
        <v>429</v>
      </c>
      <c r="N587" s="2">
        <v>443</v>
      </c>
      <c r="O587" s="2">
        <v>444</v>
      </c>
      <c r="P587" s="2">
        <v>5125</v>
      </c>
      <c r="Q587" s="2">
        <v>10</v>
      </c>
      <c r="R587" s="2">
        <v>51250</v>
      </c>
      <c r="S587" s="4">
        <f>SUM($R$2:R587) / SUM($R:$R)</f>
        <v>0.99305458356846144</v>
      </c>
      <c r="T587" s="3" t="str">
        <f t="shared" si="54"/>
        <v>C</v>
      </c>
      <c r="U587" s="2">
        <f t="shared" si="55"/>
        <v>427.08333333333331</v>
      </c>
      <c r="V587" s="2">
        <f t="shared" si="56"/>
        <v>25.079721374896177</v>
      </c>
      <c r="W587" s="2">
        <f t="shared" si="57"/>
        <v>5.8723250048537394E-2</v>
      </c>
      <c r="X587" s="2" t="str">
        <f t="shared" si="58"/>
        <v>X</v>
      </c>
      <c r="Y587" s="2" t="str">
        <f t="shared" si="59"/>
        <v>CX</v>
      </c>
    </row>
    <row r="588" spans="1:25" x14ac:dyDescent="0.3">
      <c r="A588" s="2" t="s">
        <v>495</v>
      </c>
      <c r="B588" s="2" t="s">
        <v>496</v>
      </c>
      <c r="C588" s="2" t="s">
        <v>25</v>
      </c>
      <c r="D588" s="2">
        <v>549</v>
      </c>
      <c r="E588" s="2">
        <v>511</v>
      </c>
      <c r="F588" s="2">
        <v>104</v>
      </c>
      <c r="G588" s="2">
        <v>615</v>
      </c>
      <c r="H588" s="2">
        <v>308</v>
      </c>
      <c r="I588" s="2">
        <v>436</v>
      </c>
      <c r="J588" s="2">
        <v>631</v>
      </c>
      <c r="K588" s="2">
        <v>290</v>
      </c>
      <c r="L588" s="2">
        <v>51</v>
      </c>
      <c r="M588" s="2">
        <v>589</v>
      </c>
      <c r="N588" s="2">
        <v>603</v>
      </c>
      <c r="O588" s="2">
        <v>424</v>
      </c>
      <c r="P588" s="2">
        <v>5111</v>
      </c>
      <c r="Q588" s="2">
        <v>10</v>
      </c>
      <c r="R588" s="2">
        <v>51110</v>
      </c>
      <c r="S588" s="4">
        <f>SUM($R$2:R588) / SUM($R:$R)</f>
        <v>0.99310224800634228</v>
      </c>
      <c r="T588" s="3" t="str">
        <f t="shared" si="54"/>
        <v>C</v>
      </c>
      <c r="U588" s="2">
        <f t="shared" si="55"/>
        <v>425.91666666666669</v>
      </c>
      <c r="V588" s="2">
        <f t="shared" si="56"/>
        <v>198.82173757749257</v>
      </c>
      <c r="W588" s="2">
        <f t="shared" si="57"/>
        <v>0.46680901016042081</v>
      </c>
      <c r="X588" s="2" t="str">
        <f t="shared" si="58"/>
        <v>Y</v>
      </c>
      <c r="Y588" s="2" t="str">
        <f t="shared" si="59"/>
        <v>CY</v>
      </c>
    </row>
    <row r="589" spans="1:25" x14ac:dyDescent="0.3">
      <c r="A589" s="2" t="s">
        <v>349</v>
      </c>
      <c r="B589" s="2" t="s">
        <v>350</v>
      </c>
      <c r="C589" s="2" t="s">
        <v>20</v>
      </c>
      <c r="D589" s="2">
        <v>1886</v>
      </c>
      <c r="E589" s="2">
        <v>1871</v>
      </c>
      <c r="F589" s="2">
        <v>2209</v>
      </c>
      <c r="G589" s="2">
        <v>2084</v>
      </c>
      <c r="H589" s="2">
        <v>2122</v>
      </c>
      <c r="I589" s="2">
        <v>2307</v>
      </c>
      <c r="J589" s="2">
        <v>2174</v>
      </c>
      <c r="K589" s="2">
        <v>1982</v>
      </c>
      <c r="L589" s="2">
        <v>2137</v>
      </c>
      <c r="M589" s="2">
        <v>2200</v>
      </c>
      <c r="N589" s="2">
        <v>2395</v>
      </c>
      <c r="O589" s="2">
        <v>2187</v>
      </c>
      <c r="P589" s="2">
        <v>25554</v>
      </c>
      <c r="Q589" s="2">
        <v>2</v>
      </c>
      <c r="R589" s="2">
        <v>51108</v>
      </c>
      <c r="S589" s="4">
        <f>SUM($R$2:R589) / SUM($R:$R)</f>
        <v>0.99314991057905255</v>
      </c>
      <c r="T589" s="3" t="str">
        <f t="shared" si="54"/>
        <v>C</v>
      </c>
      <c r="U589" s="2">
        <f t="shared" si="55"/>
        <v>2129.5</v>
      </c>
      <c r="V589" s="2">
        <f t="shared" si="56"/>
        <v>156.27103494773547</v>
      </c>
      <c r="W589" s="2">
        <f t="shared" si="57"/>
        <v>7.3383909343853235E-2</v>
      </c>
      <c r="X589" s="2" t="str">
        <f t="shared" si="58"/>
        <v>X</v>
      </c>
      <c r="Y589" s="2" t="str">
        <f t="shared" si="59"/>
        <v>CX</v>
      </c>
    </row>
    <row r="590" spans="1:25" x14ac:dyDescent="0.3">
      <c r="A590" s="2" t="s">
        <v>1127</v>
      </c>
      <c r="B590" s="2" t="s">
        <v>1128</v>
      </c>
      <c r="C590" s="2" t="s">
        <v>20</v>
      </c>
      <c r="D590" s="2">
        <v>1953</v>
      </c>
      <c r="E590" s="2">
        <v>2125</v>
      </c>
      <c r="F590" s="2">
        <v>1924</v>
      </c>
      <c r="G590" s="2">
        <v>2001</v>
      </c>
      <c r="H590" s="2">
        <v>2290</v>
      </c>
      <c r="I590" s="2">
        <v>2151</v>
      </c>
      <c r="J590" s="2">
        <v>1691</v>
      </c>
      <c r="K590" s="2">
        <v>2230</v>
      </c>
      <c r="L590" s="2">
        <v>2482</v>
      </c>
      <c r="M590" s="2">
        <v>2050</v>
      </c>
      <c r="N590" s="2">
        <v>2361</v>
      </c>
      <c r="O590" s="2">
        <v>2248</v>
      </c>
      <c r="P590" s="2">
        <v>25506</v>
      </c>
      <c r="Q590" s="2">
        <v>2</v>
      </c>
      <c r="R590" s="2">
        <v>51012</v>
      </c>
      <c r="S590" s="4">
        <f>SUM($R$2:R590) / SUM($R:$R)</f>
        <v>0.99319748362356786</v>
      </c>
      <c r="T590" s="3" t="str">
        <f t="shared" si="54"/>
        <v>C</v>
      </c>
      <c r="U590" s="2">
        <f t="shared" si="55"/>
        <v>2125.5</v>
      </c>
      <c r="V590" s="2">
        <f t="shared" si="56"/>
        <v>216.69815621986936</v>
      </c>
      <c r="W590" s="2">
        <f t="shared" si="57"/>
        <v>0.10195161431186514</v>
      </c>
      <c r="X590" s="2" t="str">
        <f t="shared" si="58"/>
        <v>X</v>
      </c>
      <c r="Y590" s="2" t="str">
        <f t="shared" si="59"/>
        <v>CX</v>
      </c>
    </row>
    <row r="591" spans="1:25" x14ac:dyDescent="0.3">
      <c r="A591" s="2" t="s">
        <v>1053</v>
      </c>
      <c r="B591" s="2" t="s">
        <v>1054</v>
      </c>
      <c r="C591" s="2" t="s">
        <v>41</v>
      </c>
      <c r="D591" s="2">
        <v>407</v>
      </c>
      <c r="E591" s="2">
        <v>444</v>
      </c>
      <c r="F591" s="2">
        <v>429</v>
      </c>
      <c r="G591" s="2">
        <v>390</v>
      </c>
      <c r="H591" s="2">
        <v>445</v>
      </c>
      <c r="I591" s="2">
        <v>433</v>
      </c>
      <c r="J591" s="2">
        <v>433</v>
      </c>
      <c r="K591" s="2">
        <v>409</v>
      </c>
      <c r="L591" s="2">
        <v>410</v>
      </c>
      <c r="M591" s="2">
        <v>448</v>
      </c>
      <c r="N591" s="2">
        <v>421</v>
      </c>
      <c r="O591" s="2">
        <v>423</v>
      </c>
      <c r="P591" s="2">
        <v>5092</v>
      </c>
      <c r="Q591" s="2">
        <v>10</v>
      </c>
      <c r="R591" s="2">
        <v>50920</v>
      </c>
      <c r="S591" s="4">
        <f>SUM($R$2:R591) / SUM($R:$R)</f>
        <v>0.99324497087022989</v>
      </c>
      <c r="T591" s="3" t="str">
        <f t="shared" si="54"/>
        <v>C</v>
      </c>
      <c r="U591" s="2">
        <f t="shared" si="55"/>
        <v>424.33333333333331</v>
      </c>
      <c r="V591" s="2">
        <f t="shared" si="56"/>
        <v>17.783206241913302</v>
      </c>
      <c r="W591" s="2">
        <f t="shared" si="57"/>
        <v>4.1908577160832607E-2</v>
      </c>
      <c r="X591" s="2" t="str">
        <f t="shared" si="58"/>
        <v>X</v>
      </c>
      <c r="Y591" s="2" t="str">
        <f t="shared" si="59"/>
        <v>CX</v>
      </c>
    </row>
    <row r="592" spans="1:25" x14ac:dyDescent="0.3">
      <c r="A592" s="2" t="s">
        <v>30</v>
      </c>
      <c r="B592" s="2" t="s">
        <v>31</v>
      </c>
      <c r="C592" s="2" t="s">
        <v>20</v>
      </c>
      <c r="D592" s="2">
        <v>1786</v>
      </c>
      <c r="E592" s="2">
        <v>2201</v>
      </c>
      <c r="F592" s="2">
        <v>2197</v>
      </c>
      <c r="G592" s="2">
        <v>2234</v>
      </c>
      <c r="H592" s="2">
        <v>1948</v>
      </c>
      <c r="I592" s="2">
        <v>2085</v>
      </c>
      <c r="J592" s="2">
        <v>2326</v>
      </c>
      <c r="K592" s="2">
        <v>1960</v>
      </c>
      <c r="L592" s="2">
        <v>2299</v>
      </c>
      <c r="M592" s="2">
        <v>2494</v>
      </c>
      <c r="N592" s="2">
        <v>1813</v>
      </c>
      <c r="O592" s="2">
        <v>2017</v>
      </c>
      <c r="P592" s="2">
        <v>25360</v>
      </c>
      <c r="Q592" s="2">
        <v>2</v>
      </c>
      <c r="R592" s="2">
        <v>50720</v>
      </c>
      <c r="S592" s="4">
        <f>SUM($R$2:R592) / SUM($R:$R)</f>
        <v>0.99329227159981937</v>
      </c>
      <c r="T592" s="3" t="str">
        <f t="shared" si="54"/>
        <v>C</v>
      </c>
      <c r="U592" s="2">
        <f t="shared" si="55"/>
        <v>2113.3333333333335</v>
      </c>
      <c r="V592" s="2">
        <f t="shared" si="56"/>
        <v>215.77106273815195</v>
      </c>
      <c r="W592" s="2">
        <f t="shared" si="57"/>
        <v>0.10209987195811605</v>
      </c>
      <c r="X592" s="2" t="str">
        <f t="shared" si="58"/>
        <v>X</v>
      </c>
      <c r="Y592" s="2" t="str">
        <f t="shared" si="59"/>
        <v>CX</v>
      </c>
    </row>
    <row r="593" spans="1:25" x14ac:dyDescent="0.3">
      <c r="A593" s="2" t="s">
        <v>1125</v>
      </c>
      <c r="B593" s="2" t="s">
        <v>1126</v>
      </c>
      <c r="C593" s="2" t="s">
        <v>56</v>
      </c>
      <c r="D593" s="2">
        <v>390</v>
      </c>
      <c r="E593" s="2">
        <v>459</v>
      </c>
      <c r="F593" s="2">
        <v>422</v>
      </c>
      <c r="G593" s="2">
        <v>393</v>
      </c>
      <c r="H593" s="2">
        <v>446</v>
      </c>
      <c r="I593" s="2">
        <v>398</v>
      </c>
      <c r="J593" s="2">
        <v>421</v>
      </c>
      <c r="K593" s="2">
        <v>452</v>
      </c>
      <c r="L593" s="2">
        <v>412</v>
      </c>
      <c r="M593" s="2">
        <v>433</v>
      </c>
      <c r="N593" s="2">
        <v>395</v>
      </c>
      <c r="O593" s="2">
        <v>441</v>
      </c>
      <c r="P593" s="2">
        <v>5062</v>
      </c>
      <c r="Q593" s="2">
        <v>10</v>
      </c>
      <c r="R593" s="2">
        <v>50620</v>
      </c>
      <c r="S593" s="4">
        <f>SUM($R$2:R593) / SUM($R:$R)</f>
        <v>0.99333947907087261</v>
      </c>
      <c r="T593" s="3" t="str">
        <f t="shared" si="54"/>
        <v>C</v>
      </c>
      <c r="U593" s="2">
        <f t="shared" si="55"/>
        <v>421.83333333333331</v>
      </c>
      <c r="V593" s="2">
        <f t="shared" si="56"/>
        <v>24.490567138959417</v>
      </c>
      <c r="W593" s="2">
        <f t="shared" si="57"/>
        <v>5.8057448768769858E-2</v>
      </c>
      <c r="X593" s="2" t="str">
        <f t="shared" si="58"/>
        <v>X</v>
      </c>
      <c r="Y593" s="2" t="str">
        <f t="shared" si="59"/>
        <v>CX</v>
      </c>
    </row>
    <row r="594" spans="1:25" x14ac:dyDescent="0.3">
      <c r="A594" s="2" t="s">
        <v>317</v>
      </c>
      <c r="B594" s="2" t="s">
        <v>318</v>
      </c>
      <c r="C594" s="2" t="s">
        <v>25</v>
      </c>
      <c r="D594" s="2">
        <v>261</v>
      </c>
      <c r="E594" s="2">
        <v>686</v>
      </c>
      <c r="F594" s="2">
        <v>229</v>
      </c>
      <c r="G594" s="2">
        <v>519</v>
      </c>
      <c r="H594" s="2">
        <v>424</v>
      </c>
      <c r="I594" s="2">
        <v>265</v>
      </c>
      <c r="J594" s="2">
        <v>510</v>
      </c>
      <c r="K594" s="2">
        <v>493</v>
      </c>
      <c r="L594" s="2">
        <v>432</v>
      </c>
      <c r="M594" s="2">
        <v>613</v>
      </c>
      <c r="N594" s="2">
        <v>180</v>
      </c>
      <c r="O594" s="2">
        <v>435</v>
      </c>
      <c r="P594" s="2">
        <v>5047</v>
      </c>
      <c r="Q594" s="2">
        <v>10</v>
      </c>
      <c r="R594" s="2">
        <v>50470</v>
      </c>
      <c r="S594" s="4">
        <f>SUM($R$2:R594) / SUM($R:$R)</f>
        <v>0.99338654665412152</v>
      </c>
      <c r="T594" s="3" t="str">
        <f t="shared" si="54"/>
        <v>C</v>
      </c>
      <c r="U594" s="2">
        <f t="shared" si="55"/>
        <v>420.58333333333331</v>
      </c>
      <c r="V594" s="2">
        <f t="shared" si="56"/>
        <v>158.1147214889086</v>
      </c>
      <c r="W594" s="2">
        <f t="shared" si="57"/>
        <v>0.37594148164590913</v>
      </c>
      <c r="X594" s="2" t="str">
        <f t="shared" si="58"/>
        <v>Y</v>
      </c>
      <c r="Y594" s="2" t="str">
        <f t="shared" si="59"/>
        <v>CY</v>
      </c>
    </row>
    <row r="595" spans="1:25" x14ac:dyDescent="0.3">
      <c r="A595" s="2" t="s">
        <v>1663</v>
      </c>
      <c r="B595" s="2" t="s">
        <v>1664</v>
      </c>
      <c r="C595" s="2" t="s">
        <v>25</v>
      </c>
      <c r="D595" s="2">
        <v>707</v>
      </c>
      <c r="E595" s="2">
        <v>154</v>
      </c>
      <c r="F595" s="2">
        <v>643</v>
      </c>
      <c r="G595" s="2">
        <v>387</v>
      </c>
      <c r="H595" s="2">
        <v>382</v>
      </c>
      <c r="I595" s="2">
        <v>542</v>
      </c>
      <c r="J595" s="2">
        <v>513</v>
      </c>
      <c r="K595" s="2">
        <v>586</v>
      </c>
      <c r="L595" s="2">
        <v>480</v>
      </c>
      <c r="M595" s="2">
        <v>130</v>
      </c>
      <c r="N595" s="2">
        <v>156</v>
      </c>
      <c r="O595" s="2">
        <v>348</v>
      </c>
      <c r="P595" s="2">
        <v>5028</v>
      </c>
      <c r="Q595" s="2">
        <v>10</v>
      </c>
      <c r="R595" s="2">
        <v>50280</v>
      </c>
      <c r="S595" s="4">
        <f>SUM($R$2:R595) / SUM($R:$R)</f>
        <v>0.9934334370461515</v>
      </c>
      <c r="T595" s="3" t="str">
        <f t="shared" si="54"/>
        <v>C</v>
      </c>
      <c r="U595" s="2">
        <f t="shared" si="55"/>
        <v>419</v>
      </c>
      <c r="V595" s="2">
        <f t="shared" si="56"/>
        <v>195.17917176509661</v>
      </c>
      <c r="W595" s="2">
        <f t="shared" si="57"/>
        <v>0.46582141232719954</v>
      </c>
      <c r="X595" s="2" t="str">
        <f t="shared" si="58"/>
        <v>Y</v>
      </c>
      <c r="Y595" s="2" t="str">
        <f t="shared" si="59"/>
        <v>CY</v>
      </c>
    </row>
    <row r="596" spans="1:25" x14ac:dyDescent="0.3">
      <c r="A596" s="2" t="s">
        <v>1783</v>
      </c>
      <c r="B596" s="2" t="s">
        <v>1784</v>
      </c>
      <c r="C596" s="2" t="s">
        <v>25</v>
      </c>
      <c r="D596" s="2">
        <v>291</v>
      </c>
      <c r="E596" s="2">
        <v>672</v>
      </c>
      <c r="F596" s="2">
        <v>273</v>
      </c>
      <c r="G596" s="2">
        <v>456</v>
      </c>
      <c r="H596" s="2">
        <v>567</v>
      </c>
      <c r="I596" s="2">
        <v>434</v>
      </c>
      <c r="J596" s="2">
        <v>285</v>
      </c>
      <c r="K596" s="2">
        <v>287</v>
      </c>
      <c r="L596" s="2">
        <v>371</v>
      </c>
      <c r="M596" s="2">
        <v>352</v>
      </c>
      <c r="N596" s="2">
        <v>447</v>
      </c>
      <c r="O596" s="2">
        <v>581</v>
      </c>
      <c r="P596" s="2">
        <v>5016</v>
      </c>
      <c r="Q596" s="2">
        <v>10</v>
      </c>
      <c r="R596" s="2">
        <v>50160</v>
      </c>
      <c r="S596" s="4">
        <f>SUM($R$2:R596) / SUM($R:$R)</f>
        <v>0.99348021552793797</v>
      </c>
      <c r="T596" s="3" t="str">
        <f t="shared" si="54"/>
        <v>C</v>
      </c>
      <c r="U596" s="2">
        <f t="shared" si="55"/>
        <v>418</v>
      </c>
      <c r="V596" s="2">
        <f t="shared" si="56"/>
        <v>132.93744256741076</v>
      </c>
      <c r="W596" s="2">
        <f t="shared" si="57"/>
        <v>0.31803215925217881</v>
      </c>
      <c r="X596" s="2" t="str">
        <f t="shared" si="58"/>
        <v>Y</v>
      </c>
      <c r="Y596" s="2" t="str">
        <f t="shared" si="59"/>
        <v>CY</v>
      </c>
    </row>
    <row r="597" spans="1:25" x14ac:dyDescent="0.3">
      <c r="A597" s="2" t="s">
        <v>659</v>
      </c>
      <c r="B597" s="2" t="s">
        <v>660</v>
      </c>
      <c r="C597" s="2" t="s">
        <v>20</v>
      </c>
      <c r="D597" s="2">
        <v>2231</v>
      </c>
      <c r="E597" s="2">
        <v>1822</v>
      </c>
      <c r="F597" s="2">
        <v>2034</v>
      </c>
      <c r="G597" s="2">
        <v>1624</v>
      </c>
      <c r="H597" s="2">
        <v>2264</v>
      </c>
      <c r="I597" s="2">
        <v>2070</v>
      </c>
      <c r="J597" s="2">
        <v>1853</v>
      </c>
      <c r="K597" s="2">
        <v>1955</v>
      </c>
      <c r="L597" s="2">
        <v>2551</v>
      </c>
      <c r="M597" s="2">
        <v>2204</v>
      </c>
      <c r="N597" s="2">
        <v>2228</v>
      </c>
      <c r="O597" s="2">
        <v>2242</v>
      </c>
      <c r="P597" s="2">
        <v>25078</v>
      </c>
      <c r="Q597" s="2">
        <v>2</v>
      </c>
      <c r="R597" s="2">
        <v>50156</v>
      </c>
      <c r="S597" s="4">
        <f>SUM($R$2:R597) / SUM($R:$R)</f>
        <v>0.99352699027938296</v>
      </c>
      <c r="T597" s="3" t="str">
        <f t="shared" si="54"/>
        <v>C</v>
      </c>
      <c r="U597" s="2">
        <f t="shared" si="55"/>
        <v>2089.8333333333335</v>
      </c>
      <c r="V597" s="2">
        <f t="shared" si="56"/>
        <v>249.49615895506912</v>
      </c>
      <c r="W597" s="2">
        <f t="shared" si="57"/>
        <v>0.11938567299867729</v>
      </c>
      <c r="X597" s="2" t="str">
        <f t="shared" si="58"/>
        <v>X</v>
      </c>
      <c r="Y597" s="2" t="str">
        <f t="shared" si="59"/>
        <v>CX</v>
      </c>
    </row>
    <row r="598" spans="1:25" x14ac:dyDescent="0.3">
      <c r="A598" s="2" t="s">
        <v>1815</v>
      </c>
      <c r="B598" s="2" t="s">
        <v>1816</v>
      </c>
      <c r="C598" s="2" t="s">
        <v>20</v>
      </c>
      <c r="D598" s="2">
        <v>2328</v>
      </c>
      <c r="E598" s="2">
        <v>2180</v>
      </c>
      <c r="F598" s="2">
        <v>2144</v>
      </c>
      <c r="G598" s="2">
        <v>1994</v>
      </c>
      <c r="H598" s="2">
        <v>1936</v>
      </c>
      <c r="I598" s="2">
        <v>2053</v>
      </c>
      <c r="J598" s="2">
        <v>2029</v>
      </c>
      <c r="K598" s="2">
        <v>1938</v>
      </c>
      <c r="L598" s="2">
        <v>2096</v>
      </c>
      <c r="M598" s="2">
        <v>2329</v>
      </c>
      <c r="N598" s="2">
        <v>1655</v>
      </c>
      <c r="O598" s="2">
        <v>2278</v>
      </c>
      <c r="P598" s="2">
        <v>24960</v>
      </c>
      <c r="Q598" s="2">
        <v>2</v>
      </c>
      <c r="R598" s="2">
        <v>49920</v>
      </c>
      <c r="S598" s="4">
        <f>SUM($R$2:R598) / SUM($R:$R)</f>
        <v>0.9935735449406824</v>
      </c>
      <c r="T598" s="3" t="str">
        <f t="shared" si="54"/>
        <v>C</v>
      </c>
      <c r="U598" s="2">
        <f t="shared" si="55"/>
        <v>2080</v>
      </c>
      <c r="V598" s="2">
        <f t="shared" si="56"/>
        <v>192.89940854803524</v>
      </c>
      <c r="W598" s="2">
        <f t="shared" si="57"/>
        <v>9.2740100263478481E-2</v>
      </c>
      <c r="X598" s="2" t="str">
        <f t="shared" si="58"/>
        <v>X</v>
      </c>
      <c r="Y598" s="2" t="str">
        <f t="shared" si="59"/>
        <v>CX</v>
      </c>
    </row>
    <row r="599" spans="1:25" x14ac:dyDescent="0.3">
      <c r="A599" s="2" t="s">
        <v>631</v>
      </c>
      <c r="B599" s="2" t="s">
        <v>632</v>
      </c>
      <c r="C599" s="2" t="s">
        <v>41</v>
      </c>
      <c r="D599" s="2">
        <v>400</v>
      </c>
      <c r="E599" s="2">
        <v>411</v>
      </c>
      <c r="F599" s="2">
        <v>449</v>
      </c>
      <c r="G599" s="2">
        <v>426</v>
      </c>
      <c r="H599" s="2">
        <v>415</v>
      </c>
      <c r="I599" s="2">
        <v>396</v>
      </c>
      <c r="J599" s="2">
        <v>451</v>
      </c>
      <c r="K599" s="2">
        <v>402</v>
      </c>
      <c r="L599" s="2">
        <v>401</v>
      </c>
      <c r="M599" s="2">
        <v>368</v>
      </c>
      <c r="N599" s="2">
        <v>378</v>
      </c>
      <c r="O599" s="2">
        <v>411</v>
      </c>
      <c r="P599" s="2">
        <v>4908</v>
      </c>
      <c r="Q599" s="2">
        <v>10</v>
      </c>
      <c r="R599" s="2">
        <v>49080</v>
      </c>
      <c r="S599" s="4">
        <f>SUM($R$2:R599) / SUM($R:$R)</f>
        <v>0.99361931623027733</v>
      </c>
      <c r="T599" s="3" t="str">
        <f t="shared" si="54"/>
        <v>C</v>
      </c>
      <c r="U599" s="2">
        <f t="shared" si="55"/>
        <v>409</v>
      </c>
      <c r="V599" s="2">
        <f t="shared" si="56"/>
        <v>24.683450473398715</v>
      </c>
      <c r="W599" s="2">
        <f t="shared" si="57"/>
        <v>6.035073465378659E-2</v>
      </c>
      <c r="X599" s="2" t="str">
        <f t="shared" si="58"/>
        <v>X</v>
      </c>
      <c r="Y599" s="2" t="str">
        <f t="shared" si="59"/>
        <v>CX</v>
      </c>
    </row>
    <row r="600" spans="1:25" x14ac:dyDescent="0.3">
      <c r="A600" s="2" t="s">
        <v>855</v>
      </c>
      <c r="B600" s="2" t="s">
        <v>856</v>
      </c>
      <c r="C600" s="2" t="s">
        <v>56</v>
      </c>
      <c r="D600" s="2">
        <v>79</v>
      </c>
      <c r="E600" s="2">
        <v>83</v>
      </c>
      <c r="F600" s="2">
        <v>61</v>
      </c>
      <c r="G600" s="2">
        <v>85</v>
      </c>
      <c r="H600" s="2">
        <v>100</v>
      </c>
      <c r="I600" s="2">
        <v>87</v>
      </c>
      <c r="J600" s="2">
        <v>76</v>
      </c>
      <c r="K600" s="2">
        <v>92</v>
      </c>
      <c r="L600" s="2">
        <v>79</v>
      </c>
      <c r="M600" s="2">
        <v>80</v>
      </c>
      <c r="N600" s="2">
        <v>72</v>
      </c>
      <c r="O600" s="2">
        <v>86</v>
      </c>
      <c r="P600" s="2">
        <v>980</v>
      </c>
      <c r="Q600" s="2">
        <v>50</v>
      </c>
      <c r="R600" s="2">
        <v>49000</v>
      </c>
      <c r="S600" s="4">
        <f>SUM($R$2:R600) / SUM($R:$R)</f>
        <v>0.99366501291304321</v>
      </c>
      <c r="T600" s="3" t="str">
        <f t="shared" si="54"/>
        <v>C</v>
      </c>
      <c r="U600" s="2">
        <f t="shared" si="55"/>
        <v>81.666666666666671</v>
      </c>
      <c r="V600" s="2">
        <f t="shared" si="56"/>
        <v>9.8749760260545418</v>
      </c>
      <c r="W600" s="2">
        <f t="shared" si="57"/>
        <v>0.12091807378842295</v>
      </c>
      <c r="X600" s="2" t="str">
        <f t="shared" si="58"/>
        <v>X</v>
      </c>
      <c r="Y600" s="2" t="str">
        <f t="shared" si="59"/>
        <v>CX</v>
      </c>
    </row>
    <row r="601" spans="1:25" x14ac:dyDescent="0.3">
      <c r="A601" s="2" t="s">
        <v>73</v>
      </c>
      <c r="B601" s="2" t="s">
        <v>74</v>
      </c>
      <c r="C601" s="2" t="s">
        <v>36</v>
      </c>
      <c r="D601" s="2">
        <v>410</v>
      </c>
      <c r="E601" s="2">
        <v>375</v>
      </c>
      <c r="F601" s="2">
        <v>392</v>
      </c>
      <c r="G601" s="2">
        <v>406</v>
      </c>
      <c r="H601" s="2">
        <v>387</v>
      </c>
      <c r="I601" s="2">
        <v>390</v>
      </c>
      <c r="J601" s="2">
        <v>397</v>
      </c>
      <c r="K601" s="2">
        <v>433</v>
      </c>
      <c r="L601" s="2">
        <v>404</v>
      </c>
      <c r="M601" s="2">
        <v>396</v>
      </c>
      <c r="N601" s="2">
        <v>413</v>
      </c>
      <c r="O601" s="2">
        <v>444</v>
      </c>
      <c r="P601" s="2">
        <v>4847</v>
      </c>
      <c r="Q601" s="2">
        <v>10</v>
      </c>
      <c r="R601" s="2">
        <v>48470</v>
      </c>
      <c r="S601" s="4">
        <f>SUM($R$2:R601) / SUM($R:$R)</f>
        <v>0.99371021532556691</v>
      </c>
      <c r="T601" s="3" t="str">
        <f t="shared" si="54"/>
        <v>C</v>
      </c>
      <c r="U601" s="2">
        <f t="shared" si="55"/>
        <v>403.91666666666669</v>
      </c>
      <c r="V601" s="2">
        <f t="shared" si="56"/>
        <v>19.411610084189462</v>
      </c>
      <c r="W601" s="2">
        <f t="shared" si="57"/>
        <v>4.8058452859557156E-2</v>
      </c>
      <c r="X601" s="2" t="str">
        <f t="shared" si="58"/>
        <v>X</v>
      </c>
      <c r="Y601" s="2" t="str">
        <f t="shared" si="59"/>
        <v>CX</v>
      </c>
    </row>
    <row r="602" spans="1:25" x14ac:dyDescent="0.3">
      <c r="A602" s="2" t="s">
        <v>1101</v>
      </c>
      <c r="B602" s="2" t="s">
        <v>1102</v>
      </c>
      <c r="C602" s="2" t="s">
        <v>56</v>
      </c>
      <c r="D602" s="2">
        <v>71</v>
      </c>
      <c r="E602" s="2">
        <v>81</v>
      </c>
      <c r="F602" s="2">
        <v>61</v>
      </c>
      <c r="G602" s="2">
        <v>87</v>
      </c>
      <c r="H602" s="2">
        <v>89</v>
      </c>
      <c r="I602" s="2">
        <v>75</v>
      </c>
      <c r="J602" s="2">
        <v>76</v>
      </c>
      <c r="K602" s="2">
        <v>76</v>
      </c>
      <c r="L602" s="2">
        <v>80</v>
      </c>
      <c r="M602" s="2">
        <v>77</v>
      </c>
      <c r="N602" s="2">
        <v>104</v>
      </c>
      <c r="O602" s="2">
        <v>90</v>
      </c>
      <c r="P602" s="2">
        <v>967</v>
      </c>
      <c r="Q602" s="2">
        <v>50</v>
      </c>
      <c r="R602" s="2">
        <v>48350</v>
      </c>
      <c r="S602" s="4">
        <f>SUM($R$2:R602) / SUM($R:$R)</f>
        <v>0.99375530582784721</v>
      </c>
      <c r="T602" s="3" t="str">
        <f t="shared" si="54"/>
        <v>C</v>
      </c>
      <c r="U602" s="2">
        <f t="shared" si="55"/>
        <v>80.583333333333329</v>
      </c>
      <c r="V602" s="2">
        <f t="shared" si="56"/>
        <v>10.916695581733643</v>
      </c>
      <c r="W602" s="2">
        <f t="shared" si="57"/>
        <v>0.13547088622627065</v>
      </c>
      <c r="X602" s="2" t="str">
        <f t="shared" si="58"/>
        <v>X</v>
      </c>
      <c r="Y602" s="2" t="str">
        <f t="shared" si="59"/>
        <v>CX</v>
      </c>
    </row>
    <row r="603" spans="1:25" x14ac:dyDescent="0.3">
      <c r="A603" s="2" t="s">
        <v>1511</v>
      </c>
      <c r="B603" s="2" t="s">
        <v>1512</v>
      </c>
      <c r="C603" s="2" t="s">
        <v>20</v>
      </c>
      <c r="D603" s="2">
        <v>1988</v>
      </c>
      <c r="E603" s="2">
        <v>2222</v>
      </c>
      <c r="F603" s="2">
        <v>1693</v>
      </c>
      <c r="G603" s="2">
        <v>1719</v>
      </c>
      <c r="H603" s="2">
        <v>2289</v>
      </c>
      <c r="I603" s="2">
        <v>2354</v>
      </c>
      <c r="J603" s="2">
        <v>2162</v>
      </c>
      <c r="K603" s="2">
        <v>1857</v>
      </c>
      <c r="L603" s="2">
        <v>2119</v>
      </c>
      <c r="M603" s="2">
        <v>1918</v>
      </c>
      <c r="N603" s="2">
        <v>1801</v>
      </c>
      <c r="O603" s="2">
        <v>1866</v>
      </c>
      <c r="P603" s="2">
        <v>23988</v>
      </c>
      <c r="Q603" s="2">
        <v>2</v>
      </c>
      <c r="R603" s="2">
        <v>47976</v>
      </c>
      <c r="S603" s="4">
        <f>SUM($R$2:R603) / SUM($R:$R)</f>
        <v>0.99380004754320184</v>
      </c>
      <c r="T603" s="3" t="str">
        <f t="shared" si="54"/>
        <v>C</v>
      </c>
      <c r="U603" s="2">
        <f t="shared" si="55"/>
        <v>1999</v>
      </c>
      <c r="V603" s="2">
        <f t="shared" si="56"/>
        <v>224.94403344347273</v>
      </c>
      <c r="W603" s="2">
        <f t="shared" si="57"/>
        <v>0.11252828086216746</v>
      </c>
      <c r="X603" s="2" t="str">
        <f t="shared" si="58"/>
        <v>X</v>
      </c>
      <c r="Y603" s="2" t="str">
        <f t="shared" si="59"/>
        <v>CX</v>
      </c>
    </row>
    <row r="604" spans="1:25" x14ac:dyDescent="0.3">
      <c r="A604" s="2" t="s">
        <v>981</v>
      </c>
      <c r="B604" s="2" t="s">
        <v>982</v>
      </c>
      <c r="C604" s="2" t="s">
        <v>56</v>
      </c>
      <c r="D604" s="2">
        <v>420</v>
      </c>
      <c r="E604" s="2">
        <v>361</v>
      </c>
      <c r="F604" s="2">
        <v>390</v>
      </c>
      <c r="G604" s="2">
        <v>358</v>
      </c>
      <c r="H604" s="2">
        <v>381</v>
      </c>
      <c r="I604" s="2">
        <v>405</v>
      </c>
      <c r="J604" s="2">
        <v>419</v>
      </c>
      <c r="K604" s="2">
        <v>428</v>
      </c>
      <c r="L604" s="2">
        <v>406</v>
      </c>
      <c r="M604" s="2">
        <v>395</v>
      </c>
      <c r="N604" s="2">
        <v>400</v>
      </c>
      <c r="O604" s="2">
        <v>425</v>
      </c>
      <c r="P604" s="2">
        <v>4788</v>
      </c>
      <c r="Q604" s="2">
        <v>10</v>
      </c>
      <c r="R604" s="2">
        <v>47880</v>
      </c>
      <c r="S604" s="4">
        <f>SUM($R$2:R604) / SUM($R:$R)</f>
        <v>0.9938446997303616</v>
      </c>
      <c r="T604" s="3" t="str">
        <f t="shared" si="54"/>
        <v>C</v>
      </c>
      <c r="U604" s="2">
        <f t="shared" si="55"/>
        <v>399</v>
      </c>
      <c r="V604" s="2">
        <f t="shared" si="56"/>
        <v>23.335497735112799</v>
      </c>
      <c r="W604" s="2">
        <f t="shared" si="57"/>
        <v>5.8484956729606012E-2</v>
      </c>
      <c r="X604" s="2" t="str">
        <f t="shared" si="58"/>
        <v>X</v>
      </c>
      <c r="Y604" s="2" t="str">
        <f t="shared" si="59"/>
        <v>CX</v>
      </c>
    </row>
    <row r="605" spans="1:25" x14ac:dyDescent="0.3">
      <c r="A605" s="2" t="s">
        <v>331</v>
      </c>
      <c r="B605" s="2" t="s">
        <v>332</v>
      </c>
      <c r="C605" s="2" t="s">
        <v>41</v>
      </c>
      <c r="D605" s="2">
        <v>399</v>
      </c>
      <c r="E605" s="2">
        <v>362</v>
      </c>
      <c r="F605" s="2">
        <v>404</v>
      </c>
      <c r="G605" s="2">
        <v>415</v>
      </c>
      <c r="H605" s="2">
        <v>374</v>
      </c>
      <c r="I605" s="2">
        <v>422</v>
      </c>
      <c r="J605" s="2">
        <v>383</v>
      </c>
      <c r="K605" s="2">
        <v>412</v>
      </c>
      <c r="L605" s="2">
        <v>387</v>
      </c>
      <c r="M605" s="2">
        <v>386</v>
      </c>
      <c r="N605" s="2">
        <v>424</v>
      </c>
      <c r="O605" s="2">
        <v>378</v>
      </c>
      <c r="P605" s="2">
        <v>4746</v>
      </c>
      <c r="Q605" s="2">
        <v>10</v>
      </c>
      <c r="R605" s="2">
        <v>47460</v>
      </c>
      <c r="S605" s="4">
        <f>SUM($R$2:R605) / SUM($R:$R)</f>
        <v>0.99388896023166917</v>
      </c>
      <c r="T605" s="3" t="str">
        <f t="shared" si="54"/>
        <v>C</v>
      </c>
      <c r="U605" s="2">
        <f t="shared" si="55"/>
        <v>395.5</v>
      </c>
      <c r="V605" s="2">
        <f t="shared" si="56"/>
        <v>20.138159164766144</v>
      </c>
      <c r="W605" s="2">
        <f t="shared" si="57"/>
        <v>5.09182279766527E-2</v>
      </c>
      <c r="X605" s="2" t="str">
        <f t="shared" si="58"/>
        <v>X</v>
      </c>
      <c r="Y605" s="2" t="str">
        <f t="shared" si="59"/>
        <v>CX</v>
      </c>
    </row>
    <row r="606" spans="1:25" x14ac:dyDescent="0.3">
      <c r="A606" s="2" t="s">
        <v>255</v>
      </c>
      <c r="B606" s="2" t="s">
        <v>256</v>
      </c>
      <c r="C606" s="2" t="s">
        <v>41</v>
      </c>
      <c r="D606" s="2">
        <v>399</v>
      </c>
      <c r="E606" s="2">
        <v>397</v>
      </c>
      <c r="F606" s="2">
        <v>375</v>
      </c>
      <c r="G606" s="2">
        <v>383</v>
      </c>
      <c r="H606" s="2">
        <v>381</v>
      </c>
      <c r="I606" s="2">
        <v>406</v>
      </c>
      <c r="J606" s="2">
        <v>370</v>
      </c>
      <c r="K606" s="2">
        <v>399</v>
      </c>
      <c r="L606" s="2">
        <v>371</v>
      </c>
      <c r="M606" s="2">
        <v>408</v>
      </c>
      <c r="N606" s="2">
        <v>399</v>
      </c>
      <c r="O606" s="2">
        <v>437</v>
      </c>
      <c r="P606" s="2">
        <v>4725</v>
      </c>
      <c r="Q606" s="2">
        <v>10</v>
      </c>
      <c r="R606" s="2">
        <v>47250</v>
      </c>
      <c r="S606" s="4">
        <f>SUM($R$2:R606) / SUM($R:$R)</f>
        <v>0.99393302489005053</v>
      </c>
      <c r="T606" s="3" t="str">
        <f t="shared" si="54"/>
        <v>C</v>
      </c>
      <c r="U606" s="2">
        <f t="shared" si="55"/>
        <v>393.75</v>
      </c>
      <c r="V606" s="2">
        <f t="shared" si="56"/>
        <v>19.136471604100517</v>
      </c>
      <c r="W606" s="2">
        <f t="shared" si="57"/>
        <v>4.8600562804064808E-2</v>
      </c>
      <c r="X606" s="2" t="str">
        <f t="shared" si="58"/>
        <v>X</v>
      </c>
      <c r="Y606" s="2" t="str">
        <f t="shared" si="59"/>
        <v>CX</v>
      </c>
    </row>
    <row r="607" spans="1:25" x14ac:dyDescent="0.3">
      <c r="A607" s="2" t="s">
        <v>1901</v>
      </c>
      <c r="B607" s="2" t="s">
        <v>1902</v>
      </c>
      <c r="C607" s="2" t="s">
        <v>25</v>
      </c>
      <c r="D607" s="2">
        <v>227</v>
      </c>
      <c r="E607" s="2">
        <v>98</v>
      </c>
      <c r="F607" s="2">
        <v>579</v>
      </c>
      <c r="G607" s="2">
        <v>266</v>
      </c>
      <c r="H607" s="2">
        <v>562</v>
      </c>
      <c r="I607" s="2">
        <v>599</v>
      </c>
      <c r="J607" s="2">
        <v>197</v>
      </c>
      <c r="K607" s="2">
        <v>609</v>
      </c>
      <c r="L607" s="2">
        <v>454</v>
      </c>
      <c r="M607" s="2">
        <v>335</v>
      </c>
      <c r="N607" s="2">
        <v>542</v>
      </c>
      <c r="O607" s="2">
        <v>201</v>
      </c>
      <c r="P607" s="2">
        <v>4669</v>
      </c>
      <c r="Q607" s="2">
        <v>10</v>
      </c>
      <c r="R607" s="2">
        <v>46690</v>
      </c>
      <c r="S607" s="4">
        <f>SUM($R$2:R607) / SUM($R:$R)</f>
        <v>0.99397656730062889</v>
      </c>
      <c r="T607" s="3" t="str">
        <f t="shared" si="54"/>
        <v>C</v>
      </c>
      <c r="U607" s="2">
        <f t="shared" si="55"/>
        <v>389.08333333333331</v>
      </c>
      <c r="V607" s="2">
        <f t="shared" si="56"/>
        <v>187.65076766712312</v>
      </c>
      <c r="W607" s="2">
        <f t="shared" si="57"/>
        <v>0.48228940072938048</v>
      </c>
      <c r="X607" s="2" t="str">
        <f t="shared" si="58"/>
        <v>Y</v>
      </c>
      <c r="Y607" s="2" t="str">
        <f t="shared" si="59"/>
        <v>CY</v>
      </c>
    </row>
    <row r="608" spans="1:25" x14ac:dyDescent="0.3">
      <c r="A608" s="2" t="s">
        <v>129</v>
      </c>
      <c r="B608" s="2" t="s">
        <v>130</v>
      </c>
      <c r="C608" s="2" t="s">
        <v>41</v>
      </c>
      <c r="D608" s="2">
        <v>403</v>
      </c>
      <c r="E608" s="2">
        <v>394</v>
      </c>
      <c r="F608" s="2">
        <v>399</v>
      </c>
      <c r="G608" s="2">
        <v>386</v>
      </c>
      <c r="H608" s="2">
        <v>396</v>
      </c>
      <c r="I608" s="2">
        <v>432</v>
      </c>
      <c r="J608" s="2">
        <v>376</v>
      </c>
      <c r="K608" s="2">
        <v>386</v>
      </c>
      <c r="L608" s="2">
        <v>382</v>
      </c>
      <c r="M608" s="2">
        <v>353</v>
      </c>
      <c r="N608" s="2">
        <v>398</v>
      </c>
      <c r="O608" s="2">
        <v>353</v>
      </c>
      <c r="P608" s="2">
        <v>4658</v>
      </c>
      <c r="Q608" s="2">
        <v>10</v>
      </c>
      <c r="R608" s="2">
        <v>46580</v>
      </c>
      <c r="S608" s="4">
        <f>SUM($R$2:R608) / SUM($R:$R)</f>
        <v>0.99402000712681737</v>
      </c>
      <c r="T608" s="3" t="str">
        <f t="shared" si="54"/>
        <v>C</v>
      </c>
      <c r="U608" s="2">
        <f t="shared" si="55"/>
        <v>388.16666666666669</v>
      </c>
      <c r="V608" s="2">
        <f t="shared" si="56"/>
        <v>21.573693295869447</v>
      </c>
      <c r="W608" s="2">
        <f t="shared" si="57"/>
        <v>5.5578428413575215E-2</v>
      </c>
      <c r="X608" s="2" t="str">
        <f t="shared" si="58"/>
        <v>X</v>
      </c>
      <c r="Y608" s="2" t="str">
        <f t="shared" si="59"/>
        <v>CX</v>
      </c>
    </row>
    <row r="609" spans="1:25" x14ac:dyDescent="0.3">
      <c r="A609" s="2" t="s">
        <v>1227</v>
      </c>
      <c r="B609" s="2" t="s">
        <v>1228</v>
      </c>
      <c r="C609" s="2" t="s">
        <v>20</v>
      </c>
      <c r="D609" s="2">
        <v>1664</v>
      </c>
      <c r="E609" s="2">
        <v>2003</v>
      </c>
      <c r="F609" s="2">
        <v>1972</v>
      </c>
      <c r="G609" s="2">
        <v>1728</v>
      </c>
      <c r="H609" s="2">
        <v>2004</v>
      </c>
      <c r="I609" s="2">
        <v>2101</v>
      </c>
      <c r="J609" s="2">
        <v>1928</v>
      </c>
      <c r="K609" s="2">
        <v>2065</v>
      </c>
      <c r="L609" s="2">
        <v>1937</v>
      </c>
      <c r="M609" s="2">
        <v>1918</v>
      </c>
      <c r="N609" s="2">
        <v>1929</v>
      </c>
      <c r="O609" s="2">
        <v>2001</v>
      </c>
      <c r="P609" s="2">
        <v>23250</v>
      </c>
      <c r="Q609" s="2">
        <v>2</v>
      </c>
      <c r="R609" s="2">
        <v>46500</v>
      </c>
      <c r="S609" s="4">
        <f>SUM($R$2:R609) / SUM($R:$R)</f>
        <v>0.99406337234617681</v>
      </c>
      <c r="T609" s="3" t="str">
        <f t="shared" si="54"/>
        <v>C</v>
      </c>
      <c r="U609" s="2">
        <f t="shared" si="55"/>
        <v>1937.5</v>
      </c>
      <c r="V609" s="2">
        <f t="shared" si="56"/>
        <v>126.54823011585167</v>
      </c>
      <c r="W609" s="2">
        <f t="shared" si="57"/>
        <v>6.5315215543665373E-2</v>
      </c>
      <c r="X609" s="2" t="str">
        <f t="shared" si="58"/>
        <v>X</v>
      </c>
      <c r="Y609" s="2" t="str">
        <f t="shared" si="59"/>
        <v>CX</v>
      </c>
    </row>
    <row r="610" spans="1:25" x14ac:dyDescent="0.3">
      <c r="A610" s="2" t="s">
        <v>1073</v>
      </c>
      <c r="B610" s="2" t="s">
        <v>1074</v>
      </c>
      <c r="C610" s="2" t="s">
        <v>41</v>
      </c>
      <c r="D610" s="2">
        <v>82</v>
      </c>
      <c r="E610" s="2">
        <v>77</v>
      </c>
      <c r="F610" s="2">
        <v>75</v>
      </c>
      <c r="G610" s="2">
        <v>71</v>
      </c>
      <c r="H610" s="2">
        <v>69</v>
      </c>
      <c r="I610" s="2">
        <v>79</v>
      </c>
      <c r="J610" s="2">
        <v>64</v>
      </c>
      <c r="K610" s="2">
        <v>78</v>
      </c>
      <c r="L610" s="2">
        <v>92</v>
      </c>
      <c r="M610" s="2">
        <v>85</v>
      </c>
      <c r="N610" s="2">
        <v>70</v>
      </c>
      <c r="O610" s="2">
        <v>86</v>
      </c>
      <c r="P610" s="2">
        <v>928</v>
      </c>
      <c r="Q610" s="2">
        <v>50</v>
      </c>
      <c r="R610" s="2">
        <v>46400</v>
      </c>
      <c r="S610" s="4">
        <f>SUM($R$2:R610) / SUM($R:$R)</f>
        <v>0.99410664430700002</v>
      </c>
      <c r="T610" s="3" t="str">
        <f t="shared" si="54"/>
        <v>C</v>
      </c>
      <c r="U610" s="2">
        <f t="shared" si="55"/>
        <v>77.333333333333329</v>
      </c>
      <c r="V610" s="2">
        <f t="shared" si="56"/>
        <v>8.0941430377249652</v>
      </c>
      <c r="W610" s="2">
        <f t="shared" si="57"/>
        <v>0.10466564272920215</v>
      </c>
      <c r="X610" s="2" t="str">
        <f t="shared" si="58"/>
        <v>X</v>
      </c>
      <c r="Y610" s="2" t="str">
        <f t="shared" si="59"/>
        <v>CX</v>
      </c>
    </row>
    <row r="611" spans="1:25" x14ac:dyDescent="0.3">
      <c r="A611" s="2" t="s">
        <v>593</v>
      </c>
      <c r="B611" s="2" t="s">
        <v>594</v>
      </c>
      <c r="C611" s="2" t="s">
        <v>20</v>
      </c>
      <c r="D611" s="2">
        <v>2288</v>
      </c>
      <c r="E611" s="2">
        <v>1607</v>
      </c>
      <c r="F611" s="2">
        <v>1501</v>
      </c>
      <c r="G611" s="2">
        <v>2156</v>
      </c>
      <c r="H611" s="2">
        <v>1983</v>
      </c>
      <c r="I611" s="2">
        <v>1887</v>
      </c>
      <c r="J611" s="2">
        <v>2014</v>
      </c>
      <c r="K611" s="2">
        <v>1941</v>
      </c>
      <c r="L611" s="2">
        <v>1730</v>
      </c>
      <c r="M611" s="2">
        <v>1667</v>
      </c>
      <c r="N611" s="2">
        <v>1906</v>
      </c>
      <c r="O611" s="2">
        <v>2340</v>
      </c>
      <c r="P611" s="2">
        <v>23020</v>
      </c>
      <c r="Q611" s="2">
        <v>2</v>
      </c>
      <c r="R611" s="2">
        <v>46040</v>
      </c>
      <c r="S611" s="4">
        <f>SUM($R$2:R611) / SUM($R:$R)</f>
        <v>0.99414958053709268</v>
      </c>
      <c r="T611" s="3" t="str">
        <f t="shared" si="54"/>
        <v>C</v>
      </c>
      <c r="U611" s="2">
        <f t="shared" si="55"/>
        <v>1918.3333333333333</v>
      </c>
      <c r="V611" s="2">
        <f t="shared" si="56"/>
        <v>262.09933347122495</v>
      </c>
      <c r="W611" s="2">
        <f t="shared" si="57"/>
        <v>0.13662867079299304</v>
      </c>
      <c r="X611" s="2" t="str">
        <f t="shared" si="58"/>
        <v>X</v>
      </c>
      <c r="Y611" s="2" t="str">
        <f t="shared" si="59"/>
        <v>CX</v>
      </c>
    </row>
    <row r="612" spans="1:25" x14ac:dyDescent="0.3">
      <c r="A612" s="2" t="s">
        <v>867</v>
      </c>
      <c r="B612" s="2" t="s">
        <v>868</v>
      </c>
      <c r="C612" s="2" t="s">
        <v>41</v>
      </c>
      <c r="D612" s="2">
        <v>395</v>
      </c>
      <c r="E612" s="2">
        <v>384</v>
      </c>
      <c r="F612" s="2">
        <v>368</v>
      </c>
      <c r="G612" s="2">
        <v>399</v>
      </c>
      <c r="H612" s="2">
        <v>364</v>
      </c>
      <c r="I612" s="2">
        <v>372</v>
      </c>
      <c r="J612" s="2">
        <v>405</v>
      </c>
      <c r="K612" s="2">
        <v>375</v>
      </c>
      <c r="L612" s="2">
        <v>387</v>
      </c>
      <c r="M612" s="2">
        <v>374</v>
      </c>
      <c r="N612" s="2">
        <v>398</v>
      </c>
      <c r="O612" s="2">
        <v>383</v>
      </c>
      <c r="P612" s="2">
        <v>4604</v>
      </c>
      <c r="Q612" s="2">
        <v>10</v>
      </c>
      <c r="R612" s="2">
        <v>46040</v>
      </c>
      <c r="S612" s="4">
        <f>SUM($R$2:R612) / SUM($R:$R)</f>
        <v>0.99419251676718534</v>
      </c>
      <c r="T612" s="3" t="str">
        <f t="shared" si="54"/>
        <v>C</v>
      </c>
      <c r="U612" s="2">
        <f t="shared" si="55"/>
        <v>383.66666666666669</v>
      </c>
      <c r="V612" s="2">
        <f t="shared" si="56"/>
        <v>13.391539617733779</v>
      </c>
      <c r="W612" s="2">
        <f t="shared" si="57"/>
        <v>3.4904099785578915E-2</v>
      </c>
      <c r="X612" s="2" t="str">
        <f t="shared" si="58"/>
        <v>X</v>
      </c>
      <c r="Y612" s="2" t="str">
        <f t="shared" si="59"/>
        <v>CX</v>
      </c>
    </row>
    <row r="613" spans="1:25" x14ac:dyDescent="0.3">
      <c r="A613" s="2" t="s">
        <v>529</v>
      </c>
      <c r="B613" s="2" t="s">
        <v>530</v>
      </c>
      <c r="C613" s="2" t="s">
        <v>41</v>
      </c>
      <c r="D613" s="2">
        <v>364</v>
      </c>
      <c r="E613" s="2">
        <v>384</v>
      </c>
      <c r="F613" s="2">
        <v>344</v>
      </c>
      <c r="G613" s="2">
        <v>383</v>
      </c>
      <c r="H613" s="2">
        <v>346</v>
      </c>
      <c r="I613" s="2">
        <v>371</v>
      </c>
      <c r="J613" s="2">
        <v>361</v>
      </c>
      <c r="K613" s="2">
        <v>403</v>
      </c>
      <c r="L613" s="2">
        <v>372</v>
      </c>
      <c r="M613" s="2">
        <v>381</v>
      </c>
      <c r="N613" s="2">
        <v>423</v>
      </c>
      <c r="O613" s="2">
        <v>402</v>
      </c>
      <c r="P613" s="2">
        <v>4534</v>
      </c>
      <c r="Q613" s="2">
        <v>10</v>
      </c>
      <c r="R613" s="2">
        <v>45340</v>
      </c>
      <c r="S613" s="4">
        <f>SUM($R$2:R613) / SUM($R:$R)</f>
        <v>0.9942348001875243</v>
      </c>
      <c r="T613" s="3" t="str">
        <f t="shared" si="54"/>
        <v>C</v>
      </c>
      <c r="U613" s="2">
        <f t="shared" si="55"/>
        <v>377.83333333333331</v>
      </c>
      <c r="V613" s="2">
        <f t="shared" si="56"/>
        <v>23.443678478559214</v>
      </c>
      <c r="W613" s="2">
        <f t="shared" si="57"/>
        <v>6.2047671315110409E-2</v>
      </c>
      <c r="X613" s="2" t="str">
        <f t="shared" si="58"/>
        <v>X</v>
      </c>
      <c r="Y613" s="2" t="str">
        <f t="shared" si="59"/>
        <v>CX</v>
      </c>
    </row>
    <row r="614" spans="1:25" x14ac:dyDescent="0.3">
      <c r="A614" s="2" t="s">
        <v>665</v>
      </c>
      <c r="B614" s="2" t="s">
        <v>666</v>
      </c>
      <c r="C614" s="2" t="s">
        <v>20</v>
      </c>
      <c r="D614" s="2">
        <v>2491</v>
      </c>
      <c r="E614" s="2">
        <v>1635</v>
      </c>
      <c r="F614" s="2">
        <v>1626</v>
      </c>
      <c r="G614" s="2">
        <v>2050</v>
      </c>
      <c r="H614" s="2">
        <v>1550</v>
      </c>
      <c r="I614" s="2">
        <v>1777</v>
      </c>
      <c r="J614" s="2">
        <v>1906</v>
      </c>
      <c r="K614" s="2">
        <v>1905</v>
      </c>
      <c r="L614" s="2">
        <v>1825</v>
      </c>
      <c r="M614" s="2">
        <v>1702</v>
      </c>
      <c r="N614" s="2">
        <v>2236</v>
      </c>
      <c r="O614" s="2">
        <v>1889</v>
      </c>
      <c r="P614" s="2">
        <v>22592</v>
      </c>
      <c r="Q614" s="2">
        <v>2</v>
      </c>
      <c r="R614" s="2">
        <v>45184</v>
      </c>
      <c r="S614" s="4">
        <f>SUM($R$2:R614) / SUM($R:$R)</f>
        <v>0.99427693812454654</v>
      </c>
      <c r="T614" s="3" t="str">
        <f t="shared" si="54"/>
        <v>C</v>
      </c>
      <c r="U614" s="2">
        <f t="shared" si="55"/>
        <v>1882.6666666666667</v>
      </c>
      <c r="V614" s="2">
        <f t="shared" si="56"/>
        <v>271.19477513515233</v>
      </c>
      <c r="W614" s="2">
        <f t="shared" si="57"/>
        <v>0.14404821625450726</v>
      </c>
      <c r="X614" s="2" t="str">
        <f t="shared" si="58"/>
        <v>X</v>
      </c>
      <c r="Y614" s="2" t="str">
        <f t="shared" si="59"/>
        <v>CX</v>
      </c>
    </row>
    <row r="615" spans="1:25" x14ac:dyDescent="0.3">
      <c r="A615" s="2" t="s">
        <v>1717</v>
      </c>
      <c r="B615" s="2" t="s">
        <v>1718</v>
      </c>
      <c r="C615" s="2" t="s">
        <v>41</v>
      </c>
      <c r="D615" s="2">
        <v>367</v>
      </c>
      <c r="E615" s="2">
        <v>374</v>
      </c>
      <c r="F615" s="2">
        <v>343</v>
      </c>
      <c r="G615" s="2">
        <v>357</v>
      </c>
      <c r="H615" s="2">
        <v>400</v>
      </c>
      <c r="I615" s="2">
        <v>398</v>
      </c>
      <c r="J615" s="2">
        <v>376</v>
      </c>
      <c r="K615" s="2">
        <v>375</v>
      </c>
      <c r="L615" s="2">
        <v>363</v>
      </c>
      <c r="M615" s="2">
        <v>405</v>
      </c>
      <c r="N615" s="2">
        <v>409</v>
      </c>
      <c r="O615" s="2">
        <v>329</v>
      </c>
      <c r="P615" s="2">
        <v>4496</v>
      </c>
      <c r="Q615" s="2">
        <v>10</v>
      </c>
      <c r="R615" s="2">
        <v>44960</v>
      </c>
      <c r="S615" s="4">
        <f>SUM($R$2:R615) / SUM($R:$R)</f>
        <v>0.99431886716244766</v>
      </c>
      <c r="T615" s="3" t="str">
        <f t="shared" si="54"/>
        <v>C</v>
      </c>
      <c r="U615" s="2">
        <f t="shared" si="55"/>
        <v>374.66666666666669</v>
      </c>
      <c r="V615" s="2">
        <f t="shared" si="56"/>
        <v>25.013935509970633</v>
      </c>
      <c r="W615" s="2">
        <f t="shared" si="57"/>
        <v>6.6763173069316631E-2</v>
      </c>
      <c r="X615" s="2" t="str">
        <f t="shared" si="58"/>
        <v>X</v>
      </c>
      <c r="Y615" s="2" t="str">
        <f t="shared" si="59"/>
        <v>CX</v>
      </c>
    </row>
    <row r="616" spans="1:25" x14ac:dyDescent="0.3">
      <c r="A616" s="2" t="s">
        <v>903</v>
      </c>
      <c r="B616" s="2" t="s">
        <v>904</v>
      </c>
      <c r="C616" s="2" t="s">
        <v>41</v>
      </c>
      <c r="D616" s="2">
        <v>368</v>
      </c>
      <c r="E616" s="2">
        <v>358</v>
      </c>
      <c r="F616" s="2">
        <v>369</v>
      </c>
      <c r="G616" s="2">
        <v>346</v>
      </c>
      <c r="H616" s="2">
        <v>369</v>
      </c>
      <c r="I616" s="2">
        <v>394</v>
      </c>
      <c r="J616" s="2">
        <v>406</v>
      </c>
      <c r="K616" s="2">
        <v>363</v>
      </c>
      <c r="L616" s="2">
        <v>404</v>
      </c>
      <c r="M616" s="2">
        <v>392</v>
      </c>
      <c r="N616" s="2">
        <v>351</v>
      </c>
      <c r="O616" s="2">
        <v>371</v>
      </c>
      <c r="P616" s="2">
        <v>4491</v>
      </c>
      <c r="Q616" s="2">
        <v>10</v>
      </c>
      <c r="R616" s="2">
        <v>44910</v>
      </c>
      <c r="S616" s="4">
        <f>SUM($R$2:R616) / SUM($R:$R)</f>
        <v>0.99436074957108067</v>
      </c>
      <c r="T616" s="3" t="str">
        <f t="shared" si="54"/>
        <v>C</v>
      </c>
      <c r="U616" s="2">
        <f t="shared" si="55"/>
        <v>374.25</v>
      </c>
      <c r="V616" s="2">
        <f t="shared" si="56"/>
        <v>20.073161638910253</v>
      </c>
      <c r="W616" s="2">
        <f t="shared" si="57"/>
        <v>5.3635702441977962E-2</v>
      </c>
      <c r="X616" s="2" t="str">
        <f t="shared" si="58"/>
        <v>X</v>
      </c>
      <c r="Y616" s="2" t="str">
        <f t="shared" si="59"/>
        <v>CX</v>
      </c>
    </row>
    <row r="617" spans="1:25" x14ac:dyDescent="0.3">
      <c r="A617" s="2" t="s">
        <v>233</v>
      </c>
      <c r="B617" s="2" t="s">
        <v>234</v>
      </c>
      <c r="C617" s="2" t="s">
        <v>41</v>
      </c>
      <c r="D617" s="2">
        <v>379</v>
      </c>
      <c r="E617" s="2">
        <v>347</v>
      </c>
      <c r="F617" s="2">
        <v>355</v>
      </c>
      <c r="G617" s="2">
        <v>373</v>
      </c>
      <c r="H617" s="2">
        <v>360</v>
      </c>
      <c r="I617" s="2">
        <v>353</v>
      </c>
      <c r="J617" s="2">
        <v>389</v>
      </c>
      <c r="K617" s="2">
        <v>375</v>
      </c>
      <c r="L617" s="2">
        <v>391</v>
      </c>
      <c r="M617" s="2">
        <v>352</v>
      </c>
      <c r="N617" s="2">
        <v>378</v>
      </c>
      <c r="O617" s="2">
        <v>403</v>
      </c>
      <c r="P617" s="2">
        <v>4455</v>
      </c>
      <c r="Q617" s="2">
        <v>10</v>
      </c>
      <c r="R617" s="2">
        <v>44550</v>
      </c>
      <c r="S617" s="4">
        <f>SUM($R$2:R617) / SUM($R:$R)</f>
        <v>0.99440229624898313</v>
      </c>
      <c r="T617" s="3" t="str">
        <f t="shared" si="54"/>
        <v>C</v>
      </c>
      <c r="U617" s="2">
        <f t="shared" si="55"/>
        <v>371.25</v>
      </c>
      <c r="V617" s="2">
        <f t="shared" si="56"/>
        <v>17.884096541086695</v>
      </c>
      <c r="W617" s="2">
        <f t="shared" si="57"/>
        <v>4.8172650615721735E-2</v>
      </c>
      <c r="X617" s="2" t="str">
        <f t="shared" si="58"/>
        <v>X</v>
      </c>
      <c r="Y617" s="2" t="str">
        <f t="shared" si="59"/>
        <v>CX</v>
      </c>
    </row>
    <row r="618" spans="1:25" x14ac:dyDescent="0.3">
      <c r="A618" s="2" t="s">
        <v>1535</v>
      </c>
      <c r="B618" s="2" t="s">
        <v>1536</v>
      </c>
      <c r="C618" s="2" t="s">
        <v>56</v>
      </c>
      <c r="D618" s="2">
        <v>357</v>
      </c>
      <c r="E618" s="2">
        <v>359</v>
      </c>
      <c r="F618" s="2">
        <v>377</v>
      </c>
      <c r="G618" s="2">
        <v>380</v>
      </c>
      <c r="H618" s="2">
        <v>366</v>
      </c>
      <c r="I618" s="2">
        <v>373</v>
      </c>
      <c r="J618" s="2">
        <v>364</v>
      </c>
      <c r="K618" s="2">
        <v>382</v>
      </c>
      <c r="L618" s="2">
        <v>381</v>
      </c>
      <c r="M618" s="2">
        <v>378</v>
      </c>
      <c r="N618" s="2">
        <v>360</v>
      </c>
      <c r="O618" s="2">
        <v>353</v>
      </c>
      <c r="P618" s="2">
        <v>4430</v>
      </c>
      <c r="Q618" s="2">
        <v>10</v>
      </c>
      <c r="R618" s="2">
        <v>44300</v>
      </c>
      <c r="S618" s="4">
        <f>SUM($R$2:R618) / SUM($R:$R)</f>
        <v>0.99444360978054491</v>
      </c>
      <c r="T618" s="3" t="str">
        <f t="shared" si="54"/>
        <v>C</v>
      </c>
      <c r="U618" s="2">
        <f t="shared" si="55"/>
        <v>369.16666666666669</v>
      </c>
      <c r="V618" s="2">
        <f t="shared" si="56"/>
        <v>10.48664374190794</v>
      </c>
      <c r="W618" s="2">
        <f t="shared" si="57"/>
        <v>2.8406258443091484E-2</v>
      </c>
      <c r="X618" s="2" t="str">
        <f t="shared" si="58"/>
        <v>X</v>
      </c>
      <c r="Y618" s="2" t="str">
        <f t="shared" si="59"/>
        <v>CX</v>
      </c>
    </row>
    <row r="619" spans="1:25" x14ac:dyDescent="0.3">
      <c r="A619" s="2" t="s">
        <v>259</v>
      </c>
      <c r="B619" s="2" t="s">
        <v>260</v>
      </c>
      <c r="C619" s="2" t="s">
        <v>25</v>
      </c>
      <c r="D619" s="2">
        <v>504</v>
      </c>
      <c r="E619" s="2">
        <v>550</v>
      </c>
      <c r="F619" s="2">
        <v>492</v>
      </c>
      <c r="G619" s="2">
        <v>276</v>
      </c>
      <c r="H619" s="2">
        <v>276</v>
      </c>
      <c r="I619" s="2">
        <v>30</v>
      </c>
      <c r="J619" s="2">
        <v>510</v>
      </c>
      <c r="K619" s="2">
        <v>548</v>
      </c>
      <c r="L619" s="2">
        <v>306</v>
      </c>
      <c r="M619" s="2">
        <v>320</v>
      </c>
      <c r="N619" s="2">
        <v>586</v>
      </c>
      <c r="O619" s="2">
        <v>26</v>
      </c>
      <c r="P619" s="2">
        <v>4424</v>
      </c>
      <c r="Q619" s="2">
        <v>10</v>
      </c>
      <c r="R619" s="2">
        <v>44240</v>
      </c>
      <c r="S619" s="4">
        <f>SUM($R$2:R619) / SUM($R:$R)</f>
        <v>0.99448486735698505</v>
      </c>
      <c r="T619" s="3" t="str">
        <f t="shared" si="54"/>
        <v>C</v>
      </c>
      <c r="U619" s="2">
        <f t="shared" si="55"/>
        <v>368.66666666666669</v>
      </c>
      <c r="V619" s="2">
        <f t="shared" si="56"/>
        <v>195.71841244424851</v>
      </c>
      <c r="W619" s="2">
        <f t="shared" si="57"/>
        <v>0.53088176974027623</v>
      </c>
      <c r="X619" s="2" t="str">
        <f t="shared" si="58"/>
        <v>Z</v>
      </c>
      <c r="Y619" s="2" t="str">
        <f t="shared" si="59"/>
        <v>CZ</v>
      </c>
    </row>
    <row r="620" spans="1:25" x14ac:dyDescent="0.3">
      <c r="A620" s="2" t="s">
        <v>1791</v>
      </c>
      <c r="B620" s="2" t="s">
        <v>1792</v>
      </c>
      <c r="C620" s="2" t="s">
        <v>20</v>
      </c>
      <c r="D620" s="2">
        <v>2094</v>
      </c>
      <c r="E620" s="2">
        <v>1998</v>
      </c>
      <c r="F620" s="2">
        <v>1888</v>
      </c>
      <c r="G620" s="2">
        <v>1664</v>
      </c>
      <c r="H620" s="2">
        <v>1666</v>
      </c>
      <c r="I620" s="2">
        <v>1716</v>
      </c>
      <c r="J620" s="2">
        <v>1787</v>
      </c>
      <c r="K620" s="2">
        <v>1589</v>
      </c>
      <c r="L620" s="2">
        <v>1849</v>
      </c>
      <c r="M620" s="2">
        <v>1828</v>
      </c>
      <c r="N620" s="2">
        <v>1975</v>
      </c>
      <c r="O620" s="2">
        <v>1972</v>
      </c>
      <c r="P620" s="2">
        <v>22026</v>
      </c>
      <c r="Q620" s="2">
        <v>2</v>
      </c>
      <c r="R620" s="2">
        <v>44052</v>
      </c>
      <c r="S620" s="4">
        <f>SUM($R$2:R620) / SUM($R:$R)</f>
        <v>0.99452594960737695</v>
      </c>
      <c r="T620" s="3" t="str">
        <f t="shared" si="54"/>
        <v>C</v>
      </c>
      <c r="U620" s="2">
        <f t="shared" si="55"/>
        <v>1835.5</v>
      </c>
      <c r="V620" s="2">
        <f t="shared" si="56"/>
        <v>156.62723552783183</v>
      </c>
      <c r="W620" s="2">
        <f t="shared" si="57"/>
        <v>8.5332190426495133E-2</v>
      </c>
      <c r="X620" s="2" t="str">
        <f t="shared" si="58"/>
        <v>X</v>
      </c>
      <c r="Y620" s="2" t="str">
        <f t="shared" si="59"/>
        <v>CX</v>
      </c>
    </row>
    <row r="621" spans="1:25" x14ac:dyDescent="0.3">
      <c r="A621" s="2" t="s">
        <v>1001</v>
      </c>
      <c r="B621" s="2" t="s">
        <v>1002</v>
      </c>
      <c r="C621" s="2" t="s">
        <v>41</v>
      </c>
      <c r="D621" s="2">
        <v>371</v>
      </c>
      <c r="E621" s="2">
        <v>382</v>
      </c>
      <c r="F621" s="2">
        <v>396</v>
      </c>
      <c r="G621" s="2">
        <v>360</v>
      </c>
      <c r="H621" s="2">
        <v>367</v>
      </c>
      <c r="I621" s="2">
        <v>372</v>
      </c>
      <c r="J621" s="2">
        <v>364</v>
      </c>
      <c r="K621" s="2">
        <v>349</v>
      </c>
      <c r="L621" s="2">
        <v>352</v>
      </c>
      <c r="M621" s="2">
        <v>367</v>
      </c>
      <c r="N621" s="2">
        <v>327</v>
      </c>
      <c r="O621" s="2">
        <v>360</v>
      </c>
      <c r="P621" s="2">
        <v>4367</v>
      </c>
      <c r="Q621" s="2">
        <v>10</v>
      </c>
      <c r="R621" s="2">
        <v>43670</v>
      </c>
      <c r="S621" s="4">
        <f>SUM($R$2:R621) / SUM($R:$R)</f>
        <v>0.99456667561016032</v>
      </c>
      <c r="T621" s="3" t="str">
        <f t="shared" si="54"/>
        <v>C</v>
      </c>
      <c r="U621" s="2">
        <f t="shared" si="55"/>
        <v>363.91666666666669</v>
      </c>
      <c r="V621" s="2">
        <f t="shared" si="56"/>
        <v>17.185926236489571</v>
      </c>
      <c r="W621" s="2">
        <f t="shared" si="57"/>
        <v>4.7224894627404361E-2</v>
      </c>
      <c r="X621" s="2" t="str">
        <f t="shared" si="58"/>
        <v>X</v>
      </c>
      <c r="Y621" s="2" t="str">
        <f t="shared" si="59"/>
        <v>CX</v>
      </c>
    </row>
    <row r="622" spans="1:25" x14ac:dyDescent="0.3">
      <c r="A622" s="2" t="s">
        <v>627</v>
      </c>
      <c r="B622" s="2" t="s">
        <v>628</v>
      </c>
      <c r="C622" s="2" t="s">
        <v>56</v>
      </c>
      <c r="D622" s="2">
        <v>362</v>
      </c>
      <c r="E622" s="2">
        <v>352</v>
      </c>
      <c r="F622" s="2">
        <v>355</v>
      </c>
      <c r="G622" s="2">
        <v>336</v>
      </c>
      <c r="H622" s="2">
        <v>378</v>
      </c>
      <c r="I622" s="2">
        <v>372</v>
      </c>
      <c r="J622" s="2">
        <v>358</v>
      </c>
      <c r="K622" s="2">
        <v>375</v>
      </c>
      <c r="L622" s="2">
        <v>395</v>
      </c>
      <c r="M622" s="2">
        <v>397</v>
      </c>
      <c r="N622" s="2">
        <v>348</v>
      </c>
      <c r="O622" s="2">
        <v>337</v>
      </c>
      <c r="P622" s="2">
        <v>4365</v>
      </c>
      <c r="Q622" s="2">
        <v>10</v>
      </c>
      <c r="R622" s="2">
        <v>43650</v>
      </c>
      <c r="S622" s="4">
        <f>SUM($R$2:R622) / SUM($R:$R)</f>
        <v>0.99460738296123641</v>
      </c>
      <c r="T622" s="3" t="str">
        <f t="shared" si="54"/>
        <v>C</v>
      </c>
      <c r="U622" s="2">
        <f t="shared" si="55"/>
        <v>363.75</v>
      </c>
      <c r="V622" s="2">
        <f t="shared" si="56"/>
        <v>20.145493518176938</v>
      </c>
      <c r="W622" s="2">
        <f t="shared" si="57"/>
        <v>5.5382800049970961E-2</v>
      </c>
      <c r="X622" s="2" t="str">
        <f t="shared" si="58"/>
        <v>X</v>
      </c>
      <c r="Y622" s="2" t="str">
        <f t="shared" si="59"/>
        <v>CX</v>
      </c>
    </row>
    <row r="623" spans="1:25" x14ac:dyDescent="0.3">
      <c r="A623" s="2" t="s">
        <v>637</v>
      </c>
      <c r="B623" s="2" t="s">
        <v>638</v>
      </c>
      <c r="C623" s="2" t="s">
        <v>20</v>
      </c>
      <c r="D623" s="2">
        <v>1519</v>
      </c>
      <c r="E623" s="2">
        <v>2133</v>
      </c>
      <c r="F623" s="2">
        <v>1760</v>
      </c>
      <c r="G623" s="2">
        <v>2017</v>
      </c>
      <c r="H623" s="2">
        <v>1825</v>
      </c>
      <c r="I623" s="2">
        <v>1764</v>
      </c>
      <c r="J623" s="2">
        <v>1517</v>
      </c>
      <c r="K623" s="2">
        <v>1946</v>
      </c>
      <c r="L623" s="2">
        <v>1534</v>
      </c>
      <c r="M623" s="2">
        <v>1799</v>
      </c>
      <c r="N623" s="2">
        <v>1772</v>
      </c>
      <c r="O623" s="2">
        <v>2050</v>
      </c>
      <c r="P623" s="2">
        <v>21636</v>
      </c>
      <c r="Q623" s="2">
        <v>2</v>
      </c>
      <c r="R623" s="2">
        <v>43272</v>
      </c>
      <c r="S623" s="4">
        <f>SUM($R$2:R623) / SUM($R:$R)</f>
        <v>0.99464773779504556</v>
      </c>
      <c r="T623" s="3" t="str">
        <f t="shared" si="54"/>
        <v>C</v>
      </c>
      <c r="U623" s="2">
        <f t="shared" si="55"/>
        <v>1803</v>
      </c>
      <c r="V623" s="2">
        <f t="shared" si="56"/>
        <v>207.97683437432073</v>
      </c>
      <c r="W623" s="2">
        <f t="shared" si="57"/>
        <v>0.11535043503844744</v>
      </c>
      <c r="X623" s="2" t="str">
        <f t="shared" si="58"/>
        <v>X</v>
      </c>
      <c r="Y623" s="2" t="str">
        <f t="shared" si="59"/>
        <v>CX</v>
      </c>
    </row>
    <row r="624" spans="1:25" x14ac:dyDescent="0.3">
      <c r="A624" s="2" t="s">
        <v>1221</v>
      </c>
      <c r="B624" s="2" t="s">
        <v>1222</v>
      </c>
      <c r="C624" s="2" t="s">
        <v>20</v>
      </c>
      <c r="D624" s="2">
        <v>1650</v>
      </c>
      <c r="E624" s="2">
        <v>1497</v>
      </c>
      <c r="F624" s="2">
        <v>1992</v>
      </c>
      <c r="G624" s="2">
        <v>1983</v>
      </c>
      <c r="H624" s="2">
        <v>1887</v>
      </c>
      <c r="I624" s="2">
        <v>1804</v>
      </c>
      <c r="J624" s="2">
        <v>1930</v>
      </c>
      <c r="K624" s="2">
        <v>1732</v>
      </c>
      <c r="L624" s="2">
        <v>1650</v>
      </c>
      <c r="M624" s="2">
        <v>1707</v>
      </c>
      <c r="N624" s="2">
        <v>1814</v>
      </c>
      <c r="O624" s="2">
        <v>1939</v>
      </c>
      <c r="P624" s="2">
        <v>21585</v>
      </c>
      <c r="Q624" s="2">
        <v>2</v>
      </c>
      <c r="R624" s="2">
        <v>43170</v>
      </c>
      <c r="S624" s="4">
        <f>SUM($R$2:R624) / SUM($R:$R)</f>
        <v>0.99468799750514769</v>
      </c>
      <c r="T624" s="3" t="str">
        <f t="shared" si="54"/>
        <v>C</v>
      </c>
      <c r="U624" s="2">
        <f t="shared" si="55"/>
        <v>1798.75</v>
      </c>
      <c r="V624" s="2">
        <f t="shared" si="56"/>
        <v>155.0420031064896</v>
      </c>
      <c r="W624" s="2">
        <f t="shared" si="57"/>
        <v>8.6194303325359059E-2</v>
      </c>
      <c r="X624" s="2" t="str">
        <f t="shared" si="58"/>
        <v>X</v>
      </c>
      <c r="Y624" s="2" t="str">
        <f t="shared" si="59"/>
        <v>CX</v>
      </c>
    </row>
    <row r="625" spans="1:25" x14ac:dyDescent="0.3">
      <c r="A625" s="2" t="s">
        <v>1509</v>
      </c>
      <c r="B625" s="2" t="s">
        <v>1510</v>
      </c>
      <c r="C625" s="2" t="s">
        <v>41</v>
      </c>
      <c r="D625" s="2">
        <v>380</v>
      </c>
      <c r="E625" s="2">
        <v>371</v>
      </c>
      <c r="F625" s="2">
        <v>365</v>
      </c>
      <c r="G625" s="2">
        <v>348</v>
      </c>
      <c r="H625" s="2">
        <v>373</v>
      </c>
      <c r="I625" s="2">
        <v>343</v>
      </c>
      <c r="J625" s="2">
        <v>406</v>
      </c>
      <c r="K625" s="2">
        <v>357</v>
      </c>
      <c r="L625" s="2">
        <v>333</v>
      </c>
      <c r="M625" s="2">
        <v>336</v>
      </c>
      <c r="N625" s="2">
        <v>356</v>
      </c>
      <c r="O625" s="2">
        <v>349</v>
      </c>
      <c r="P625" s="2">
        <v>4317</v>
      </c>
      <c r="Q625" s="2">
        <v>10</v>
      </c>
      <c r="R625" s="2">
        <v>43170</v>
      </c>
      <c r="S625" s="4">
        <f>SUM($R$2:R625) / SUM($R:$R)</f>
        <v>0.99472825721524971</v>
      </c>
      <c r="T625" s="3" t="str">
        <f t="shared" si="54"/>
        <v>C</v>
      </c>
      <c r="U625" s="2">
        <f t="shared" si="55"/>
        <v>359.75</v>
      </c>
      <c r="V625" s="2">
        <f t="shared" si="56"/>
        <v>20.701888363581276</v>
      </c>
      <c r="W625" s="2">
        <f t="shared" si="57"/>
        <v>5.7545207403978525E-2</v>
      </c>
      <c r="X625" s="2" t="str">
        <f t="shared" si="58"/>
        <v>X</v>
      </c>
      <c r="Y625" s="2" t="str">
        <f t="shared" si="59"/>
        <v>CX</v>
      </c>
    </row>
    <row r="626" spans="1:25" x14ac:dyDescent="0.3">
      <c r="A626" s="2" t="s">
        <v>1875</v>
      </c>
      <c r="B626" s="2" t="s">
        <v>1876</v>
      </c>
      <c r="C626" s="2" t="s">
        <v>41</v>
      </c>
      <c r="D626" s="2">
        <v>364</v>
      </c>
      <c r="E626" s="2">
        <v>357</v>
      </c>
      <c r="F626" s="2">
        <v>339</v>
      </c>
      <c r="G626" s="2">
        <v>406</v>
      </c>
      <c r="H626" s="2">
        <v>362</v>
      </c>
      <c r="I626" s="2">
        <v>349</v>
      </c>
      <c r="J626" s="2">
        <v>360</v>
      </c>
      <c r="K626" s="2">
        <v>346</v>
      </c>
      <c r="L626" s="2">
        <v>328</v>
      </c>
      <c r="M626" s="2">
        <v>355</v>
      </c>
      <c r="N626" s="2">
        <v>341</v>
      </c>
      <c r="O626" s="2">
        <v>350</v>
      </c>
      <c r="P626" s="2">
        <v>4257</v>
      </c>
      <c r="Q626" s="2">
        <v>10</v>
      </c>
      <c r="R626" s="2">
        <v>42570</v>
      </c>
      <c r="S626" s="4">
        <f>SUM($R$2:R626) / SUM($R:$R)</f>
        <v>0.99476795737413437</v>
      </c>
      <c r="T626" s="3" t="str">
        <f t="shared" si="54"/>
        <v>C</v>
      </c>
      <c r="U626" s="2">
        <f t="shared" si="55"/>
        <v>354.75</v>
      </c>
      <c r="V626" s="2">
        <f t="shared" si="56"/>
        <v>19.26430991143042</v>
      </c>
      <c r="W626" s="2">
        <f t="shared" si="57"/>
        <v>5.4303903908190052E-2</v>
      </c>
      <c r="X626" s="2" t="str">
        <f t="shared" si="58"/>
        <v>X</v>
      </c>
      <c r="Y626" s="2" t="str">
        <f t="shared" si="59"/>
        <v>CX</v>
      </c>
    </row>
    <row r="627" spans="1:25" x14ac:dyDescent="0.3">
      <c r="A627" s="2" t="s">
        <v>239</v>
      </c>
      <c r="B627" s="2" t="s">
        <v>240</v>
      </c>
      <c r="C627" s="2" t="s">
        <v>20</v>
      </c>
      <c r="D627" s="2">
        <v>1470</v>
      </c>
      <c r="E627" s="2">
        <v>1807</v>
      </c>
      <c r="F627" s="2">
        <v>1718</v>
      </c>
      <c r="G627" s="2">
        <v>1748</v>
      </c>
      <c r="H627" s="2">
        <v>2132</v>
      </c>
      <c r="I627" s="2">
        <v>1966</v>
      </c>
      <c r="J627" s="2">
        <v>1868</v>
      </c>
      <c r="K627" s="2">
        <v>1479</v>
      </c>
      <c r="L627" s="2">
        <v>1711</v>
      </c>
      <c r="M627" s="2">
        <v>1590</v>
      </c>
      <c r="N627" s="2">
        <v>2017</v>
      </c>
      <c r="O627" s="2">
        <v>1666</v>
      </c>
      <c r="P627" s="2">
        <v>21172</v>
      </c>
      <c r="Q627" s="2">
        <v>2</v>
      </c>
      <c r="R627" s="2">
        <v>42344</v>
      </c>
      <c r="S627" s="4">
        <f>SUM($R$2:R627) / SUM($R:$R)</f>
        <v>0.9948074467687269</v>
      </c>
      <c r="T627" s="3" t="str">
        <f t="shared" si="54"/>
        <v>C</v>
      </c>
      <c r="U627" s="2">
        <f t="shared" si="55"/>
        <v>1764.3333333333333</v>
      </c>
      <c r="V627" s="2">
        <f t="shared" si="56"/>
        <v>205.74093742698147</v>
      </c>
      <c r="W627" s="2">
        <f t="shared" si="57"/>
        <v>0.11661114911788106</v>
      </c>
      <c r="X627" s="2" t="str">
        <f t="shared" si="58"/>
        <v>X</v>
      </c>
      <c r="Y627" s="2" t="str">
        <f t="shared" si="59"/>
        <v>CX</v>
      </c>
    </row>
    <row r="628" spans="1:25" x14ac:dyDescent="0.3">
      <c r="A628" s="2" t="s">
        <v>485</v>
      </c>
      <c r="B628" s="2" t="s">
        <v>486</v>
      </c>
      <c r="C628" s="2" t="s">
        <v>41</v>
      </c>
      <c r="D628" s="2">
        <v>372</v>
      </c>
      <c r="E628" s="2">
        <v>353</v>
      </c>
      <c r="F628" s="2">
        <v>335</v>
      </c>
      <c r="G628" s="2">
        <v>360</v>
      </c>
      <c r="H628" s="2">
        <v>344</v>
      </c>
      <c r="I628" s="2">
        <v>368</v>
      </c>
      <c r="J628" s="2">
        <v>355</v>
      </c>
      <c r="K628" s="2">
        <v>353</v>
      </c>
      <c r="L628" s="2">
        <v>333</v>
      </c>
      <c r="M628" s="2">
        <v>327</v>
      </c>
      <c r="N628" s="2">
        <v>342</v>
      </c>
      <c r="O628" s="2">
        <v>366</v>
      </c>
      <c r="P628" s="2">
        <v>4208</v>
      </c>
      <c r="Q628" s="2">
        <v>10</v>
      </c>
      <c r="R628" s="2">
        <v>42080</v>
      </c>
      <c r="S628" s="4">
        <f>SUM($R$2:R628) / SUM($R:$R)</f>
        <v>0.99484668996078385</v>
      </c>
      <c r="T628" s="3" t="str">
        <f t="shared" si="54"/>
        <v>C</v>
      </c>
      <c r="U628" s="2">
        <f t="shared" si="55"/>
        <v>350.66666666666669</v>
      </c>
      <c r="V628" s="2">
        <f t="shared" si="56"/>
        <v>14.599709420105427</v>
      </c>
      <c r="W628" s="2">
        <f t="shared" si="57"/>
        <v>4.1634152338703684E-2</v>
      </c>
      <c r="X628" s="2" t="str">
        <f t="shared" si="58"/>
        <v>X</v>
      </c>
      <c r="Y628" s="2" t="str">
        <f t="shared" si="59"/>
        <v>CX</v>
      </c>
    </row>
    <row r="629" spans="1:25" x14ac:dyDescent="0.3">
      <c r="A629" s="2" t="s">
        <v>101</v>
      </c>
      <c r="B629" s="2" t="s">
        <v>102</v>
      </c>
      <c r="C629" s="2" t="s">
        <v>20</v>
      </c>
      <c r="D629" s="2">
        <v>1826</v>
      </c>
      <c r="E629" s="2">
        <v>1618</v>
      </c>
      <c r="F629" s="2">
        <v>1858</v>
      </c>
      <c r="G629" s="2">
        <v>1519</v>
      </c>
      <c r="H629" s="2">
        <v>1936</v>
      </c>
      <c r="I629" s="2">
        <v>1626</v>
      </c>
      <c r="J629" s="2">
        <v>1470</v>
      </c>
      <c r="K629" s="2">
        <v>1743</v>
      </c>
      <c r="L629" s="2">
        <v>2323</v>
      </c>
      <c r="M629" s="2">
        <v>1612</v>
      </c>
      <c r="N629" s="2">
        <v>2023</v>
      </c>
      <c r="O629" s="2">
        <v>1443</v>
      </c>
      <c r="P629" s="2">
        <v>20997</v>
      </c>
      <c r="Q629" s="2">
        <v>2</v>
      </c>
      <c r="R629" s="2">
        <v>41994</v>
      </c>
      <c r="S629" s="4">
        <f>SUM($R$2:R629) / SUM($R:$R)</f>
        <v>0.99488585295049958</v>
      </c>
      <c r="T629" s="3" t="str">
        <f t="shared" si="54"/>
        <v>C</v>
      </c>
      <c r="U629" s="2">
        <f t="shared" si="55"/>
        <v>1749.75</v>
      </c>
      <c r="V629" s="2">
        <f t="shared" si="56"/>
        <v>258.10432175593439</v>
      </c>
      <c r="W629" s="2">
        <f t="shared" si="57"/>
        <v>0.14750925661147843</v>
      </c>
      <c r="X629" s="2" t="str">
        <f t="shared" si="58"/>
        <v>X</v>
      </c>
      <c r="Y629" s="2" t="str">
        <f t="shared" si="59"/>
        <v>CX</v>
      </c>
    </row>
    <row r="630" spans="1:25" x14ac:dyDescent="0.3">
      <c r="A630" s="2" t="s">
        <v>767</v>
      </c>
      <c r="B630" s="2" t="s">
        <v>768</v>
      </c>
      <c r="C630" s="2" t="s">
        <v>36</v>
      </c>
      <c r="D630" s="2">
        <v>351</v>
      </c>
      <c r="E630" s="2">
        <v>321</v>
      </c>
      <c r="F630" s="2">
        <v>362</v>
      </c>
      <c r="G630" s="2">
        <v>342</v>
      </c>
      <c r="H630" s="2">
        <v>356</v>
      </c>
      <c r="I630" s="2">
        <v>336</v>
      </c>
      <c r="J630" s="2">
        <v>377</v>
      </c>
      <c r="K630" s="2">
        <v>372</v>
      </c>
      <c r="L630" s="2">
        <v>331</v>
      </c>
      <c r="M630" s="2">
        <v>320</v>
      </c>
      <c r="N630" s="2">
        <v>344</v>
      </c>
      <c r="O630" s="2">
        <v>358</v>
      </c>
      <c r="P630" s="2">
        <v>4170</v>
      </c>
      <c r="Q630" s="2">
        <v>10</v>
      </c>
      <c r="R630" s="2">
        <v>41700</v>
      </c>
      <c r="S630" s="4">
        <f>SUM($R$2:R630) / SUM($R:$R)</f>
        <v>0.99492474176011869</v>
      </c>
      <c r="T630" s="3" t="str">
        <f t="shared" si="54"/>
        <v>C</v>
      </c>
      <c r="U630" s="2">
        <f t="shared" si="55"/>
        <v>347.5</v>
      </c>
      <c r="V630" s="2">
        <f t="shared" si="56"/>
        <v>18.53988329864222</v>
      </c>
      <c r="W630" s="2">
        <f t="shared" si="57"/>
        <v>5.3352182154366101E-2</v>
      </c>
      <c r="X630" s="2" t="str">
        <f t="shared" si="58"/>
        <v>X</v>
      </c>
      <c r="Y630" s="2" t="str">
        <f t="shared" si="59"/>
        <v>CX</v>
      </c>
    </row>
    <row r="631" spans="1:25" x14ac:dyDescent="0.3">
      <c r="A631" s="2" t="s">
        <v>1665</v>
      </c>
      <c r="B631" s="2" t="s">
        <v>1666</v>
      </c>
      <c r="C631" s="2" t="s">
        <v>20</v>
      </c>
      <c r="D631" s="2">
        <v>1681</v>
      </c>
      <c r="E631" s="2">
        <v>1901</v>
      </c>
      <c r="F631" s="2">
        <v>1943</v>
      </c>
      <c r="G631" s="2">
        <v>1401</v>
      </c>
      <c r="H631" s="2">
        <v>1758</v>
      </c>
      <c r="I631" s="2">
        <v>1483</v>
      </c>
      <c r="J631" s="2">
        <v>1850</v>
      </c>
      <c r="K631" s="2">
        <v>2016</v>
      </c>
      <c r="L631" s="2">
        <v>1645</v>
      </c>
      <c r="M631" s="2">
        <v>1803</v>
      </c>
      <c r="N631" s="2">
        <v>1776</v>
      </c>
      <c r="O631" s="2">
        <v>1501</v>
      </c>
      <c r="P631" s="2">
        <v>20758</v>
      </c>
      <c r="Q631" s="2">
        <v>2</v>
      </c>
      <c r="R631" s="2">
        <v>41516</v>
      </c>
      <c r="S631" s="4">
        <f>SUM($R$2:R631) / SUM($R:$R)</f>
        <v>0.99496345897403116</v>
      </c>
      <c r="T631" s="3" t="str">
        <f t="shared" si="54"/>
        <v>C</v>
      </c>
      <c r="U631" s="2">
        <f t="shared" si="55"/>
        <v>1729.8333333333333</v>
      </c>
      <c r="V631" s="2">
        <f t="shared" si="56"/>
        <v>193.14423876910422</v>
      </c>
      <c r="W631" s="2">
        <f t="shared" si="57"/>
        <v>0.11165482537957658</v>
      </c>
      <c r="X631" s="2" t="str">
        <f t="shared" si="58"/>
        <v>X</v>
      </c>
      <c r="Y631" s="2" t="str">
        <f t="shared" si="59"/>
        <v>CX</v>
      </c>
    </row>
    <row r="632" spans="1:25" x14ac:dyDescent="0.3">
      <c r="A632" s="2" t="s">
        <v>1777</v>
      </c>
      <c r="B632" s="2" t="s">
        <v>1778</v>
      </c>
      <c r="C632" s="2" t="s">
        <v>20</v>
      </c>
      <c r="D632" s="2">
        <v>1563</v>
      </c>
      <c r="E632" s="2">
        <v>1718</v>
      </c>
      <c r="F632" s="2">
        <v>1716</v>
      </c>
      <c r="G632" s="2">
        <v>1947</v>
      </c>
      <c r="H632" s="2">
        <v>1601</v>
      </c>
      <c r="I632" s="2">
        <v>1881</v>
      </c>
      <c r="J632" s="2">
        <v>1718</v>
      </c>
      <c r="K632" s="2">
        <v>1801</v>
      </c>
      <c r="L632" s="2">
        <v>1828</v>
      </c>
      <c r="M632" s="2">
        <v>1567</v>
      </c>
      <c r="N632" s="2">
        <v>1534</v>
      </c>
      <c r="O632" s="2">
        <v>1750</v>
      </c>
      <c r="P632" s="2">
        <v>20624</v>
      </c>
      <c r="Q632" s="2">
        <v>2</v>
      </c>
      <c r="R632" s="2">
        <v>41248</v>
      </c>
      <c r="S632" s="4">
        <f>SUM($R$2:R632) / SUM($R:$R)</f>
        <v>0.99500192625506634</v>
      </c>
      <c r="T632" s="3" t="str">
        <f t="shared" si="54"/>
        <v>C</v>
      </c>
      <c r="U632" s="2">
        <f t="shared" si="55"/>
        <v>1718.6666666666667</v>
      </c>
      <c r="V632" s="2">
        <f t="shared" si="56"/>
        <v>132.59393468462846</v>
      </c>
      <c r="W632" s="2">
        <f t="shared" si="57"/>
        <v>7.7149302570575132E-2</v>
      </c>
      <c r="X632" s="2" t="str">
        <f t="shared" si="58"/>
        <v>X</v>
      </c>
      <c r="Y632" s="2" t="str">
        <f t="shared" si="59"/>
        <v>CX</v>
      </c>
    </row>
    <row r="633" spans="1:25" x14ac:dyDescent="0.3">
      <c r="A633" s="2" t="s">
        <v>847</v>
      </c>
      <c r="B633" s="2" t="s">
        <v>848</v>
      </c>
      <c r="C633" s="2" t="s">
        <v>20</v>
      </c>
      <c r="D633" s="2">
        <v>1776</v>
      </c>
      <c r="E633" s="2">
        <v>1547</v>
      </c>
      <c r="F633" s="2">
        <v>1919</v>
      </c>
      <c r="G633" s="2">
        <v>1664</v>
      </c>
      <c r="H633" s="2">
        <v>1710</v>
      </c>
      <c r="I633" s="2">
        <v>1732</v>
      </c>
      <c r="J633" s="2">
        <v>1690</v>
      </c>
      <c r="K633" s="2">
        <v>1500</v>
      </c>
      <c r="L633" s="2">
        <v>1548</v>
      </c>
      <c r="M633" s="2">
        <v>2079</v>
      </c>
      <c r="N633" s="2">
        <v>1842</v>
      </c>
      <c r="O633" s="2">
        <v>1544</v>
      </c>
      <c r="P633" s="2">
        <v>20551</v>
      </c>
      <c r="Q633" s="2">
        <v>2</v>
      </c>
      <c r="R633" s="2">
        <v>41102</v>
      </c>
      <c r="S633" s="4">
        <f>SUM($R$2:R633) / SUM($R:$R)</f>
        <v>0.99504025737863866</v>
      </c>
      <c r="T633" s="3" t="str">
        <f t="shared" si="54"/>
        <v>C</v>
      </c>
      <c r="U633" s="2">
        <f t="shared" si="55"/>
        <v>1712.5833333333333</v>
      </c>
      <c r="V633" s="2">
        <f t="shared" si="56"/>
        <v>172.94531891130598</v>
      </c>
      <c r="W633" s="2">
        <f t="shared" si="57"/>
        <v>0.10098505313297026</v>
      </c>
      <c r="X633" s="2" t="str">
        <f t="shared" si="58"/>
        <v>X</v>
      </c>
      <c r="Y633" s="2" t="str">
        <f t="shared" si="59"/>
        <v>CX</v>
      </c>
    </row>
    <row r="634" spans="1:25" x14ac:dyDescent="0.3">
      <c r="A634" s="2" t="s">
        <v>979</v>
      </c>
      <c r="B634" s="2" t="s">
        <v>980</v>
      </c>
      <c r="C634" s="2" t="s">
        <v>20</v>
      </c>
      <c r="D634" s="2">
        <v>1675</v>
      </c>
      <c r="E634" s="2">
        <v>1603</v>
      </c>
      <c r="F634" s="2">
        <v>1682</v>
      </c>
      <c r="G634" s="2">
        <v>1662</v>
      </c>
      <c r="H634" s="2">
        <v>1446</v>
      </c>
      <c r="I634" s="2">
        <v>2109</v>
      </c>
      <c r="J634" s="2">
        <v>1570</v>
      </c>
      <c r="K634" s="2">
        <v>1704</v>
      </c>
      <c r="L634" s="2">
        <v>1674</v>
      </c>
      <c r="M634" s="2">
        <v>1809</v>
      </c>
      <c r="N634" s="2">
        <v>1694</v>
      </c>
      <c r="O634" s="2">
        <v>1693</v>
      </c>
      <c r="P634" s="2">
        <v>20321</v>
      </c>
      <c r="Q634" s="2">
        <v>2</v>
      </c>
      <c r="R634" s="2">
        <v>40642</v>
      </c>
      <c r="S634" s="4">
        <f>SUM($R$2:R634) / SUM($R:$R)</f>
        <v>0.9950781595129442</v>
      </c>
      <c r="T634" s="3" t="str">
        <f t="shared" si="54"/>
        <v>C</v>
      </c>
      <c r="U634" s="2">
        <f t="shared" si="55"/>
        <v>1693.4166666666667</v>
      </c>
      <c r="V634" s="2">
        <f t="shared" si="56"/>
        <v>157.43307861572242</v>
      </c>
      <c r="W634" s="2">
        <f t="shared" si="57"/>
        <v>9.2967715338254459E-2</v>
      </c>
      <c r="X634" s="2" t="str">
        <f t="shared" si="58"/>
        <v>X</v>
      </c>
      <c r="Y634" s="2" t="str">
        <f t="shared" si="59"/>
        <v>CX</v>
      </c>
    </row>
    <row r="635" spans="1:25" x14ac:dyDescent="0.3">
      <c r="A635" s="2" t="s">
        <v>1869</v>
      </c>
      <c r="B635" s="2" t="s">
        <v>1870</v>
      </c>
      <c r="C635" s="2" t="s">
        <v>25</v>
      </c>
      <c r="D635" s="2">
        <v>354</v>
      </c>
      <c r="E635" s="2">
        <v>409</v>
      </c>
      <c r="F635" s="2">
        <v>152</v>
      </c>
      <c r="G635" s="2">
        <v>581</v>
      </c>
      <c r="H635" s="2">
        <v>596</v>
      </c>
      <c r="I635" s="2">
        <v>253</v>
      </c>
      <c r="J635" s="2">
        <v>224</v>
      </c>
      <c r="K635" s="2">
        <v>306</v>
      </c>
      <c r="L635" s="2">
        <v>336</v>
      </c>
      <c r="M635" s="2">
        <v>278</v>
      </c>
      <c r="N635" s="2">
        <v>131</v>
      </c>
      <c r="O635" s="2">
        <v>423</v>
      </c>
      <c r="P635" s="2">
        <v>4043</v>
      </c>
      <c r="Q635" s="2">
        <v>10</v>
      </c>
      <c r="R635" s="2">
        <v>40430</v>
      </c>
      <c r="S635" s="4">
        <f>SUM($R$2:R635) / SUM($R:$R)</f>
        <v>0.99511586393915286</v>
      </c>
      <c r="T635" s="3" t="str">
        <f t="shared" si="54"/>
        <v>C</v>
      </c>
      <c r="U635" s="2">
        <f t="shared" si="55"/>
        <v>336.91666666666669</v>
      </c>
      <c r="V635" s="2">
        <f t="shared" si="56"/>
        <v>147.8374158159954</v>
      </c>
      <c r="W635" s="2">
        <f t="shared" si="57"/>
        <v>0.43879519905811148</v>
      </c>
      <c r="X635" s="2" t="str">
        <f t="shared" si="58"/>
        <v>Y</v>
      </c>
      <c r="Y635" s="2" t="str">
        <f t="shared" si="59"/>
        <v>CY</v>
      </c>
    </row>
    <row r="636" spans="1:25" x14ac:dyDescent="0.3">
      <c r="A636" s="2" t="s">
        <v>67</v>
      </c>
      <c r="B636" s="2" t="s">
        <v>68</v>
      </c>
      <c r="C636" s="2" t="s">
        <v>20</v>
      </c>
      <c r="D636" s="2">
        <v>1510</v>
      </c>
      <c r="E636" s="2">
        <v>1620</v>
      </c>
      <c r="F636" s="2">
        <v>1741</v>
      </c>
      <c r="G636" s="2">
        <v>1708</v>
      </c>
      <c r="H636" s="2">
        <v>1432</v>
      </c>
      <c r="I636" s="2">
        <v>1739</v>
      </c>
      <c r="J636" s="2">
        <v>1835</v>
      </c>
      <c r="K636" s="2">
        <v>2063</v>
      </c>
      <c r="L636" s="2">
        <v>1718</v>
      </c>
      <c r="M636" s="2">
        <v>1557</v>
      </c>
      <c r="N636" s="2">
        <v>1764</v>
      </c>
      <c r="O636" s="2">
        <v>1378</v>
      </c>
      <c r="P636" s="2">
        <v>20065</v>
      </c>
      <c r="Q636" s="2">
        <v>2</v>
      </c>
      <c r="R636" s="2">
        <v>40130</v>
      </c>
      <c r="S636" s="4">
        <f>SUM($R$2:R636) / SUM($R:$R)</f>
        <v>0.99515328858975283</v>
      </c>
      <c r="T636" s="3" t="str">
        <f t="shared" si="54"/>
        <v>C</v>
      </c>
      <c r="U636" s="2">
        <f t="shared" si="55"/>
        <v>1672.0833333333333</v>
      </c>
      <c r="V636" s="2">
        <f t="shared" si="56"/>
        <v>187.51603971798056</v>
      </c>
      <c r="W636" s="2">
        <f t="shared" si="57"/>
        <v>0.11214515208650719</v>
      </c>
      <c r="X636" s="2" t="str">
        <f t="shared" si="58"/>
        <v>X</v>
      </c>
      <c r="Y636" s="2" t="str">
        <f t="shared" si="59"/>
        <v>CX</v>
      </c>
    </row>
    <row r="637" spans="1:25" x14ac:dyDescent="0.3">
      <c r="A637" s="2" t="s">
        <v>263</v>
      </c>
      <c r="B637" s="2" t="s">
        <v>264</v>
      </c>
      <c r="C637" s="2" t="s">
        <v>36</v>
      </c>
      <c r="D637" s="2">
        <v>343</v>
      </c>
      <c r="E637" s="2">
        <v>357</v>
      </c>
      <c r="F637" s="2">
        <v>337</v>
      </c>
      <c r="G637" s="2">
        <v>303</v>
      </c>
      <c r="H637" s="2">
        <v>363</v>
      </c>
      <c r="I637" s="2">
        <v>332</v>
      </c>
      <c r="J637" s="2">
        <v>344</v>
      </c>
      <c r="K637" s="2">
        <v>342</v>
      </c>
      <c r="L637" s="2">
        <v>316</v>
      </c>
      <c r="M637" s="2">
        <v>327</v>
      </c>
      <c r="N637" s="2">
        <v>296</v>
      </c>
      <c r="O637" s="2">
        <v>352</v>
      </c>
      <c r="P637" s="2">
        <v>4012</v>
      </c>
      <c r="Q637" s="2">
        <v>10</v>
      </c>
      <c r="R637" s="2">
        <v>40120</v>
      </c>
      <c r="S637" s="4">
        <f>SUM($R$2:R637) / SUM($R:$R)</f>
        <v>0.99519070391449904</v>
      </c>
      <c r="T637" s="3" t="str">
        <f t="shared" si="54"/>
        <v>C</v>
      </c>
      <c r="U637" s="2">
        <f t="shared" si="55"/>
        <v>334.33333333333331</v>
      </c>
      <c r="V637" s="2">
        <f t="shared" si="56"/>
        <v>20.733518463560106</v>
      </c>
      <c r="W637" s="2">
        <f t="shared" si="57"/>
        <v>6.2014511855114973E-2</v>
      </c>
      <c r="X637" s="2" t="str">
        <f t="shared" si="58"/>
        <v>X</v>
      </c>
      <c r="Y637" s="2" t="str">
        <f t="shared" si="59"/>
        <v>CX</v>
      </c>
    </row>
    <row r="638" spans="1:25" x14ac:dyDescent="0.3">
      <c r="A638" s="2" t="s">
        <v>609</v>
      </c>
      <c r="B638" s="2" t="s">
        <v>610</v>
      </c>
      <c r="C638" s="2" t="s">
        <v>20</v>
      </c>
      <c r="D638" s="2">
        <v>1814</v>
      </c>
      <c r="E638" s="2">
        <v>1758</v>
      </c>
      <c r="F638" s="2">
        <v>1459</v>
      </c>
      <c r="G638" s="2">
        <v>1622</v>
      </c>
      <c r="H638" s="2">
        <v>1419</v>
      </c>
      <c r="I638" s="2">
        <v>1602</v>
      </c>
      <c r="J638" s="2">
        <v>1389</v>
      </c>
      <c r="K638" s="2">
        <v>1443</v>
      </c>
      <c r="L638" s="2">
        <v>2227</v>
      </c>
      <c r="M638" s="2">
        <v>1821</v>
      </c>
      <c r="N638" s="2">
        <v>1749</v>
      </c>
      <c r="O638" s="2">
        <v>1588</v>
      </c>
      <c r="P638" s="2">
        <v>19891</v>
      </c>
      <c r="Q638" s="2">
        <v>2</v>
      </c>
      <c r="R638" s="2">
        <v>39782</v>
      </c>
      <c r="S638" s="4">
        <f>SUM($R$2:R638) / SUM($R:$R)</f>
        <v>0.99522780402539279</v>
      </c>
      <c r="T638" s="3" t="str">
        <f t="shared" si="54"/>
        <v>C</v>
      </c>
      <c r="U638" s="2">
        <f t="shared" si="55"/>
        <v>1657.5833333333333</v>
      </c>
      <c r="V638" s="2">
        <f t="shared" si="56"/>
        <v>236.94742736171128</v>
      </c>
      <c r="W638" s="2">
        <f t="shared" si="57"/>
        <v>0.14294752040322434</v>
      </c>
      <c r="X638" s="2" t="str">
        <f t="shared" si="58"/>
        <v>X</v>
      </c>
      <c r="Y638" s="2" t="str">
        <f t="shared" si="59"/>
        <v>CX</v>
      </c>
    </row>
    <row r="639" spans="1:25" x14ac:dyDescent="0.3">
      <c r="A639" s="2" t="s">
        <v>579</v>
      </c>
      <c r="B639" s="2" t="s">
        <v>580</v>
      </c>
      <c r="C639" s="2" t="s">
        <v>20</v>
      </c>
      <c r="D639" s="2">
        <v>1916</v>
      </c>
      <c r="E639" s="2">
        <v>1698</v>
      </c>
      <c r="F639" s="2">
        <v>1674</v>
      </c>
      <c r="G639" s="2">
        <v>1620</v>
      </c>
      <c r="H639" s="2">
        <v>1796</v>
      </c>
      <c r="I639" s="2">
        <v>1618</v>
      </c>
      <c r="J639" s="2">
        <v>1720</v>
      </c>
      <c r="K639" s="2">
        <v>1415</v>
      </c>
      <c r="L639" s="2">
        <v>1609</v>
      </c>
      <c r="M639" s="2">
        <v>1616</v>
      </c>
      <c r="N639" s="2">
        <v>1508</v>
      </c>
      <c r="O639" s="2">
        <v>1692</v>
      </c>
      <c r="P639" s="2">
        <v>19882</v>
      </c>
      <c r="Q639" s="2">
        <v>2</v>
      </c>
      <c r="R639" s="2">
        <v>39764</v>
      </c>
      <c r="S639" s="4">
        <f>SUM($R$2:R639) / SUM($R:$R)</f>
        <v>0.99526488734975005</v>
      </c>
      <c r="T639" s="3" t="str">
        <f t="shared" si="54"/>
        <v>C</v>
      </c>
      <c r="U639" s="2">
        <f t="shared" si="55"/>
        <v>1656.8333333333333</v>
      </c>
      <c r="V639" s="2">
        <f t="shared" si="56"/>
        <v>128.34812980422592</v>
      </c>
      <c r="W639" s="2">
        <f t="shared" si="57"/>
        <v>7.7465926850956199E-2</v>
      </c>
      <c r="X639" s="2" t="str">
        <f t="shared" si="58"/>
        <v>X</v>
      </c>
      <c r="Y639" s="2" t="str">
        <f t="shared" si="59"/>
        <v>CX</v>
      </c>
    </row>
    <row r="640" spans="1:25" x14ac:dyDescent="0.3">
      <c r="A640" s="2" t="s">
        <v>145</v>
      </c>
      <c r="B640" s="2" t="s">
        <v>146</v>
      </c>
      <c r="C640" s="2" t="s">
        <v>20</v>
      </c>
      <c r="D640" s="2">
        <v>1413</v>
      </c>
      <c r="E640" s="2">
        <v>1642</v>
      </c>
      <c r="F640" s="2">
        <v>1571</v>
      </c>
      <c r="G640" s="2">
        <v>1684</v>
      </c>
      <c r="H640" s="2">
        <v>1569</v>
      </c>
      <c r="I640" s="2">
        <v>1954</v>
      </c>
      <c r="J640" s="2">
        <v>1409</v>
      </c>
      <c r="K640" s="2">
        <v>1750</v>
      </c>
      <c r="L640" s="2">
        <v>1685</v>
      </c>
      <c r="M640" s="2">
        <v>1718</v>
      </c>
      <c r="N640" s="2">
        <v>1676</v>
      </c>
      <c r="O640" s="2">
        <v>1742</v>
      </c>
      <c r="P640" s="2">
        <v>19813</v>
      </c>
      <c r="Q640" s="2">
        <v>2</v>
      </c>
      <c r="R640" s="2">
        <v>39626</v>
      </c>
      <c r="S640" s="4">
        <f>SUM($R$2:R640) / SUM($R:$R)</f>
        <v>0.99530184197732718</v>
      </c>
      <c r="T640" s="3" t="str">
        <f t="shared" si="54"/>
        <v>C</v>
      </c>
      <c r="U640" s="2">
        <f t="shared" si="55"/>
        <v>1651.0833333333333</v>
      </c>
      <c r="V640" s="2">
        <f t="shared" si="56"/>
        <v>149.44227120946209</v>
      </c>
      <c r="W640" s="2">
        <f t="shared" si="57"/>
        <v>9.0511646621589115E-2</v>
      </c>
      <c r="X640" s="2" t="str">
        <f t="shared" si="58"/>
        <v>X</v>
      </c>
      <c r="Y640" s="2" t="str">
        <f t="shared" si="59"/>
        <v>CX</v>
      </c>
    </row>
    <row r="641" spans="1:25" x14ac:dyDescent="0.3">
      <c r="A641" s="2" t="s">
        <v>525</v>
      </c>
      <c r="B641" s="2" t="s">
        <v>526</v>
      </c>
      <c r="C641" s="2" t="s">
        <v>36</v>
      </c>
      <c r="D641" s="2">
        <v>338</v>
      </c>
      <c r="E641" s="2">
        <v>298</v>
      </c>
      <c r="F641" s="2">
        <v>307</v>
      </c>
      <c r="G641" s="2">
        <v>349</v>
      </c>
      <c r="H641" s="2">
        <v>307</v>
      </c>
      <c r="I641" s="2">
        <v>337</v>
      </c>
      <c r="J641" s="2">
        <v>365</v>
      </c>
      <c r="K641" s="2">
        <v>346</v>
      </c>
      <c r="L641" s="2">
        <v>336</v>
      </c>
      <c r="M641" s="2">
        <v>325</v>
      </c>
      <c r="N641" s="2">
        <v>306</v>
      </c>
      <c r="O641" s="2">
        <v>341</v>
      </c>
      <c r="P641" s="2">
        <v>3955</v>
      </c>
      <c r="Q641" s="2">
        <v>10</v>
      </c>
      <c r="R641" s="2">
        <v>39550</v>
      </c>
      <c r="S641" s="4">
        <f>SUM($R$2:R641) / SUM($R:$R)</f>
        <v>0.99533872572841675</v>
      </c>
      <c r="T641" s="3" t="str">
        <f t="shared" si="54"/>
        <v>C</v>
      </c>
      <c r="U641" s="2">
        <f t="shared" si="55"/>
        <v>329.58333333333331</v>
      </c>
      <c r="V641" s="2">
        <f t="shared" si="56"/>
        <v>20.873899898430505</v>
      </c>
      <c r="W641" s="2">
        <f t="shared" si="57"/>
        <v>6.3334209552760062E-2</v>
      </c>
      <c r="X641" s="2" t="str">
        <f t="shared" si="58"/>
        <v>X</v>
      </c>
      <c r="Y641" s="2" t="str">
        <f t="shared" si="59"/>
        <v>CX</v>
      </c>
    </row>
    <row r="642" spans="1:25" x14ac:dyDescent="0.3">
      <c r="A642" s="2" t="s">
        <v>1747</v>
      </c>
      <c r="B642" s="2" t="s">
        <v>1748</v>
      </c>
      <c r="C642" s="2" t="s">
        <v>41</v>
      </c>
      <c r="D642" s="2">
        <v>346</v>
      </c>
      <c r="E642" s="2">
        <v>335</v>
      </c>
      <c r="F642" s="2">
        <v>325</v>
      </c>
      <c r="G642" s="2">
        <v>325</v>
      </c>
      <c r="H642" s="2">
        <v>346</v>
      </c>
      <c r="I642" s="2">
        <v>307</v>
      </c>
      <c r="J642" s="2">
        <v>343</v>
      </c>
      <c r="K642" s="2">
        <v>300</v>
      </c>
      <c r="L642" s="2">
        <v>322</v>
      </c>
      <c r="M642" s="2">
        <v>360</v>
      </c>
      <c r="N642" s="2">
        <v>331</v>
      </c>
      <c r="O642" s="2">
        <v>313</v>
      </c>
      <c r="P642" s="2">
        <v>3953</v>
      </c>
      <c r="Q642" s="2">
        <v>10</v>
      </c>
      <c r="R642" s="2">
        <v>39530</v>
      </c>
      <c r="S642" s="4">
        <f>SUM($R$2:R642) / SUM($R:$R)</f>
        <v>0.99537559082779914</v>
      </c>
      <c r="T642" s="3" t="str">
        <f t="shared" si="54"/>
        <v>C</v>
      </c>
      <c r="U642" s="2">
        <f t="shared" si="55"/>
        <v>329.41666666666669</v>
      </c>
      <c r="V642" s="2">
        <f t="shared" si="56"/>
        <v>17.671025762958738</v>
      </c>
      <c r="W642" s="2">
        <f t="shared" si="57"/>
        <v>5.3643387087150225E-2</v>
      </c>
      <c r="X642" s="2" t="str">
        <f t="shared" si="58"/>
        <v>X</v>
      </c>
      <c r="Y642" s="2" t="str">
        <f t="shared" si="59"/>
        <v>CX</v>
      </c>
    </row>
    <row r="643" spans="1:25" x14ac:dyDescent="0.3">
      <c r="A643" s="2" t="s">
        <v>1157</v>
      </c>
      <c r="B643" s="2" t="s">
        <v>1158</v>
      </c>
      <c r="C643" s="2" t="s">
        <v>56</v>
      </c>
      <c r="D643" s="2">
        <v>343</v>
      </c>
      <c r="E643" s="2">
        <v>330</v>
      </c>
      <c r="F643" s="2">
        <v>314</v>
      </c>
      <c r="G643" s="2">
        <v>339</v>
      </c>
      <c r="H643" s="2">
        <v>347</v>
      </c>
      <c r="I643" s="2">
        <v>311</v>
      </c>
      <c r="J643" s="2">
        <v>328</v>
      </c>
      <c r="K643" s="2">
        <v>316</v>
      </c>
      <c r="L643" s="2">
        <v>311</v>
      </c>
      <c r="M643" s="2">
        <v>332</v>
      </c>
      <c r="N643" s="2">
        <v>321</v>
      </c>
      <c r="O643" s="2">
        <v>349</v>
      </c>
      <c r="P643" s="2">
        <v>3941</v>
      </c>
      <c r="Q643" s="2">
        <v>10</v>
      </c>
      <c r="R643" s="2">
        <v>39410</v>
      </c>
      <c r="S643" s="4">
        <f>SUM($R$2:R643) / SUM($R:$R)</f>
        <v>0.99541234401693801</v>
      </c>
      <c r="T643" s="3" t="str">
        <f t="shared" ref="T643:T706" si="60">IF(S643&lt;=0.7, "A", IF(S643&lt;=0.9, "B", "C"))</f>
        <v>C</v>
      </c>
      <c r="U643" s="2">
        <f t="shared" ref="U643:U706" si="61">AVERAGE(D643:O643)</f>
        <v>328.41666666666669</v>
      </c>
      <c r="V643" s="2">
        <f t="shared" ref="V643:V706" si="62">_xlfn.STDEV.S(D643:O643)</f>
        <v>13.92485242835683</v>
      </c>
      <c r="W643" s="2">
        <f t="shared" ref="W643:W706" si="63">IF(U643=0,0,V643/U643)</f>
        <v>4.2399956645592984E-2</v>
      </c>
      <c r="X643" s="2" t="str">
        <f t="shared" ref="X643:X706" si="64">(IF(W643&lt;=0.2, "X", IF(W643&lt;=0.5, "Y", "Z")))</f>
        <v>X</v>
      </c>
      <c r="Y643" s="2" t="str">
        <f t="shared" ref="Y643:Y706" si="65">T643&amp;X643</f>
        <v>CX</v>
      </c>
    </row>
    <row r="644" spans="1:25" x14ac:dyDescent="0.3">
      <c r="A644" s="2" t="s">
        <v>1497</v>
      </c>
      <c r="B644" s="2" t="s">
        <v>1498</v>
      </c>
      <c r="C644" s="2" t="s">
        <v>20</v>
      </c>
      <c r="D644" s="2">
        <v>1474</v>
      </c>
      <c r="E644" s="2">
        <v>1722</v>
      </c>
      <c r="F644" s="2">
        <v>1742</v>
      </c>
      <c r="G644" s="2">
        <v>1800</v>
      </c>
      <c r="H644" s="2">
        <v>1761</v>
      </c>
      <c r="I644" s="2">
        <v>1692</v>
      </c>
      <c r="J644" s="2">
        <v>1680</v>
      </c>
      <c r="K644" s="2">
        <v>1431</v>
      </c>
      <c r="L644" s="2">
        <v>1250</v>
      </c>
      <c r="M644" s="2">
        <v>1844</v>
      </c>
      <c r="N644" s="2">
        <v>1411</v>
      </c>
      <c r="O644" s="2">
        <v>1739</v>
      </c>
      <c r="P644" s="2">
        <v>19546</v>
      </c>
      <c r="Q644" s="2">
        <v>2</v>
      </c>
      <c r="R644" s="2">
        <v>39092</v>
      </c>
      <c r="S644" s="4">
        <f>SUM($R$2:R644) / SUM($R:$R)</f>
        <v>0.99544880064393149</v>
      </c>
      <c r="T644" s="3" t="str">
        <f t="shared" si="60"/>
        <v>C</v>
      </c>
      <c r="U644" s="2">
        <f t="shared" si="61"/>
        <v>1628.8333333333333</v>
      </c>
      <c r="V644" s="2">
        <f t="shared" si="62"/>
        <v>187.65821607541241</v>
      </c>
      <c r="W644" s="2">
        <f t="shared" si="63"/>
        <v>0.1152102012127775</v>
      </c>
      <c r="X644" s="2" t="str">
        <f t="shared" si="64"/>
        <v>X</v>
      </c>
      <c r="Y644" s="2" t="str">
        <f t="shared" si="65"/>
        <v>CX</v>
      </c>
    </row>
    <row r="645" spans="1:25" x14ac:dyDescent="0.3">
      <c r="A645" s="2" t="s">
        <v>215</v>
      </c>
      <c r="B645" s="2" t="s">
        <v>216</v>
      </c>
      <c r="C645" s="2" t="s">
        <v>41</v>
      </c>
      <c r="D645" s="2">
        <v>309</v>
      </c>
      <c r="E645" s="2">
        <v>289</v>
      </c>
      <c r="F645" s="2">
        <v>353</v>
      </c>
      <c r="G645" s="2">
        <v>330</v>
      </c>
      <c r="H645" s="2">
        <v>307</v>
      </c>
      <c r="I645" s="2">
        <v>321</v>
      </c>
      <c r="J645" s="2">
        <v>306</v>
      </c>
      <c r="K645" s="2">
        <v>340</v>
      </c>
      <c r="L645" s="2">
        <v>320</v>
      </c>
      <c r="M645" s="2">
        <v>337</v>
      </c>
      <c r="N645" s="2">
        <v>347</v>
      </c>
      <c r="O645" s="2">
        <v>298</v>
      </c>
      <c r="P645" s="2">
        <v>3857</v>
      </c>
      <c r="Q645" s="2">
        <v>10</v>
      </c>
      <c r="R645" s="2">
        <v>38570</v>
      </c>
      <c r="S645" s="4">
        <f>SUM($R$2:R645) / SUM($R:$R)</f>
        <v>0.99548477046136585</v>
      </c>
      <c r="T645" s="3" t="str">
        <f t="shared" si="60"/>
        <v>C</v>
      </c>
      <c r="U645" s="2">
        <f t="shared" si="61"/>
        <v>321.41666666666669</v>
      </c>
      <c r="V645" s="2">
        <f t="shared" si="62"/>
        <v>20.259490854830723</v>
      </c>
      <c r="W645" s="2">
        <f t="shared" si="63"/>
        <v>6.303186161731103E-2</v>
      </c>
      <c r="X645" s="2" t="str">
        <f t="shared" si="64"/>
        <v>X</v>
      </c>
      <c r="Y645" s="2" t="str">
        <f t="shared" si="65"/>
        <v>CX</v>
      </c>
    </row>
    <row r="646" spans="1:25" x14ac:dyDescent="0.3">
      <c r="A646" s="2" t="s">
        <v>465</v>
      </c>
      <c r="B646" s="2" t="s">
        <v>466</v>
      </c>
      <c r="C646" s="2" t="s">
        <v>56</v>
      </c>
      <c r="D646" s="2">
        <v>330</v>
      </c>
      <c r="E646" s="2">
        <v>348</v>
      </c>
      <c r="F646" s="2">
        <v>266</v>
      </c>
      <c r="G646" s="2">
        <v>312</v>
      </c>
      <c r="H646" s="2">
        <v>324</v>
      </c>
      <c r="I646" s="2">
        <v>330</v>
      </c>
      <c r="J646" s="2">
        <v>278</v>
      </c>
      <c r="K646" s="2">
        <v>338</v>
      </c>
      <c r="L646" s="2">
        <v>333</v>
      </c>
      <c r="M646" s="2">
        <v>341</v>
      </c>
      <c r="N646" s="2">
        <v>335</v>
      </c>
      <c r="O646" s="2">
        <v>322</v>
      </c>
      <c r="P646" s="2">
        <v>3857</v>
      </c>
      <c r="Q646" s="2">
        <v>10</v>
      </c>
      <c r="R646" s="2">
        <v>38570</v>
      </c>
      <c r="S646" s="4">
        <f>SUM($R$2:R646) / SUM($R:$R)</f>
        <v>0.99552074027880011</v>
      </c>
      <c r="T646" s="3" t="str">
        <f t="shared" si="60"/>
        <v>C</v>
      </c>
      <c r="U646" s="2">
        <f t="shared" si="61"/>
        <v>321.41666666666669</v>
      </c>
      <c r="V646" s="2">
        <f t="shared" si="62"/>
        <v>25.014389798068169</v>
      </c>
      <c r="W646" s="2">
        <f t="shared" si="63"/>
        <v>7.7825428461710658E-2</v>
      </c>
      <c r="X646" s="2" t="str">
        <f t="shared" si="64"/>
        <v>X</v>
      </c>
      <c r="Y646" s="2" t="str">
        <f t="shared" si="65"/>
        <v>CX</v>
      </c>
    </row>
    <row r="647" spans="1:25" x14ac:dyDescent="0.3">
      <c r="A647" s="2" t="s">
        <v>705</v>
      </c>
      <c r="B647" s="2" t="s">
        <v>706</v>
      </c>
      <c r="C647" s="2" t="s">
        <v>20</v>
      </c>
      <c r="D647" s="2">
        <v>1713</v>
      </c>
      <c r="E647" s="2">
        <v>1450</v>
      </c>
      <c r="F647" s="2">
        <v>1684</v>
      </c>
      <c r="G647" s="2">
        <v>1756</v>
      </c>
      <c r="H647" s="2">
        <v>1340</v>
      </c>
      <c r="I647" s="2">
        <v>1185</v>
      </c>
      <c r="J647" s="2">
        <v>1831</v>
      </c>
      <c r="K647" s="2">
        <v>1407</v>
      </c>
      <c r="L647" s="2">
        <v>1566</v>
      </c>
      <c r="M647" s="2">
        <v>1633</v>
      </c>
      <c r="N647" s="2">
        <v>1531</v>
      </c>
      <c r="O647" s="2">
        <v>1850</v>
      </c>
      <c r="P647" s="2">
        <v>18946</v>
      </c>
      <c r="Q647" s="2">
        <v>2</v>
      </c>
      <c r="R647" s="2">
        <v>37892</v>
      </c>
      <c r="S647" s="4">
        <f>SUM($R$2:R647) / SUM($R:$R)</f>
        <v>0.99555607780335864</v>
      </c>
      <c r="T647" s="3" t="str">
        <f t="shared" si="60"/>
        <v>C</v>
      </c>
      <c r="U647" s="2">
        <f t="shared" si="61"/>
        <v>1578.8333333333333</v>
      </c>
      <c r="V647" s="2">
        <f t="shared" si="62"/>
        <v>204.76719966978641</v>
      </c>
      <c r="W647" s="2">
        <f t="shared" si="63"/>
        <v>0.12969526000408724</v>
      </c>
      <c r="X647" s="2" t="str">
        <f t="shared" si="64"/>
        <v>X</v>
      </c>
      <c r="Y647" s="2" t="str">
        <f t="shared" si="65"/>
        <v>CX</v>
      </c>
    </row>
    <row r="648" spans="1:25" x14ac:dyDescent="0.3">
      <c r="A648" s="2" t="s">
        <v>757</v>
      </c>
      <c r="B648" s="2" t="s">
        <v>758</v>
      </c>
      <c r="C648" s="2" t="s">
        <v>41</v>
      </c>
      <c r="D648" s="2">
        <v>337</v>
      </c>
      <c r="E648" s="2">
        <v>307</v>
      </c>
      <c r="F648" s="2">
        <v>325</v>
      </c>
      <c r="G648" s="2">
        <v>329</v>
      </c>
      <c r="H648" s="2">
        <v>335</v>
      </c>
      <c r="I648" s="2">
        <v>336</v>
      </c>
      <c r="J648" s="2">
        <v>303</v>
      </c>
      <c r="K648" s="2">
        <v>294</v>
      </c>
      <c r="L648" s="2">
        <v>317</v>
      </c>
      <c r="M648" s="2">
        <v>311</v>
      </c>
      <c r="N648" s="2">
        <v>276</v>
      </c>
      <c r="O648" s="2">
        <v>300</v>
      </c>
      <c r="P648" s="2">
        <v>3770</v>
      </c>
      <c r="Q648" s="2">
        <v>10</v>
      </c>
      <c r="R648" s="2">
        <v>37700</v>
      </c>
      <c r="S648" s="4">
        <f>SUM($R$2:R648) / SUM($R:$R)</f>
        <v>0.99559123627152746</v>
      </c>
      <c r="T648" s="3" t="str">
        <f t="shared" si="60"/>
        <v>C</v>
      </c>
      <c r="U648" s="2">
        <f t="shared" si="61"/>
        <v>314.16666666666669</v>
      </c>
      <c r="V648" s="2">
        <f t="shared" si="62"/>
        <v>19.135085971887221</v>
      </c>
      <c r="W648" s="2">
        <f t="shared" si="63"/>
        <v>6.0907435454282927E-2</v>
      </c>
      <c r="X648" s="2" t="str">
        <f t="shared" si="64"/>
        <v>X</v>
      </c>
      <c r="Y648" s="2" t="str">
        <f t="shared" si="65"/>
        <v>CX</v>
      </c>
    </row>
    <row r="649" spans="1:25" x14ac:dyDescent="0.3">
      <c r="A649" s="2" t="s">
        <v>1051</v>
      </c>
      <c r="B649" s="2" t="s">
        <v>1052</v>
      </c>
      <c r="C649" s="2" t="s">
        <v>41</v>
      </c>
      <c r="D649" s="2">
        <v>55</v>
      </c>
      <c r="E649" s="2">
        <v>57</v>
      </c>
      <c r="F649" s="2">
        <v>66</v>
      </c>
      <c r="G649" s="2">
        <v>75</v>
      </c>
      <c r="H649" s="2">
        <v>70</v>
      </c>
      <c r="I649" s="2">
        <v>67</v>
      </c>
      <c r="J649" s="2">
        <v>66</v>
      </c>
      <c r="K649" s="2">
        <v>62</v>
      </c>
      <c r="L649" s="2">
        <v>51</v>
      </c>
      <c r="M649" s="2">
        <v>51</v>
      </c>
      <c r="N649" s="2">
        <v>69</v>
      </c>
      <c r="O649" s="2">
        <v>65</v>
      </c>
      <c r="P649" s="2">
        <v>754</v>
      </c>
      <c r="Q649" s="2">
        <v>50</v>
      </c>
      <c r="R649" s="2">
        <v>37700</v>
      </c>
      <c r="S649" s="4">
        <f>SUM($R$2:R649) / SUM($R:$R)</f>
        <v>0.99562639473969627</v>
      </c>
      <c r="T649" s="3" t="str">
        <f t="shared" si="60"/>
        <v>C</v>
      </c>
      <c r="U649" s="2">
        <f t="shared" si="61"/>
        <v>62.833333333333336</v>
      </c>
      <c r="V649" s="2">
        <f t="shared" si="62"/>
        <v>7.7204961372997518</v>
      </c>
      <c r="W649" s="2">
        <f t="shared" si="63"/>
        <v>0.12287261756975731</v>
      </c>
      <c r="X649" s="2" t="str">
        <f t="shared" si="64"/>
        <v>X</v>
      </c>
      <c r="Y649" s="2" t="str">
        <f t="shared" si="65"/>
        <v>CX</v>
      </c>
    </row>
    <row r="650" spans="1:25" x14ac:dyDescent="0.3">
      <c r="A650" s="2" t="s">
        <v>943</v>
      </c>
      <c r="B650" s="2" t="s">
        <v>944</v>
      </c>
      <c r="C650" s="2" t="s">
        <v>36</v>
      </c>
      <c r="D650" s="2">
        <v>341</v>
      </c>
      <c r="E650" s="2">
        <v>299</v>
      </c>
      <c r="F650" s="2">
        <v>315</v>
      </c>
      <c r="G650" s="2">
        <v>313</v>
      </c>
      <c r="H650" s="2">
        <v>305</v>
      </c>
      <c r="I650" s="2">
        <v>298</v>
      </c>
      <c r="J650" s="2">
        <v>332</v>
      </c>
      <c r="K650" s="2">
        <v>332</v>
      </c>
      <c r="L650" s="2">
        <v>309</v>
      </c>
      <c r="M650" s="2">
        <v>312</v>
      </c>
      <c r="N650" s="2">
        <v>291</v>
      </c>
      <c r="O650" s="2">
        <v>302</v>
      </c>
      <c r="P650" s="2">
        <v>3749</v>
      </c>
      <c r="Q650" s="2">
        <v>10</v>
      </c>
      <c r="R650" s="2">
        <v>37490</v>
      </c>
      <c r="S650" s="4">
        <f>SUM($R$2:R650) / SUM($R:$R)</f>
        <v>0.99566135736493899</v>
      </c>
      <c r="T650" s="3" t="str">
        <f t="shared" si="60"/>
        <v>C</v>
      </c>
      <c r="U650" s="2">
        <f t="shared" si="61"/>
        <v>312.41666666666669</v>
      </c>
      <c r="V650" s="2">
        <f t="shared" si="62"/>
        <v>15.412263908585228</v>
      </c>
      <c r="W650" s="2">
        <f t="shared" si="63"/>
        <v>4.9332399814089815E-2</v>
      </c>
      <c r="X650" s="2" t="str">
        <f t="shared" si="64"/>
        <v>X</v>
      </c>
      <c r="Y650" s="2" t="str">
        <f t="shared" si="65"/>
        <v>CX</v>
      </c>
    </row>
    <row r="651" spans="1:25" x14ac:dyDescent="0.3">
      <c r="A651" s="2" t="s">
        <v>679</v>
      </c>
      <c r="B651" s="2" t="s">
        <v>680</v>
      </c>
      <c r="C651" s="2" t="s">
        <v>20</v>
      </c>
      <c r="D651" s="2">
        <v>1704</v>
      </c>
      <c r="E651" s="2">
        <v>1876</v>
      </c>
      <c r="F651" s="2">
        <v>1143</v>
      </c>
      <c r="G651" s="2">
        <v>1723</v>
      </c>
      <c r="H651" s="2">
        <v>1539</v>
      </c>
      <c r="I651" s="2">
        <v>1620</v>
      </c>
      <c r="J651" s="2">
        <v>1501</v>
      </c>
      <c r="K651" s="2">
        <v>1465</v>
      </c>
      <c r="L651" s="2">
        <v>1507</v>
      </c>
      <c r="M651" s="2">
        <v>1543</v>
      </c>
      <c r="N651" s="2">
        <v>1294</v>
      </c>
      <c r="O651" s="2">
        <v>1640</v>
      </c>
      <c r="P651" s="2">
        <v>18555</v>
      </c>
      <c r="Q651" s="2">
        <v>2</v>
      </c>
      <c r="R651" s="2">
        <v>37110</v>
      </c>
      <c r="S651" s="4">
        <f>SUM($R$2:R651) / SUM($R:$R)</f>
        <v>0.99569596560774398</v>
      </c>
      <c r="T651" s="3" t="str">
        <f t="shared" si="60"/>
        <v>C</v>
      </c>
      <c r="U651" s="2">
        <f t="shared" si="61"/>
        <v>1546.25</v>
      </c>
      <c r="V651" s="2">
        <f t="shared" si="62"/>
        <v>194.37130586960242</v>
      </c>
      <c r="W651" s="2">
        <f t="shared" si="63"/>
        <v>0.12570496741768952</v>
      </c>
      <c r="X651" s="2" t="str">
        <f t="shared" si="64"/>
        <v>X</v>
      </c>
      <c r="Y651" s="2" t="str">
        <f t="shared" si="65"/>
        <v>CX</v>
      </c>
    </row>
    <row r="652" spans="1:25" x14ac:dyDescent="0.3">
      <c r="A652" s="2" t="s">
        <v>835</v>
      </c>
      <c r="B652" s="2" t="s">
        <v>836</v>
      </c>
      <c r="C652" s="2" t="s">
        <v>56</v>
      </c>
      <c r="D652" s="2">
        <v>306</v>
      </c>
      <c r="E652" s="2">
        <v>288</v>
      </c>
      <c r="F652" s="2">
        <v>333</v>
      </c>
      <c r="G652" s="2">
        <v>327</v>
      </c>
      <c r="H652" s="2">
        <v>292</v>
      </c>
      <c r="I652" s="2">
        <v>305</v>
      </c>
      <c r="J652" s="2">
        <v>297</v>
      </c>
      <c r="K652" s="2">
        <v>333</v>
      </c>
      <c r="L652" s="2">
        <v>309</v>
      </c>
      <c r="M652" s="2">
        <v>295</v>
      </c>
      <c r="N652" s="2">
        <v>300</v>
      </c>
      <c r="O652" s="2">
        <v>301</v>
      </c>
      <c r="P652" s="2">
        <v>3686</v>
      </c>
      <c r="Q652" s="2">
        <v>10</v>
      </c>
      <c r="R652" s="2">
        <v>36860</v>
      </c>
      <c r="S652" s="4">
        <f>SUM($R$2:R652) / SUM($R:$R)</f>
        <v>0.99573034070420829</v>
      </c>
      <c r="T652" s="3" t="str">
        <f t="shared" si="60"/>
        <v>C</v>
      </c>
      <c r="U652" s="2">
        <f t="shared" si="61"/>
        <v>307.16666666666669</v>
      </c>
      <c r="V652" s="2">
        <f t="shared" si="62"/>
        <v>15.596231090953486</v>
      </c>
      <c r="W652" s="2">
        <f t="shared" si="63"/>
        <v>5.0774490800716721E-2</v>
      </c>
      <c r="X652" s="2" t="str">
        <f t="shared" si="64"/>
        <v>X</v>
      </c>
      <c r="Y652" s="2" t="str">
        <f t="shared" si="65"/>
        <v>CX</v>
      </c>
    </row>
    <row r="653" spans="1:25" x14ac:dyDescent="0.3">
      <c r="A653" s="2" t="s">
        <v>1615</v>
      </c>
      <c r="B653" s="2" t="s">
        <v>1616</v>
      </c>
      <c r="C653" s="2" t="s">
        <v>20</v>
      </c>
      <c r="D653" s="2">
        <v>1613</v>
      </c>
      <c r="E653" s="2">
        <v>1776</v>
      </c>
      <c r="F653" s="2">
        <v>1769</v>
      </c>
      <c r="G653" s="2">
        <v>1271</v>
      </c>
      <c r="H653" s="2">
        <v>1784</v>
      </c>
      <c r="I653" s="2">
        <v>1597</v>
      </c>
      <c r="J653" s="2">
        <v>1339</v>
      </c>
      <c r="K653" s="2">
        <v>1036</v>
      </c>
      <c r="L653" s="2">
        <v>1628</v>
      </c>
      <c r="M653" s="2">
        <v>1309</v>
      </c>
      <c r="N653" s="2">
        <v>1544</v>
      </c>
      <c r="O653" s="2">
        <v>1687</v>
      </c>
      <c r="P653" s="2">
        <v>18353</v>
      </c>
      <c r="Q653" s="2">
        <v>2</v>
      </c>
      <c r="R653" s="2">
        <v>36706</v>
      </c>
      <c r="S653" s="4">
        <f>SUM($R$2:R653) / SUM($R:$R)</f>
        <v>0.99576457218252667</v>
      </c>
      <c r="T653" s="3" t="str">
        <f t="shared" si="60"/>
        <v>C</v>
      </c>
      <c r="U653" s="2">
        <f t="shared" si="61"/>
        <v>1529.4166666666667</v>
      </c>
      <c r="V653" s="2">
        <f t="shared" si="62"/>
        <v>238.25405017384813</v>
      </c>
      <c r="W653" s="2">
        <f t="shared" si="63"/>
        <v>0.1557809950463781</v>
      </c>
      <c r="X653" s="2" t="str">
        <f t="shared" si="64"/>
        <v>X</v>
      </c>
      <c r="Y653" s="2" t="str">
        <f t="shared" si="65"/>
        <v>CX</v>
      </c>
    </row>
    <row r="654" spans="1:25" x14ac:dyDescent="0.3">
      <c r="A654" s="2" t="s">
        <v>1363</v>
      </c>
      <c r="B654" s="2" t="s">
        <v>1364</v>
      </c>
      <c r="C654" s="2" t="s">
        <v>36</v>
      </c>
      <c r="D654" s="2">
        <v>330</v>
      </c>
      <c r="E654" s="2">
        <v>295</v>
      </c>
      <c r="F654" s="2">
        <v>260</v>
      </c>
      <c r="G654" s="2">
        <v>283</v>
      </c>
      <c r="H654" s="2">
        <v>295</v>
      </c>
      <c r="I654" s="2">
        <v>274</v>
      </c>
      <c r="J654" s="2">
        <v>337</v>
      </c>
      <c r="K654" s="2">
        <v>298</v>
      </c>
      <c r="L654" s="2">
        <v>301</v>
      </c>
      <c r="M654" s="2">
        <v>333</v>
      </c>
      <c r="N654" s="2">
        <v>339</v>
      </c>
      <c r="O654" s="2">
        <v>307</v>
      </c>
      <c r="P654" s="2">
        <v>3652</v>
      </c>
      <c r="Q654" s="2">
        <v>10</v>
      </c>
      <c r="R654" s="2">
        <v>36520</v>
      </c>
      <c r="S654" s="4">
        <f>SUM($R$2:R654) / SUM($R:$R)</f>
        <v>0.99579863019996773</v>
      </c>
      <c r="T654" s="3" t="str">
        <f t="shared" si="60"/>
        <v>C</v>
      </c>
      <c r="U654" s="2">
        <f t="shared" si="61"/>
        <v>304.33333333333331</v>
      </c>
      <c r="V654" s="2">
        <f t="shared" si="62"/>
        <v>25.801104040272577</v>
      </c>
      <c r="W654" s="2">
        <f t="shared" si="63"/>
        <v>8.4779093232001904E-2</v>
      </c>
      <c r="X654" s="2" t="str">
        <f t="shared" si="64"/>
        <v>X</v>
      </c>
      <c r="Y654" s="2" t="str">
        <f t="shared" si="65"/>
        <v>CX</v>
      </c>
    </row>
    <row r="655" spans="1:25" x14ac:dyDescent="0.3">
      <c r="A655" s="2" t="s">
        <v>1137</v>
      </c>
      <c r="B655" s="2" t="s">
        <v>1138</v>
      </c>
      <c r="C655" s="2" t="s">
        <v>20</v>
      </c>
      <c r="D655" s="2">
        <v>1405</v>
      </c>
      <c r="E655" s="2">
        <v>1861</v>
      </c>
      <c r="F655" s="2">
        <v>1552</v>
      </c>
      <c r="G655" s="2">
        <v>1456</v>
      </c>
      <c r="H655" s="2">
        <v>1357</v>
      </c>
      <c r="I655" s="2">
        <v>1343</v>
      </c>
      <c r="J655" s="2">
        <v>1669</v>
      </c>
      <c r="K655" s="2">
        <v>1573</v>
      </c>
      <c r="L655" s="2">
        <v>1359</v>
      </c>
      <c r="M655" s="2">
        <v>1709</v>
      </c>
      <c r="N655" s="2">
        <v>1548</v>
      </c>
      <c r="O655" s="2">
        <v>1329</v>
      </c>
      <c r="P655" s="2">
        <v>18161</v>
      </c>
      <c r="Q655" s="2">
        <v>2</v>
      </c>
      <c r="R655" s="2">
        <v>36322</v>
      </c>
      <c r="S655" s="4">
        <f>SUM($R$2:R655) / SUM($R:$R)</f>
        <v>0.99583250356550701</v>
      </c>
      <c r="T655" s="3" t="str">
        <f t="shared" si="60"/>
        <v>C</v>
      </c>
      <c r="U655" s="2">
        <f t="shared" si="61"/>
        <v>1513.4166666666667</v>
      </c>
      <c r="V655" s="2">
        <f t="shared" si="62"/>
        <v>169.47000717924527</v>
      </c>
      <c r="W655" s="2">
        <f t="shared" si="63"/>
        <v>0.11197842002923535</v>
      </c>
      <c r="X655" s="2" t="str">
        <f t="shared" si="64"/>
        <v>X</v>
      </c>
      <c r="Y655" s="2" t="str">
        <f t="shared" si="65"/>
        <v>CX</v>
      </c>
    </row>
    <row r="656" spans="1:25" x14ac:dyDescent="0.3">
      <c r="A656" s="2" t="s">
        <v>1469</v>
      </c>
      <c r="B656" s="2" t="s">
        <v>1470</v>
      </c>
      <c r="C656" s="2" t="s">
        <v>41</v>
      </c>
      <c r="D656" s="2">
        <v>66</v>
      </c>
      <c r="E656" s="2">
        <v>59</v>
      </c>
      <c r="F656" s="2">
        <v>54</v>
      </c>
      <c r="G656" s="2">
        <v>59</v>
      </c>
      <c r="H656" s="2">
        <v>62</v>
      </c>
      <c r="I656" s="2">
        <v>70</v>
      </c>
      <c r="J656" s="2">
        <v>65</v>
      </c>
      <c r="K656" s="2">
        <v>49</v>
      </c>
      <c r="L656" s="2">
        <v>68</v>
      </c>
      <c r="M656" s="2">
        <v>54</v>
      </c>
      <c r="N656" s="2">
        <v>58</v>
      </c>
      <c r="O656" s="2">
        <v>61</v>
      </c>
      <c r="P656" s="2">
        <v>725</v>
      </c>
      <c r="Q656" s="2">
        <v>50</v>
      </c>
      <c r="R656" s="2">
        <v>36250</v>
      </c>
      <c r="S656" s="4">
        <f>SUM($R$2:R656) / SUM($R:$R)</f>
        <v>0.99586630978490009</v>
      </c>
      <c r="T656" s="3" t="str">
        <f t="shared" si="60"/>
        <v>C</v>
      </c>
      <c r="U656" s="2">
        <f t="shared" si="61"/>
        <v>60.416666666666664</v>
      </c>
      <c r="V656" s="2">
        <f t="shared" si="62"/>
        <v>6.2298158929944352</v>
      </c>
      <c r="W656" s="2">
        <f t="shared" si="63"/>
        <v>0.10311419409094238</v>
      </c>
      <c r="X656" s="2" t="str">
        <f t="shared" si="64"/>
        <v>X</v>
      </c>
      <c r="Y656" s="2" t="str">
        <f t="shared" si="65"/>
        <v>CX</v>
      </c>
    </row>
    <row r="657" spans="1:25" x14ac:dyDescent="0.3">
      <c r="A657" s="2" t="s">
        <v>1281</v>
      </c>
      <c r="B657" s="2" t="s">
        <v>1282</v>
      </c>
      <c r="C657" s="2" t="s">
        <v>36</v>
      </c>
      <c r="D657" s="2">
        <v>278</v>
      </c>
      <c r="E657" s="2">
        <v>274</v>
      </c>
      <c r="F657" s="2">
        <v>309</v>
      </c>
      <c r="G657" s="2">
        <v>313</v>
      </c>
      <c r="H657" s="2">
        <v>298</v>
      </c>
      <c r="I657" s="2">
        <v>301</v>
      </c>
      <c r="J657" s="2">
        <v>321</v>
      </c>
      <c r="K657" s="2">
        <v>286</v>
      </c>
      <c r="L657" s="2">
        <v>335</v>
      </c>
      <c r="M657" s="2">
        <v>297</v>
      </c>
      <c r="N657" s="2">
        <v>317</v>
      </c>
      <c r="O657" s="2">
        <v>292</v>
      </c>
      <c r="P657" s="2">
        <v>3621</v>
      </c>
      <c r="Q657" s="2">
        <v>10</v>
      </c>
      <c r="R657" s="2">
        <v>36210</v>
      </c>
      <c r="S657" s="4">
        <f>SUM($R$2:R657) / SUM($R:$R)</f>
        <v>0.99590007870087871</v>
      </c>
      <c r="T657" s="3" t="str">
        <f t="shared" si="60"/>
        <v>C</v>
      </c>
      <c r="U657" s="2">
        <f t="shared" si="61"/>
        <v>301.75</v>
      </c>
      <c r="V657" s="2">
        <f t="shared" si="62"/>
        <v>18.096333129318566</v>
      </c>
      <c r="W657" s="2">
        <f t="shared" si="63"/>
        <v>5.9971277976200714E-2</v>
      </c>
      <c r="X657" s="2" t="str">
        <f t="shared" si="64"/>
        <v>X</v>
      </c>
      <c r="Y657" s="2" t="str">
        <f t="shared" si="65"/>
        <v>CX</v>
      </c>
    </row>
    <row r="658" spans="1:25" x14ac:dyDescent="0.3">
      <c r="A658" s="2" t="s">
        <v>405</v>
      </c>
      <c r="B658" s="2" t="s">
        <v>406</v>
      </c>
      <c r="C658" s="2" t="s">
        <v>25</v>
      </c>
      <c r="D658" s="2">
        <v>503</v>
      </c>
      <c r="E658" s="2">
        <v>264</v>
      </c>
      <c r="F658" s="2">
        <v>490</v>
      </c>
      <c r="G658" s="2">
        <v>209</v>
      </c>
      <c r="H658" s="2">
        <v>174</v>
      </c>
      <c r="I658" s="2">
        <v>311</v>
      </c>
      <c r="J658" s="2">
        <v>88</v>
      </c>
      <c r="K658" s="2">
        <v>611</v>
      </c>
      <c r="L658" s="2">
        <v>412</v>
      </c>
      <c r="M658" s="2">
        <v>82</v>
      </c>
      <c r="N658" s="2">
        <v>39</v>
      </c>
      <c r="O658" s="2">
        <v>395</v>
      </c>
      <c r="P658" s="2">
        <v>3578</v>
      </c>
      <c r="Q658" s="2">
        <v>10</v>
      </c>
      <c r="R658" s="2">
        <v>35780</v>
      </c>
      <c r="S658" s="4">
        <f>SUM($R$2:R658) / SUM($R:$R)</f>
        <v>0.99593344660515148</v>
      </c>
      <c r="T658" s="3" t="str">
        <f t="shared" si="60"/>
        <v>C</v>
      </c>
      <c r="U658" s="2">
        <f t="shared" si="61"/>
        <v>298.16666666666669</v>
      </c>
      <c r="V658" s="2">
        <f t="shared" si="62"/>
        <v>186.28464697062316</v>
      </c>
      <c r="W658" s="2">
        <f t="shared" si="63"/>
        <v>0.62476684283048567</v>
      </c>
      <c r="X658" s="2" t="str">
        <f t="shared" si="64"/>
        <v>Z</v>
      </c>
      <c r="Y658" s="2" t="str">
        <f t="shared" si="65"/>
        <v>CZ</v>
      </c>
    </row>
    <row r="659" spans="1:25" x14ac:dyDescent="0.3">
      <c r="A659" s="2" t="s">
        <v>1537</v>
      </c>
      <c r="B659" s="2" t="s">
        <v>1538</v>
      </c>
      <c r="C659" s="2" t="s">
        <v>25</v>
      </c>
      <c r="D659" s="2">
        <v>462</v>
      </c>
      <c r="E659" s="2">
        <v>151</v>
      </c>
      <c r="F659" s="2">
        <v>556</v>
      </c>
      <c r="G659" s="2">
        <v>379</v>
      </c>
      <c r="H659" s="2">
        <v>329</v>
      </c>
      <c r="I659" s="2">
        <v>511</v>
      </c>
      <c r="J659" s="2">
        <v>122</v>
      </c>
      <c r="K659" s="2">
        <v>256</v>
      </c>
      <c r="L659" s="2">
        <v>171</v>
      </c>
      <c r="M659" s="2">
        <v>82</v>
      </c>
      <c r="N659" s="2">
        <v>267</v>
      </c>
      <c r="O659" s="2">
        <v>273</v>
      </c>
      <c r="P659" s="2">
        <v>3559</v>
      </c>
      <c r="Q659" s="2">
        <v>10</v>
      </c>
      <c r="R659" s="2">
        <v>35590</v>
      </c>
      <c r="S659" s="4">
        <f>SUM($R$2:R659) / SUM($R:$R)</f>
        <v>0.99596663731820534</v>
      </c>
      <c r="T659" s="3" t="str">
        <f t="shared" si="60"/>
        <v>C</v>
      </c>
      <c r="U659" s="2">
        <f t="shared" si="61"/>
        <v>296.58333333333331</v>
      </c>
      <c r="V659" s="2">
        <f t="shared" si="62"/>
        <v>155.22620346585899</v>
      </c>
      <c r="W659" s="2">
        <f t="shared" si="63"/>
        <v>0.52338141095541102</v>
      </c>
      <c r="X659" s="2" t="str">
        <f t="shared" si="64"/>
        <v>Z</v>
      </c>
      <c r="Y659" s="2" t="str">
        <f t="shared" si="65"/>
        <v>CZ</v>
      </c>
    </row>
    <row r="660" spans="1:25" x14ac:dyDescent="0.3">
      <c r="A660" s="2" t="s">
        <v>1313</v>
      </c>
      <c r="B660" s="2" t="s">
        <v>1314</v>
      </c>
      <c r="C660" s="2" t="s">
        <v>41</v>
      </c>
      <c r="D660" s="2">
        <v>290</v>
      </c>
      <c r="E660" s="2">
        <v>276</v>
      </c>
      <c r="F660" s="2">
        <v>280</v>
      </c>
      <c r="G660" s="2">
        <v>313</v>
      </c>
      <c r="H660" s="2">
        <v>281</v>
      </c>
      <c r="I660" s="2">
        <v>293</v>
      </c>
      <c r="J660" s="2">
        <v>275</v>
      </c>
      <c r="K660" s="2">
        <v>282</v>
      </c>
      <c r="L660" s="2">
        <v>322</v>
      </c>
      <c r="M660" s="2">
        <v>299</v>
      </c>
      <c r="N660" s="2">
        <v>318</v>
      </c>
      <c r="O660" s="2">
        <v>279</v>
      </c>
      <c r="P660" s="2">
        <v>3508</v>
      </c>
      <c r="Q660" s="2">
        <v>10</v>
      </c>
      <c r="R660" s="2">
        <v>35080</v>
      </c>
      <c r="S660" s="4">
        <f>SUM($R$2:R660) / SUM($R:$R)</f>
        <v>0.99599935241272419</v>
      </c>
      <c r="T660" s="3" t="str">
        <f t="shared" si="60"/>
        <v>C</v>
      </c>
      <c r="U660" s="2">
        <f t="shared" si="61"/>
        <v>292.33333333333331</v>
      </c>
      <c r="V660" s="2">
        <f t="shared" si="62"/>
        <v>16.918700430069215</v>
      </c>
      <c r="W660" s="2">
        <f t="shared" si="63"/>
        <v>5.7874687902175197E-2</v>
      </c>
      <c r="X660" s="2" t="str">
        <f t="shared" si="64"/>
        <v>X</v>
      </c>
      <c r="Y660" s="2" t="str">
        <f t="shared" si="65"/>
        <v>CX</v>
      </c>
    </row>
    <row r="661" spans="1:25" x14ac:dyDescent="0.3">
      <c r="A661" s="2" t="s">
        <v>1261</v>
      </c>
      <c r="B661" s="2" t="s">
        <v>1262</v>
      </c>
      <c r="C661" s="2" t="s">
        <v>20</v>
      </c>
      <c r="D661" s="2">
        <v>1681</v>
      </c>
      <c r="E661" s="2">
        <v>1584</v>
      </c>
      <c r="F661" s="2">
        <v>1720</v>
      </c>
      <c r="G661" s="2">
        <v>1308</v>
      </c>
      <c r="H661" s="2">
        <v>1187</v>
      </c>
      <c r="I661" s="2">
        <v>1425</v>
      </c>
      <c r="J661" s="2">
        <v>1452</v>
      </c>
      <c r="K661" s="2">
        <v>1623</v>
      </c>
      <c r="L661" s="2">
        <v>1187</v>
      </c>
      <c r="M661" s="2">
        <v>1531</v>
      </c>
      <c r="N661" s="2">
        <v>1359</v>
      </c>
      <c r="O661" s="2">
        <v>1324</v>
      </c>
      <c r="P661" s="2">
        <v>17381</v>
      </c>
      <c r="Q661" s="2">
        <v>2</v>
      </c>
      <c r="R661" s="2">
        <v>34762</v>
      </c>
      <c r="S661" s="4">
        <f>SUM($R$2:R661) / SUM($R:$R)</f>
        <v>0.99603177094509787</v>
      </c>
      <c r="T661" s="3" t="str">
        <f t="shared" si="60"/>
        <v>C</v>
      </c>
      <c r="U661" s="2">
        <f t="shared" si="61"/>
        <v>1448.4166666666667</v>
      </c>
      <c r="V661" s="2">
        <f t="shared" si="62"/>
        <v>181.90030153072811</v>
      </c>
      <c r="W661" s="2">
        <f t="shared" si="63"/>
        <v>0.12558561753459163</v>
      </c>
      <c r="X661" s="2" t="str">
        <f t="shared" si="64"/>
        <v>X</v>
      </c>
      <c r="Y661" s="2" t="str">
        <f t="shared" si="65"/>
        <v>CX</v>
      </c>
    </row>
    <row r="662" spans="1:25" x14ac:dyDescent="0.3">
      <c r="A662" s="2" t="s">
        <v>141</v>
      </c>
      <c r="B662" s="2" t="s">
        <v>142</v>
      </c>
      <c r="C662" s="2" t="s">
        <v>20</v>
      </c>
      <c r="D662" s="2">
        <v>1268</v>
      </c>
      <c r="E662" s="2">
        <v>1565</v>
      </c>
      <c r="F662" s="2">
        <v>1676</v>
      </c>
      <c r="G662" s="2">
        <v>1221</v>
      </c>
      <c r="H662" s="2">
        <v>1234</v>
      </c>
      <c r="I662" s="2">
        <v>1228</v>
      </c>
      <c r="J662" s="2">
        <v>1535</v>
      </c>
      <c r="K662" s="2">
        <v>1744</v>
      </c>
      <c r="L662" s="2">
        <v>1455</v>
      </c>
      <c r="M662" s="2">
        <v>1342</v>
      </c>
      <c r="N662" s="2">
        <v>1461</v>
      </c>
      <c r="O662" s="2">
        <v>1494</v>
      </c>
      <c r="P662" s="2">
        <v>17223</v>
      </c>
      <c r="Q662" s="2">
        <v>2</v>
      </c>
      <c r="R662" s="2">
        <v>34446</v>
      </c>
      <c r="S662" s="4">
        <f>SUM($R$2:R662) / SUM($R:$R)</f>
        <v>0.99606389478049695</v>
      </c>
      <c r="T662" s="3" t="str">
        <f t="shared" si="60"/>
        <v>C</v>
      </c>
      <c r="U662" s="2">
        <f t="shared" si="61"/>
        <v>1435.25</v>
      </c>
      <c r="V662" s="2">
        <f t="shared" si="62"/>
        <v>178.52991855199457</v>
      </c>
      <c r="W662" s="2">
        <f t="shared" si="63"/>
        <v>0.12438942243650554</v>
      </c>
      <c r="X662" s="2" t="str">
        <f t="shared" si="64"/>
        <v>X</v>
      </c>
      <c r="Y662" s="2" t="str">
        <f t="shared" si="65"/>
        <v>CX</v>
      </c>
    </row>
    <row r="663" spans="1:25" x14ac:dyDescent="0.3">
      <c r="A663" s="2" t="s">
        <v>1415</v>
      </c>
      <c r="B663" s="2" t="s">
        <v>1416</v>
      </c>
      <c r="C663" s="2" t="s">
        <v>36</v>
      </c>
      <c r="D663" s="2">
        <v>56</v>
      </c>
      <c r="E663" s="2">
        <v>75</v>
      </c>
      <c r="F663" s="2">
        <v>55</v>
      </c>
      <c r="G663" s="2">
        <v>48</v>
      </c>
      <c r="H663" s="2">
        <v>57</v>
      </c>
      <c r="I663" s="2">
        <v>56</v>
      </c>
      <c r="J663" s="2">
        <v>66</v>
      </c>
      <c r="K663" s="2">
        <v>43</v>
      </c>
      <c r="L663" s="2">
        <v>58</v>
      </c>
      <c r="M663" s="2">
        <v>51</v>
      </c>
      <c r="N663" s="2">
        <v>56</v>
      </c>
      <c r="O663" s="2">
        <v>67</v>
      </c>
      <c r="P663" s="2">
        <v>688</v>
      </c>
      <c r="Q663" s="2">
        <v>50</v>
      </c>
      <c r="R663" s="2">
        <v>34400</v>
      </c>
      <c r="S663" s="4">
        <f>SUM($R$2:R663) / SUM($R:$R)</f>
        <v>0.99609597571696928</v>
      </c>
      <c r="T663" s="3" t="str">
        <f t="shared" si="60"/>
        <v>C</v>
      </c>
      <c r="U663" s="2">
        <f t="shared" si="61"/>
        <v>57.333333333333336</v>
      </c>
      <c r="V663" s="2">
        <f t="shared" si="62"/>
        <v>8.6585043148165468</v>
      </c>
      <c r="W663" s="2">
        <f t="shared" si="63"/>
        <v>0.15102042409563743</v>
      </c>
      <c r="X663" s="2" t="str">
        <f t="shared" si="64"/>
        <v>X</v>
      </c>
      <c r="Y663" s="2" t="str">
        <f t="shared" si="65"/>
        <v>CX</v>
      </c>
    </row>
    <row r="664" spans="1:25" x14ac:dyDescent="0.3">
      <c r="A664" s="2" t="s">
        <v>573</v>
      </c>
      <c r="B664" s="2" t="s">
        <v>574</v>
      </c>
      <c r="C664" s="2" t="s">
        <v>56</v>
      </c>
      <c r="D664" s="2">
        <v>271</v>
      </c>
      <c r="E664" s="2">
        <v>301</v>
      </c>
      <c r="F664" s="2">
        <v>302</v>
      </c>
      <c r="G664" s="2">
        <v>303</v>
      </c>
      <c r="H664" s="2">
        <v>256</v>
      </c>
      <c r="I664" s="2">
        <v>281</v>
      </c>
      <c r="J664" s="2">
        <v>303</v>
      </c>
      <c r="K664" s="2">
        <v>272</v>
      </c>
      <c r="L664" s="2">
        <v>288</v>
      </c>
      <c r="M664" s="2">
        <v>277</v>
      </c>
      <c r="N664" s="2">
        <v>289</v>
      </c>
      <c r="O664" s="2">
        <v>282</v>
      </c>
      <c r="P664" s="2">
        <v>3425</v>
      </c>
      <c r="Q664" s="2">
        <v>10</v>
      </c>
      <c r="R664" s="2">
        <v>34250</v>
      </c>
      <c r="S664" s="4">
        <f>SUM($R$2:R664) / SUM($R:$R)</f>
        <v>0.99612791676563728</v>
      </c>
      <c r="T664" s="3" t="str">
        <f t="shared" si="60"/>
        <v>C</v>
      </c>
      <c r="U664" s="2">
        <f t="shared" si="61"/>
        <v>285.41666666666669</v>
      </c>
      <c r="V664" s="2">
        <f t="shared" si="62"/>
        <v>15.1084463633807</v>
      </c>
      <c r="W664" s="2">
        <f t="shared" si="63"/>
        <v>5.2934702587027267E-2</v>
      </c>
      <c r="X664" s="2" t="str">
        <f t="shared" si="64"/>
        <v>X</v>
      </c>
      <c r="Y664" s="2" t="str">
        <f t="shared" si="65"/>
        <v>CX</v>
      </c>
    </row>
    <row r="665" spans="1:25" x14ac:dyDescent="0.3">
      <c r="A665" s="2" t="s">
        <v>1809</v>
      </c>
      <c r="B665" s="2" t="s">
        <v>1810</v>
      </c>
      <c r="C665" s="2" t="s">
        <v>20</v>
      </c>
      <c r="D665" s="2">
        <v>1727</v>
      </c>
      <c r="E665" s="2">
        <v>1662</v>
      </c>
      <c r="F665" s="2">
        <v>1694</v>
      </c>
      <c r="G665" s="2">
        <v>1488</v>
      </c>
      <c r="H665" s="2">
        <v>1082</v>
      </c>
      <c r="I665" s="2">
        <v>1332</v>
      </c>
      <c r="J665" s="2">
        <v>1546</v>
      </c>
      <c r="K665" s="2">
        <v>1106</v>
      </c>
      <c r="L665" s="2">
        <v>949</v>
      </c>
      <c r="M665" s="2">
        <v>1597</v>
      </c>
      <c r="N665" s="2">
        <v>1440</v>
      </c>
      <c r="O665" s="2">
        <v>1501</v>
      </c>
      <c r="P665" s="2">
        <v>17124</v>
      </c>
      <c r="Q665" s="2">
        <v>2</v>
      </c>
      <c r="R665" s="2">
        <v>34248</v>
      </c>
      <c r="S665" s="4">
        <f>SUM($R$2:R665) / SUM($R:$R)</f>
        <v>0.99615985594913459</v>
      </c>
      <c r="T665" s="3" t="str">
        <f t="shared" si="60"/>
        <v>C</v>
      </c>
      <c r="U665" s="2">
        <f t="shared" si="61"/>
        <v>1427</v>
      </c>
      <c r="V665" s="2">
        <f t="shared" si="62"/>
        <v>257.34942640838989</v>
      </c>
      <c r="W665" s="2">
        <f t="shared" si="63"/>
        <v>0.18034297575920805</v>
      </c>
      <c r="X665" s="2" t="str">
        <f t="shared" si="64"/>
        <v>X</v>
      </c>
      <c r="Y665" s="2" t="str">
        <f t="shared" si="65"/>
        <v>CX</v>
      </c>
    </row>
    <row r="666" spans="1:25" x14ac:dyDescent="0.3">
      <c r="A666" s="2" t="s">
        <v>413</v>
      </c>
      <c r="B666" s="2" t="s">
        <v>414</v>
      </c>
      <c r="C666" s="2" t="s">
        <v>41</v>
      </c>
      <c r="D666" s="2">
        <v>271</v>
      </c>
      <c r="E666" s="2">
        <v>273</v>
      </c>
      <c r="F666" s="2">
        <v>312</v>
      </c>
      <c r="G666" s="2">
        <v>282</v>
      </c>
      <c r="H666" s="2">
        <v>283</v>
      </c>
      <c r="I666" s="2">
        <v>290</v>
      </c>
      <c r="J666" s="2">
        <v>293</v>
      </c>
      <c r="K666" s="2">
        <v>292</v>
      </c>
      <c r="L666" s="2">
        <v>292</v>
      </c>
      <c r="M666" s="2">
        <v>277</v>
      </c>
      <c r="N666" s="2">
        <v>263</v>
      </c>
      <c r="O666" s="2">
        <v>281</v>
      </c>
      <c r="P666" s="2">
        <v>3409</v>
      </c>
      <c r="Q666" s="2">
        <v>10</v>
      </c>
      <c r="R666" s="2">
        <v>34090</v>
      </c>
      <c r="S666" s="4">
        <f>SUM($R$2:R666) / SUM($R:$R)</f>
        <v>0.99619164778414449</v>
      </c>
      <c r="T666" s="3" t="str">
        <f t="shared" si="60"/>
        <v>C</v>
      </c>
      <c r="U666" s="2">
        <f t="shared" si="61"/>
        <v>284.08333333333331</v>
      </c>
      <c r="V666" s="2">
        <f t="shared" si="62"/>
        <v>12.87321626361093</v>
      </c>
      <c r="W666" s="2">
        <f t="shared" si="63"/>
        <v>4.5314929646034369E-2</v>
      </c>
      <c r="X666" s="2" t="str">
        <f t="shared" si="64"/>
        <v>X</v>
      </c>
      <c r="Y666" s="2" t="str">
        <f t="shared" si="65"/>
        <v>CX</v>
      </c>
    </row>
    <row r="667" spans="1:25" x14ac:dyDescent="0.3">
      <c r="A667" s="2" t="s">
        <v>683</v>
      </c>
      <c r="B667" s="2" t="s">
        <v>684</v>
      </c>
      <c r="C667" s="2" t="s">
        <v>41</v>
      </c>
      <c r="D667" s="2">
        <v>250</v>
      </c>
      <c r="E667" s="2">
        <v>275</v>
      </c>
      <c r="F667" s="2">
        <v>297</v>
      </c>
      <c r="G667" s="2">
        <v>279</v>
      </c>
      <c r="H667" s="2">
        <v>285</v>
      </c>
      <c r="I667" s="2">
        <v>308</v>
      </c>
      <c r="J667" s="2">
        <v>280</v>
      </c>
      <c r="K667" s="2">
        <v>293</v>
      </c>
      <c r="L667" s="2">
        <v>260</v>
      </c>
      <c r="M667" s="2">
        <v>282</v>
      </c>
      <c r="N667" s="2">
        <v>289</v>
      </c>
      <c r="O667" s="2">
        <v>272</v>
      </c>
      <c r="P667" s="2">
        <v>3370</v>
      </c>
      <c r="Q667" s="2">
        <v>10</v>
      </c>
      <c r="R667" s="2">
        <v>33700</v>
      </c>
      <c r="S667" s="4">
        <f>SUM($R$2:R667) / SUM($R:$R)</f>
        <v>0.99622307591086312</v>
      </c>
      <c r="T667" s="3" t="str">
        <f t="shared" si="60"/>
        <v>C</v>
      </c>
      <c r="U667" s="2">
        <f t="shared" si="61"/>
        <v>280.83333333333331</v>
      </c>
      <c r="V667" s="2">
        <f t="shared" si="62"/>
        <v>15.764363339987806</v>
      </c>
      <c r="W667" s="2">
        <f t="shared" si="63"/>
        <v>5.6134231477701392E-2</v>
      </c>
      <c r="X667" s="2" t="str">
        <f t="shared" si="64"/>
        <v>X</v>
      </c>
      <c r="Y667" s="2" t="str">
        <f t="shared" si="65"/>
        <v>CX</v>
      </c>
    </row>
    <row r="668" spans="1:25" x14ac:dyDescent="0.3">
      <c r="A668" s="2" t="s">
        <v>1529</v>
      </c>
      <c r="B668" s="2" t="s">
        <v>1530</v>
      </c>
      <c r="C668" s="2" t="s">
        <v>41</v>
      </c>
      <c r="D668" s="2">
        <v>293</v>
      </c>
      <c r="E668" s="2">
        <v>314</v>
      </c>
      <c r="F668" s="2">
        <v>294</v>
      </c>
      <c r="G668" s="2">
        <v>256</v>
      </c>
      <c r="H668" s="2">
        <v>257</v>
      </c>
      <c r="I668" s="2">
        <v>291</v>
      </c>
      <c r="J668" s="2">
        <v>261</v>
      </c>
      <c r="K668" s="2">
        <v>288</v>
      </c>
      <c r="L668" s="2">
        <v>276</v>
      </c>
      <c r="M668" s="2">
        <v>288</v>
      </c>
      <c r="N668" s="2">
        <v>269</v>
      </c>
      <c r="O668" s="2">
        <v>252</v>
      </c>
      <c r="P668" s="2">
        <v>3339</v>
      </c>
      <c r="Q668" s="2">
        <v>10</v>
      </c>
      <c r="R668" s="2">
        <v>33390</v>
      </c>
      <c r="S668" s="4">
        <f>SUM($R$2:R668) / SUM($R:$R)</f>
        <v>0.99625421493611932</v>
      </c>
      <c r="T668" s="3" t="str">
        <f t="shared" si="60"/>
        <v>C</v>
      </c>
      <c r="U668" s="2">
        <f t="shared" si="61"/>
        <v>278.25</v>
      </c>
      <c r="V668" s="2">
        <f t="shared" si="62"/>
        <v>19.353764021972104</v>
      </c>
      <c r="W668" s="2">
        <f t="shared" si="63"/>
        <v>6.9555306458120775E-2</v>
      </c>
      <c r="X668" s="2" t="str">
        <f t="shared" si="64"/>
        <v>X</v>
      </c>
      <c r="Y668" s="2" t="str">
        <f t="shared" si="65"/>
        <v>CX</v>
      </c>
    </row>
    <row r="669" spans="1:25" x14ac:dyDescent="0.3">
      <c r="A669" s="2" t="s">
        <v>1681</v>
      </c>
      <c r="B669" s="2" t="s">
        <v>1682</v>
      </c>
      <c r="C669" s="2" t="s">
        <v>20</v>
      </c>
      <c r="D669" s="2">
        <v>1383</v>
      </c>
      <c r="E669" s="2">
        <v>1472</v>
      </c>
      <c r="F669" s="2">
        <v>1255</v>
      </c>
      <c r="G669" s="2">
        <v>1453</v>
      </c>
      <c r="H669" s="2">
        <v>1185</v>
      </c>
      <c r="I669" s="2">
        <v>1338</v>
      </c>
      <c r="J669" s="2">
        <v>1387</v>
      </c>
      <c r="K669" s="2">
        <v>1672</v>
      </c>
      <c r="L669" s="2">
        <v>1249</v>
      </c>
      <c r="M669" s="2">
        <v>1368</v>
      </c>
      <c r="N669" s="2">
        <v>1363</v>
      </c>
      <c r="O669" s="2">
        <v>1560</v>
      </c>
      <c r="P669" s="2">
        <v>16685</v>
      </c>
      <c r="Q669" s="2">
        <v>2</v>
      </c>
      <c r="R669" s="2">
        <v>33370</v>
      </c>
      <c r="S669" s="4">
        <f>SUM($R$2:R669) / SUM($R:$R)</f>
        <v>0.99628533530966823</v>
      </c>
      <c r="T669" s="3" t="str">
        <f t="shared" si="60"/>
        <v>C</v>
      </c>
      <c r="U669" s="2">
        <f t="shared" si="61"/>
        <v>1390.4166666666667</v>
      </c>
      <c r="V669" s="2">
        <f t="shared" si="62"/>
        <v>135.92140665796094</v>
      </c>
      <c r="W669" s="2">
        <f t="shared" si="63"/>
        <v>9.7755881324275165E-2</v>
      </c>
      <c r="X669" s="2" t="str">
        <f t="shared" si="64"/>
        <v>X</v>
      </c>
      <c r="Y669" s="2" t="str">
        <f t="shared" si="65"/>
        <v>CX</v>
      </c>
    </row>
    <row r="670" spans="1:25" x14ac:dyDescent="0.3">
      <c r="A670" s="2" t="s">
        <v>1251</v>
      </c>
      <c r="B670" s="2" t="s">
        <v>1252</v>
      </c>
      <c r="C670" s="2" t="s">
        <v>41</v>
      </c>
      <c r="D670" s="2">
        <v>304</v>
      </c>
      <c r="E670" s="2">
        <v>273</v>
      </c>
      <c r="F670" s="2">
        <v>295</v>
      </c>
      <c r="G670" s="2">
        <v>252</v>
      </c>
      <c r="H670" s="2">
        <v>272</v>
      </c>
      <c r="I670" s="2">
        <v>277</v>
      </c>
      <c r="J670" s="2">
        <v>277</v>
      </c>
      <c r="K670" s="2">
        <v>303</v>
      </c>
      <c r="L670" s="2">
        <v>247</v>
      </c>
      <c r="M670" s="2">
        <v>247</v>
      </c>
      <c r="N670" s="2">
        <v>299</v>
      </c>
      <c r="O670" s="2">
        <v>275</v>
      </c>
      <c r="P670" s="2">
        <v>3321</v>
      </c>
      <c r="Q670" s="2">
        <v>10</v>
      </c>
      <c r="R670" s="2">
        <v>33210</v>
      </c>
      <c r="S670" s="4">
        <f>SUM($R$2:R670) / SUM($R:$R)</f>
        <v>0.99631630646955915</v>
      </c>
      <c r="T670" s="3" t="str">
        <f t="shared" si="60"/>
        <v>C</v>
      </c>
      <c r="U670" s="2">
        <f t="shared" si="61"/>
        <v>276.75</v>
      </c>
      <c r="V670" s="2">
        <f t="shared" si="62"/>
        <v>20.63150723793807</v>
      </c>
      <c r="W670" s="2">
        <f t="shared" si="63"/>
        <v>7.4549258312332681E-2</v>
      </c>
      <c r="X670" s="2" t="str">
        <f t="shared" si="64"/>
        <v>X</v>
      </c>
      <c r="Y670" s="2" t="str">
        <f t="shared" si="65"/>
        <v>CX</v>
      </c>
    </row>
    <row r="671" spans="1:25" x14ac:dyDescent="0.3">
      <c r="A671" s="2" t="s">
        <v>663</v>
      </c>
      <c r="B671" s="2" t="s">
        <v>664</v>
      </c>
      <c r="C671" s="2" t="s">
        <v>20</v>
      </c>
      <c r="D671" s="2">
        <v>1655</v>
      </c>
      <c r="E671" s="2">
        <v>1130</v>
      </c>
      <c r="F671" s="2">
        <v>1267</v>
      </c>
      <c r="G671" s="2">
        <v>1528</v>
      </c>
      <c r="H671" s="2">
        <v>1624</v>
      </c>
      <c r="I671" s="2">
        <v>1241</v>
      </c>
      <c r="J671" s="2">
        <v>1114</v>
      </c>
      <c r="K671" s="2">
        <v>1450</v>
      </c>
      <c r="L671" s="2">
        <v>1347</v>
      </c>
      <c r="M671" s="2">
        <v>1369</v>
      </c>
      <c r="N671" s="2">
        <v>1357</v>
      </c>
      <c r="O671" s="2">
        <v>1477</v>
      </c>
      <c r="P671" s="2">
        <v>16559</v>
      </c>
      <c r="Q671" s="2">
        <v>2</v>
      </c>
      <c r="R671" s="2">
        <v>33118</v>
      </c>
      <c r="S671" s="4">
        <f>SUM($R$2:R671) / SUM($R:$R)</f>
        <v>0.9963471918315967</v>
      </c>
      <c r="T671" s="3" t="str">
        <f t="shared" si="60"/>
        <v>C</v>
      </c>
      <c r="U671" s="2">
        <f t="shared" si="61"/>
        <v>1379.9166666666667</v>
      </c>
      <c r="V671" s="2">
        <f t="shared" si="62"/>
        <v>175.41092447234448</v>
      </c>
      <c r="W671" s="2">
        <f t="shared" si="63"/>
        <v>0.12711704170953159</v>
      </c>
      <c r="X671" s="2" t="str">
        <f t="shared" si="64"/>
        <v>X</v>
      </c>
      <c r="Y671" s="2" t="str">
        <f t="shared" si="65"/>
        <v>CX</v>
      </c>
    </row>
    <row r="672" spans="1:25" x14ac:dyDescent="0.3">
      <c r="A672" s="2" t="s">
        <v>1451</v>
      </c>
      <c r="B672" s="2" t="s">
        <v>1452</v>
      </c>
      <c r="C672" s="2" t="s">
        <v>20</v>
      </c>
      <c r="D672" s="2">
        <v>1505</v>
      </c>
      <c r="E672" s="2">
        <v>1270</v>
      </c>
      <c r="F672" s="2">
        <v>1393</v>
      </c>
      <c r="G672" s="2">
        <v>1545</v>
      </c>
      <c r="H672" s="2">
        <v>1219</v>
      </c>
      <c r="I672" s="2">
        <v>1282</v>
      </c>
      <c r="J672" s="2">
        <v>1170</v>
      </c>
      <c r="K672" s="2">
        <v>1273</v>
      </c>
      <c r="L672" s="2">
        <v>1636</v>
      </c>
      <c r="M672" s="2">
        <v>1475</v>
      </c>
      <c r="N672" s="2">
        <v>1150</v>
      </c>
      <c r="O672" s="2">
        <v>1620</v>
      </c>
      <c r="P672" s="2">
        <v>16538</v>
      </c>
      <c r="Q672" s="2">
        <v>2</v>
      </c>
      <c r="R672" s="2">
        <v>33076</v>
      </c>
      <c r="S672" s="4">
        <f>SUM($R$2:R672) / SUM($R:$R)</f>
        <v>0.9963780380250491</v>
      </c>
      <c r="T672" s="3" t="str">
        <f t="shared" si="60"/>
        <v>C</v>
      </c>
      <c r="U672" s="2">
        <f t="shared" si="61"/>
        <v>1378.1666666666667</v>
      </c>
      <c r="V672" s="2">
        <f t="shared" si="62"/>
        <v>173.523293345111</v>
      </c>
      <c r="W672" s="2">
        <f t="shared" si="63"/>
        <v>0.12590878704446318</v>
      </c>
      <c r="X672" s="2" t="str">
        <f t="shared" si="64"/>
        <v>X</v>
      </c>
      <c r="Y672" s="2" t="str">
        <f t="shared" si="65"/>
        <v>CX</v>
      </c>
    </row>
    <row r="673" spans="1:25" x14ac:dyDescent="0.3">
      <c r="A673" s="2" t="s">
        <v>1379</v>
      </c>
      <c r="B673" s="2" t="s">
        <v>1380</v>
      </c>
      <c r="C673" s="2" t="s">
        <v>20</v>
      </c>
      <c r="D673" s="2">
        <v>1489</v>
      </c>
      <c r="E673" s="2">
        <v>1336</v>
      </c>
      <c r="F673" s="2">
        <v>1704</v>
      </c>
      <c r="G673" s="2">
        <v>1247</v>
      </c>
      <c r="H673" s="2">
        <v>1013</v>
      </c>
      <c r="I673" s="2">
        <v>1662</v>
      </c>
      <c r="J673" s="2">
        <v>1343</v>
      </c>
      <c r="K673" s="2">
        <v>1206</v>
      </c>
      <c r="L673" s="2">
        <v>1173</v>
      </c>
      <c r="M673" s="2">
        <v>1211</v>
      </c>
      <c r="N673" s="2">
        <v>1177</v>
      </c>
      <c r="O673" s="2">
        <v>1929</v>
      </c>
      <c r="P673" s="2">
        <v>16490</v>
      </c>
      <c r="Q673" s="2">
        <v>2</v>
      </c>
      <c r="R673" s="2">
        <v>32980</v>
      </c>
      <c r="S673" s="4">
        <f>SUM($R$2:R673) / SUM($R:$R)</f>
        <v>0.99640879469030663</v>
      </c>
      <c r="T673" s="3" t="str">
        <f t="shared" si="60"/>
        <v>C</v>
      </c>
      <c r="U673" s="2">
        <f t="shared" si="61"/>
        <v>1374.1666666666667</v>
      </c>
      <c r="V673" s="2">
        <f t="shared" si="62"/>
        <v>268.99673311072485</v>
      </c>
      <c r="W673" s="2">
        <f t="shared" si="63"/>
        <v>0.19575262567184343</v>
      </c>
      <c r="X673" s="2" t="str">
        <f t="shared" si="64"/>
        <v>X</v>
      </c>
      <c r="Y673" s="2" t="str">
        <f t="shared" si="65"/>
        <v>CX</v>
      </c>
    </row>
    <row r="674" spans="1:25" x14ac:dyDescent="0.3">
      <c r="A674" s="2" t="s">
        <v>1483</v>
      </c>
      <c r="B674" s="2" t="s">
        <v>1484</v>
      </c>
      <c r="C674" s="2" t="s">
        <v>25</v>
      </c>
      <c r="D674" s="2">
        <v>216</v>
      </c>
      <c r="E674" s="2">
        <v>30</v>
      </c>
      <c r="F674" s="2">
        <v>175</v>
      </c>
      <c r="G674" s="2">
        <v>549</v>
      </c>
      <c r="H674" s="2">
        <v>415</v>
      </c>
      <c r="I674" s="2">
        <v>107</v>
      </c>
      <c r="J674" s="2">
        <v>573</v>
      </c>
      <c r="K674" s="2">
        <v>286</v>
      </c>
      <c r="L674" s="2">
        <v>477</v>
      </c>
      <c r="M674" s="2">
        <v>161</v>
      </c>
      <c r="N674" s="2">
        <v>157</v>
      </c>
      <c r="O674" s="2">
        <v>145</v>
      </c>
      <c r="P674" s="2">
        <v>3291</v>
      </c>
      <c r="Q674" s="2">
        <v>10</v>
      </c>
      <c r="R674" s="2">
        <v>32910</v>
      </c>
      <c r="S674" s="4">
        <f>SUM($R$2:R674) / SUM($R:$R)</f>
        <v>0.99643948607458876</v>
      </c>
      <c r="T674" s="3" t="str">
        <f t="shared" si="60"/>
        <v>C</v>
      </c>
      <c r="U674" s="2">
        <f t="shared" si="61"/>
        <v>274.25</v>
      </c>
      <c r="V674" s="2">
        <f t="shared" si="62"/>
        <v>183.389364715921</v>
      </c>
      <c r="W674" s="2">
        <f t="shared" si="63"/>
        <v>0.6686941284080985</v>
      </c>
      <c r="X674" s="2" t="str">
        <f t="shared" si="64"/>
        <v>Z</v>
      </c>
      <c r="Y674" s="2" t="str">
        <f t="shared" si="65"/>
        <v>CZ</v>
      </c>
    </row>
    <row r="675" spans="1:25" x14ac:dyDescent="0.3">
      <c r="A675" s="2" t="s">
        <v>295</v>
      </c>
      <c r="B675" s="2" t="s">
        <v>296</v>
      </c>
      <c r="C675" s="2" t="s">
        <v>56</v>
      </c>
      <c r="D675" s="2">
        <v>263</v>
      </c>
      <c r="E675" s="2">
        <v>266</v>
      </c>
      <c r="F675" s="2">
        <v>297</v>
      </c>
      <c r="G675" s="2">
        <v>260</v>
      </c>
      <c r="H675" s="2">
        <v>294</v>
      </c>
      <c r="I675" s="2">
        <v>295</v>
      </c>
      <c r="J675" s="2">
        <v>261</v>
      </c>
      <c r="K675" s="2">
        <v>270</v>
      </c>
      <c r="L675" s="2">
        <v>251</v>
      </c>
      <c r="M675" s="2">
        <v>266</v>
      </c>
      <c r="N675" s="2">
        <v>275</v>
      </c>
      <c r="O675" s="2">
        <v>257</v>
      </c>
      <c r="P675" s="2">
        <v>3255</v>
      </c>
      <c r="Q675" s="2">
        <v>10</v>
      </c>
      <c r="R675" s="2">
        <v>32550</v>
      </c>
      <c r="S675" s="4">
        <f>SUM($R$2:R675) / SUM($R:$R)</f>
        <v>0.99646984172814035</v>
      </c>
      <c r="T675" s="3" t="str">
        <f t="shared" si="60"/>
        <v>C</v>
      </c>
      <c r="U675" s="2">
        <f t="shared" si="61"/>
        <v>271.25</v>
      </c>
      <c r="V675" s="2">
        <f t="shared" si="62"/>
        <v>15.748737323122997</v>
      </c>
      <c r="W675" s="2">
        <f t="shared" si="63"/>
        <v>5.8059861099070957E-2</v>
      </c>
      <c r="X675" s="2" t="str">
        <f t="shared" si="64"/>
        <v>X</v>
      </c>
      <c r="Y675" s="2" t="str">
        <f t="shared" si="65"/>
        <v>CX</v>
      </c>
    </row>
    <row r="676" spans="1:25" x14ac:dyDescent="0.3">
      <c r="A676" s="2" t="s">
        <v>1367</v>
      </c>
      <c r="B676" s="2" t="s">
        <v>1368</v>
      </c>
      <c r="C676" s="2" t="s">
        <v>20</v>
      </c>
      <c r="D676" s="2">
        <v>1440</v>
      </c>
      <c r="E676" s="2">
        <v>1560</v>
      </c>
      <c r="F676" s="2">
        <v>1279</v>
      </c>
      <c r="G676" s="2">
        <v>1192</v>
      </c>
      <c r="H676" s="2">
        <v>1123</v>
      </c>
      <c r="I676" s="2">
        <v>1377</v>
      </c>
      <c r="J676" s="2">
        <v>1545</v>
      </c>
      <c r="K676" s="2">
        <v>1613</v>
      </c>
      <c r="L676" s="2">
        <v>1290</v>
      </c>
      <c r="M676" s="2">
        <v>1176</v>
      </c>
      <c r="N676" s="2">
        <v>1409</v>
      </c>
      <c r="O676" s="2">
        <v>1100</v>
      </c>
      <c r="P676" s="2">
        <v>16104</v>
      </c>
      <c r="Q676" s="2">
        <v>2</v>
      </c>
      <c r="R676" s="2">
        <v>32208</v>
      </c>
      <c r="S676" s="4">
        <f>SUM($R$2:R676) / SUM($R:$R)</f>
        <v>0.99649987843749799</v>
      </c>
      <c r="T676" s="3" t="str">
        <f t="shared" si="60"/>
        <v>C</v>
      </c>
      <c r="U676" s="2">
        <f t="shared" si="61"/>
        <v>1342</v>
      </c>
      <c r="V676" s="2">
        <f t="shared" si="62"/>
        <v>176.00258262567937</v>
      </c>
      <c r="W676" s="2">
        <f t="shared" si="63"/>
        <v>0.13114946544387435</v>
      </c>
      <c r="X676" s="2" t="str">
        <f t="shared" si="64"/>
        <v>X</v>
      </c>
      <c r="Y676" s="2" t="str">
        <f t="shared" si="65"/>
        <v>CX</v>
      </c>
    </row>
    <row r="677" spans="1:25" x14ac:dyDescent="0.3">
      <c r="A677" s="2" t="s">
        <v>1405</v>
      </c>
      <c r="B677" s="2" t="s">
        <v>1406</v>
      </c>
      <c r="C677" s="2" t="s">
        <v>36</v>
      </c>
      <c r="D677" s="2">
        <v>270</v>
      </c>
      <c r="E677" s="2">
        <v>236</v>
      </c>
      <c r="F677" s="2">
        <v>279</v>
      </c>
      <c r="G677" s="2">
        <v>260</v>
      </c>
      <c r="H677" s="2">
        <v>258</v>
      </c>
      <c r="I677" s="2">
        <v>279</v>
      </c>
      <c r="J677" s="2">
        <v>215</v>
      </c>
      <c r="K677" s="2">
        <v>271</v>
      </c>
      <c r="L677" s="2">
        <v>275</v>
      </c>
      <c r="M677" s="2">
        <v>277</v>
      </c>
      <c r="N677" s="2">
        <v>294</v>
      </c>
      <c r="O677" s="2">
        <v>269</v>
      </c>
      <c r="P677" s="2">
        <v>3183</v>
      </c>
      <c r="Q677" s="2">
        <v>10</v>
      </c>
      <c r="R677" s="2">
        <v>31830</v>
      </c>
      <c r="S677" s="4">
        <f>SUM($R$2:R677) / SUM($R:$R)</f>
        <v>0.99652956262958858</v>
      </c>
      <c r="T677" s="3" t="str">
        <f t="shared" si="60"/>
        <v>C</v>
      </c>
      <c r="U677" s="2">
        <f t="shared" si="61"/>
        <v>265.25</v>
      </c>
      <c r="V677" s="2">
        <f t="shared" si="62"/>
        <v>21.252272605749507</v>
      </c>
      <c r="W677" s="2">
        <f t="shared" si="63"/>
        <v>8.0121668636190413E-2</v>
      </c>
      <c r="X677" s="2" t="str">
        <f t="shared" si="64"/>
        <v>X</v>
      </c>
      <c r="Y677" s="2" t="str">
        <f t="shared" si="65"/>
        <v>CX</v>
      </c>
    </row>
    <row r="678" spans="1:25" x14ac:dyDescent="0.3">
      <c r="A678" s="2" t="s">
        <v>953</v>
      </c>
      <c r="B678" s="2" t="s">
        <v>954</v>
      </c>
      <c r="C678" s="2" t="s">
        <v>20</v>
      </c>
      <c r="D678" s="2">
        <v>1374</v>
      </c>
      <c r="E678" s="2">
        <v>1586</v>
      </c>
      <c r="F678" s="2">
        <v>973</v>
      </c>
      <c r="G678" s="2">
        <v>1684</v>
      </c>
      <c r="H678" s="2">
        <v>1215</v>
      </c>
      <c r="I678" s="2">
        <v>1260</v>
      </c>
      <c r="J678" s="2">
        <v>1282</v>
      </c>
      <c r="K678" s="2">
        <v>1214</v>
      </c>
      <c r="L678" s="2">
        <v>1373</v>
      </c>
      <c r="M678" s="2">
        <v>1256</v>
      </c>
      <c r="N678" s="2">
        <v>1246</v>
      </c>
      <c r="O678" s="2">
        <v>1418</v>
      </c>
      <c r="P678" s="2">
        <v>15881</v>
      </c>
      <c r="Q678" s="2">
        <v>2</v>
      </c>
      <c r="R678" s="2">
        <v>31762</v>
      </c>
      <c r="S678" s="4">
        <f>SUM($R$2:R678) / SUM($R:$R)</f>
        <v>0.99655918340587446</v>
      </c>
      <c r="T678" s="3" t="str">
        <f t="shared" si="60"/>
        <v>C</v>
      </c>
      <c r="U678" s="2">
        <f t="shared" si="61"/>
        <v>1323.4166666666667</v>
      </c>
      <c r="V678" s="2">
        <f t="shared" si="62"/>
        <v>184.81610434224217</v>
      </c>
      <c r="W678" s="2">
        <f t="shared" si="63"/>
        <v>0.13965073056526076</v>
      </c>
      <c r="X678" s="2" t="str">
        <f t="shared" si="64"/>
        <v>X</v>
      </c>
      <c r="Y678" s="2" t="str">
        <f t="shared" si="65"/>
        <v>CX</v>
      </c>
    </row>
    <row r="679" spans="1:25" x14ac:dyDescent="0.3">
      <c r="A679" s="2" t="s">
        <v>185</v>
      </c>
      <c r="B679" s="2" t="s">
        <v>186</v>
      </c>
      <c r="C679" s="2" t="s">
        <v>25</v>
      </c>
      <c r="D679" s="2">
        <v>132</v>
      </c>
      <c r="E679" s="2">
        <v>134</v>
      </c>
      <c r="F679" s="2">
        <v>467</v>
      </c>
      <c r="G679" s="2">
        <v>375</v>
      </c>
      <c r="H679" s="2">
        <v>443</v>
      </c>
      <c r="I679" s="2">
        <v>346</v>
      </c>
      <c r="J679" s="2">
        <v>81</v>
      </c>
      <c r="K679" s="2">
        <v>92</v>
      </c>
      <c r="L679" s="2">
        <v>269</v>
      </c>
      <c r="M679" s="2">
        <v>113</v>
      </c>
      <c r="N679" s="2">
        <v>216</v>
      </c>
      <c r="O679" s="2">
        <v>460</v>
      </c>
      <c r="P679" s="2">
        <v>3128</v>
      </c>
      <c r="Q679" s="2">
        <v>10</v>
      </c>
      <c r="R679" s="2">
        <v>31280</v>
      </c>
      <c r="S679" s="4">
        <f>SUM($R$2:R679) / SUM($R:$R)</f>
        <v>0.9965883546760157</v>
      </c>
      <c r="T679" s="3" t="str">
        <f t="shared" si="60"/>
        <v>C</v>
      </c>
      <c r="U679" s="2">
        <f t="shared" si="61"/>
        <v>260.66666666666669</v>
      </c>
      <c r="V679" s="2">
        <f t="shared" si="62"/>
        <v>151.68887616274026</v>
      </c>
      <c r="W679" s="2">
        <f t="shared" si="63"/>
        <v>0.58192663489542296</v>
      </c>
      <c r="X679" s="2" t="str">
        <f t="shared" si="64"/>
        <v>Z</v>
      </c>
      <c r="Y679" s="2" t="str">
        <f t="shared" si="65"/>
        <v>CZ</v>
      </c>
    </row>
    <row r="680" spans="1:25" x14ac:dyDescent="0.3">
      <c r="A680" s="2" t="s">
        <v>231</v>
      </c>
      <c r="B680" s="2" t="s">
        <v>232</v>
      </c>
      <c r="C680" s="2" t="s">
        <v>56</v>
      </c>
      <c r="D680" s="2">
        <v>286</v>
      </c>
      <c r="E680" s="2">
        <v>255</v>
      </c>
      <c r="F680" s="2">
        <v>287</v>
      </c>
      <c r="G680" s="2">
        <v>280</v>
      </c>
      <c r="H680" s="2">
        <v>232</v>
      </c>
      <c r="I680" s="2">
        <v>266</v>
      </c>
      <c r="J680" s="2">
        <v>247</v>
      </c>
      <c r="K680" s="2">
        <v>269</v>
      </c>
      <c r="L680" s="2">
        <v>251</v>
      </c>
      <c r="M680" s="2">
        <v>247</v>
      </c>
      <c r="N680" s="2">
        <v>241</v>
      </c>
      <c r="O680" s="2">
        <v>257</v>
      </c>
      <c r="P680" s="2">
        <v>3118</v>
      </c>
      <c r="Q680" s="2">
        <v>10</v>
      </c>
      <c r="R680" s="2">
        <v>31180</v>
      </c>
      <c r="S680" s="4">
        <f>SUM($R$2:R680) / SUM($R:$R)</f>
        <v>0.9966174326876206</v>
      </c>
      <c r="T680" s="3" t="str">
        <f t="shared" si="60"/>
        <v>C</v>
      </c>
      <c r="U680" s="2">
        <f t="shared" si="61"/>
        <v>259.83333333333331</v>
      </c>
      <c r="V680" s="2">
        <f t="shared" si="62"/>
        <v>17.88769680449937</v>
      </c>
      <c r="W680" s="2">
        <f t="shared" si="63"/>
        <v>6.8842963968567178E-2</v>
      </c>
      <c r="X680" s="2" t="str">
        <f t="shared" si="64"/>
        <v>X</v>
      </c>
      <c r="Y680" s="2" t="str">
        <f t="shared" si="65"/>
        <v>CX</v>
      </c>
    </row>
    <row r="681" spans="1:25" x14ac:dyDescent="0.3">
      <c r="A681" s="2" t="s">
        <v>1749</v>
      </c>
      <c r="B681" s="2" t="s">
        <v>1750</v>
      </c>
      <c r="C681" s="2" t="s">
        <v>20</v>
      </c>
      <c r="D681" s="2">
        <v>1130</v>
      </c>
      <c r="E681" s="2">
        <v>1579</v>
      </c>
      <c r="F681" s="2">
        <v>1697</v>
      </c>
      <c r="G681" s="2">
        <v>1292</v>
      </c>
      <c r="H681" s="2">
        <v>1321</v>
      </c>
      <c r="I681" s="2">
        <v>1001</v>
      </c>
      <c r="J681" s="2">
        <v>700</v>
      </c>
      <c r="K681" s="2">
        <v>1180</v>
      </c>
      <c r="L681" s="2">
        <v>1577</v>
      </c>
      <c r="M681" s="2">
        <v>1371</v>
      </c>
      <c r="N681" s="2">
        <v>1112</v>
      </c>
      <c r="O681" s="2">
        <v>1598</v>
      </c>
      <c r="P681" s="2">
        <v>15558</v>
      </c>
      <c r="Q681" s="2">
        <v>2</v>
      </c>
      <c r="R681" s="2">
        <v>31116</v>
      </c>
      <c r="S681" s="4">
        <f>SUM($R$2:R681) / SUM($R:$R)</f>
        <v>0.99664645101376226</v>
      </c>
      <c r="T681" s="3" t="str">
        <f t="shared" si="60"/>
        <v>C</v>
      </c>
      <c r="U681" s="2">
        <f t="shared" si="61"/>
        <v>1296.5</v>
      </c>
      <c r="V681" s="2">
        <f t="shared" si="62"/>
        <v>291.45824587907799</v>
      </c>
      <c r="W681" s="2">
        <f t="shared" si="63"/>
        <v>0.22480389192370073</v>
      </c>
      <c r="X681" s="2" t="str">
        <f t="shared" si="64"/>
        <v>Y</v>
      </c>
      <c r="Y681" s="2" t="str">
        <f t="shared" si="65"/>
        <v>CY</v>
      </c>
    </row>
    <row r="682" spans="1:25" x14ac:dyDescent="0.3">
      <c r="A682" s="2" t="s">
        <v>367</v>
      </c>
      <c r="B682" s="2" t="s">
        <v>368</v>
      </c>
      <c r="C682" s="2" t="s">
        <v>41</v>
      </c>
      <c r="D682" s="2">
        <v>234</v>
      </c>
      <c r="E682" s="2">
        <v>226</v>
      </c>
      <c r="F682" s="2">
        <v>253</v>
      </c>
      <c r="G682" s="2">
        <v>273</v>
      </c>
      <c r="H682" s="2">
        <v>259</v>
      </c>
      <c r="I682" s="2">
        <v>254</v>
      </c>
      <c r="J682" s="2">
        <v>267</v>
      </c>
      <c r="K682" s="2">
        <v>243</v>
      </c>
      <c r="L682" s="2">
        <v>276</v>
      </c>
      <c r="M682" s="2">
        <v>264</v>
      </c>
      <c r="N682" s="2">
        <v>263</v>
      </c>
      <c r="O682" s="2">
        <v>271</v>
      </c>
      <c r="P682" s="2">
        <v>3083</v>
      </c>
      <c r="Q682" s="2">
        <v>10</v>
      </c>
      <c r="R682" s="2">
        <v>30830</v>
      </c>
      <c r="S682" s="4">
        <f>SUM($R$2:R682) / SUM($R:$R)</f>
        <v>0.99667520262049025</v>
      </c>
      <c r="T682" s="3" t="str">
        <f t="shared" si="60"/>
        <v>C</v>
      </c>
      <c r="U682" s="2">
        <f t="shared" si="61"/>
        <v>256.91666666666669</v>
      </c>
      <c r="V682" s="2">
        <f t="shared" si="62"/>
        <v>15.704419374137583</v>
      </c>
      <c r="W682" s="2">
        <f t="shared" si="63"/>
        <v>6.1126510700503074E-2</v>
      </c>
      <c r="X682" s="2" t="str">
        <f t="shared" si="64"/>
        <v>X</v>
      </c>
      <c r="Y682" s="2" t="str">
        <f t="shared" si="65"/>
        <v>CX</v>
      </c>
    </row>
    <row r="683" spans="1:25" x14ac:dyDescent="0.3">
      <c r="A683" s="2" t="s">
        <v>267</v>
      </c>
      <c r="B683" s="2" t="s">
        <v>268</v>
      </c>
      <c r="C683" s="2" t="s">
        <v>36</v>
      </c>
      <c r="D683" s="2">
        <v>265</v>
      </c>
      <c r="E683" s="2">
        <v>246</v>
      </c>
      <c r="F683" s="2">
        <v>216</v>
      </c>
      <c r="G683" s="2">
        <v>273</v>
      </c>
      <c r="H683" s="2">
        <v>275</v>
      </c>
      <c r="I683" s="2">
        <v>271</v>
      </c>
      <c r="J683" s="2">
        <v>262</v>
      </c>
      <c r="K683" s="2">
        <v>257</v>
      </c>
      <c r="L683" s="2">
        <v>269</v>
      </c>
      <c r="M683" s="2">
        <v>248</v>
      </c>
      <c r="N683" s="2">
        <v>253</v>
      </c>
      <c r="O683" s="2">
        <v>234</v>
      </c>
      <c r="P683" s="2">
        <v>3069</v>
      </c>
      <c r="Q683" s="2">
        <v>10</v>
      </c>
      <c r="R683" s="2">
        <v>30690</v>
      </c>
      <c r="S683" s="4">
        <f>SUM($R$2:R683) / SUM($R:$R)</f>
        <v>0.99670382366526755</v>
      </c>
      <c r="T683" s="3" t="str">
        <f t="shared" si="60"/>
        <v>C</v>
      </c>
      <c r="U683" s="2">
        <f t="shared" si="61"/>
        <v>255.75</v>
      </c>
      <c r="V683" s="2">
        <f t="shared" si="62"/>
        <v>17.628102563804195</v>
      </c>
      <c r="W683" s="2">
        <f t="shared" si="63"/>
        <v>6.8927087248501245E-2</v>
      </c>
      <c r="X683" s="2" t="str">
        <f t="shared" si="64"/>
        <v>X</v>
      </c>
      <c r="Y683" s="2" t="str">
        <f t="shared" si="65"/>
        <v>CX</v>
      </c>
    </row>
    <row r="684" spans="1:25" x14ac:dyDescent="0.3">
      <c r="A684" s="2" t="s">
        <v>243</v>
      </c>
      <c r="B684" s="2" t="s">
        <v>244</v>
      </c>
      <c r="C684" s="2" t="s">
        <v>41</v>
      </c>
      <c r="D684" s="2">
        <v>234</v>
      </c>
      <c r="E684" s="2">
        <v>231</v>
      </c>
      <c r="F684" s="2">
        <v>239</v>
      </c>
      <c r="G684" s="2">
        <v>262</v>
      </c>
      <c r="H684" s="2">
        <v>268</v>
      </c>
      <c r="I684" s="2">
        <v>270</v>
      </c>
      <c r="J684" s="2">
        <v>254</v>
      </c>
      <c r="K684" s="2">
        <v>265</v>
      </c>
      <c r="L684" s="2">
        <v>262</v>
      </c>
      <c r="M684" s="2">
        <v>248</v>
      </c>
      <c r="N684" s="2">
        <v>245</v>
      </c>
      <c r="O684" s="2">
        <v>275</v>
      </c>
      <c r="P684" s="2">
        <v>3053</v>
      </c>
      <c r="Q684" s="2">
        <v>10</v>
      </c>
      <c r="R684" s="2">
        <v>30530</v>
      </c>
      <c r="S684" s="4">
        <f>SUM($R$2:R684) / SUM($R:$R)</f>
        <v>0.99673229549638676</v>
      </c>
      <c r="T684" s="3" t="str">
        <f t="shared" si="60"/>
        <v>C</v>
      </c>
      <c r="U684" s="2">
        <f t="shared" si="61"/>
        <v>254.41666666666666</v>
      </c>
      <c r="V684" s="2">
        <f t="shared" si="62"/>
        <v>14.804534522376663</v>
      </c>
      <c r="W684" s="2">
        <f t="shared" si="63"/>
        <v>5.8190112764009157E-2</v>
      </c>
      <c r="X684" s="2" t="str">
        <f t="shared" si="64"/>
        <v>X</v>
      </c>
      <c r="Y684" s="2" t="str">
        <f t="shared" si="65"/>
        <v>CX</v>
      </c>
    </row>
    <row r="685" spans="1:25" x14ac:dyDescent="0.3">
      <c r="A685" s="2" t="s">
        <v>1031</v>
      </c>
      <c r="B685" s="2" t="s">
        <v>1032</v>
      </c>
      <c r="C685" s="2" t="s">
        <v>41</v>
      </c>
      <c r="D685" s="2">
        <v>272</v>
      </c>
      <c r="E685" s="2">
        <v>269</v>
      </c>
      <c r="F685" s="2">
        <v>248</v>
      </c>
      <c r="G685" s="2">
        <v>228</v>
      </c>
      <c r="H685" s="2">
        <v>252</v>
      </c>
      <c r="I685" s="2">
        <v>252</v>
      </c>
      <c r="J685" s="2">
        <v>266</v>
      </c>
      <c r="K685" s="2">
        <v>240</v>
      </c>
      <c r="L685" s="2">
        <v>255</v>
      </c>
      <c r="M685" s="2">
        <v>249</v>
      </c>
      <c r="N685" s="2">
        <v>273</v>
      </c>
      <c r="O685" s="2">
        <v>241</v>
      </c>
      <c r="P685" s="2">
        <v>3045</v>
      </c>
      <c r="Q685" s="2">
        <v>10</v>
      </c>
      <c r="R685" s="2">
        <v>30450</v>
      </c>
      <c r="S685" s="4">
        <f>SUM($R$2:R685) / SUM($R:$R)</f>
        <v>0.99676069272067702</v>
      </c>
      <c r="T685" s="3" t="str">
        <f t="shared" si="60"/>
        <v>C</v>
      </c>
      <c r="U685" s="2">
        <f t="shared" si="61"/>
        <v>253.75</v>
      </c>
      <c r="V685" s="2">
        <f t="shared" si="62"/>
        <v>14.026760139105537</v>
      </c>
      <c r="W685" s="2">
        <f t="shared" si="63"/>
        <v>5.5277872469381428E-2</v>
      </c>
      <c r="X685" s="2" t="str">
        <f t="shared" si="64"/>
        <v>X</v>
      </c>
      <c r="Y685" s="2" t="str">
        <f t="shared" si="65"/>
        <v>CX</v>
      </c>
    </row>
    <row r="686" spans="1:25" x14ac:dyDescent="0.3">
      <c r="A686" s="2" t="s">
        <v>57</v>
      </c>
      <c r="B686" s="2" t="s">
        <v>58</v>
      </c>
      <c r="C686" s="2" t="s">
        <v>25</v>
      </c>
      <c r="D686" s="2">
        <v>449</v>
      </c>
      <c r="E686" s="2">
        <v>269</v>
      </c>
      <c r="F686" s="2">
        <v>382</v>
      </c>
      <c r="G686" s="2">
        <v>104</v>
      </c>
      <c r="H686" s="2">
        <v>37</v>
      </c>
      <c r="I686" s="2">
        <v>210</v>
      </c>
      <c r="J686" s="2">
        <v>257</v>
      </c>
      <c r="K686" s="2">
        <v>409</v>
      </c>
      <c r="L686" s="2">
        <v>239</v>
      </c>
      <c r="M686" s="2">
        <v>170</v>
      </c>
      <c r="N686" s="2">
        <v>64</v>
      </c>
      <c r="O686" s="2">
        <v>404</v>
      </c>
      <c r="P686" s="2">
        <v>2994</v>
      </c>
      <c r="Q686" s="2">
        <v>10</v>
      </c>
      <c r="R686" s="2">
        <v>29940</v>
      </c>
      <c r="S686" s="4">
        <f>SUM($R$2:R686) / SUM($R:$R)</f>
        <v>0.99678861432643229</v>
      </c>
      <c r="T686" s="3" t="str">
        <f t="shared" si="60"/>
        <v>C</v>
      </c>
      <c r="U686" s="2">
        <f t="shared" si="61"/>
        <v>249.5</v>
      </c>
      <c r="V686" s="2">
        <f t="shared" si="62"/>
        <v>140.07497992146921</v>
      </c>
      <c r="W686" s="2">
        <f t="shared" si="63"/>
        <v>0.56142276521630941</v>
      </c>
      <c r="X686" s="2" t="str">
        <f t="shared" si="64"/>
        <v>Z</v>
      </c>
      <c r="Y686" s="2" t="str">
        <f t="shared" si="65"/>
        <v>CZ</v>
      </c>
    </row>
    <row r="687" spans="1:25" x14ac:dyDescent="0.3">
      <c r="A687" s="2" t="s">
        <v>127</v>
      </c>
      <c r="B687" s="2" t="s">
        <v>128</v>
      </c>
      <c r="C687" s="2" t="s">
        <v>20</v>
      </c>
      <c r="D687" s="2">
        <v>1321</v>
      </c>
      <c r="E687" s="2">
        <v>1171</v>
      </c>
      <c r="F687" s="2">
        <v>1390</v>
      </c>
      <c r="G687" s="2">
        <v>972</v>
      </c>
      <c r="H687" s="2">
        <v>1224</v>
      </c>
      <c r="I687" s="2">
        <v>1652</v>
      </c>
      <c r="J687" s="2">
        <v>1333</v>
      </c>
      <c r="K687" s="2">
        <v>995</v>
      </c>
      <c r="L687" s="2">
        <v>1003</v>
      </c>
      <c r="M687" s="2">
        <v>991</v>
      </c>
      <c r="N687" s="2">
        <v>1269</v>
      </c>
      <c r="O687" s="2">
        <v>1595</v>
      </c>
      <c r="P687" s="2">
        <v>14916</v>
      </c>
      <c r="Q687" s="2">
        <v>2</v>
      </c>
      <c r="R687" s="2">
        <v>29832</v>
      </c>
      <c r="S687" s="4">
        <f>SUM($R$2:R687) / SUM($R:$R)</f>
        <v>0.99681643521296848</v>
      </c>
      <c r="T687" s="3" t="str">
        <f t="shared" si="60"/>
        <v>C</v>
      </c>
      <c r="U687" s="2">
        <f t="shared" si="61"/>
        <v>1243</v>
      </c>
      <c r="V687" s="2">
        <f t="shared" si="62"/>
        <v>231.44761826383092</v>
      </c>
      <c r="W687" s="2">
        <f t="shared" si="63"/>
        <v>0.18620081919857676</v>
      </c>
      <c r="X687" s="2" t="str">
        <f t="shared" si="64"/>
        <v>X</v>
      </c>
      <c r="Y687" s="2" t="str">
        <f t="shared" si="65"/>
        <v>CX</v>
      </c>
    </row>
    <row r="688" spans="1:25" x14ac:dyDescent="0.3">
      <c r="A688" s="2" t="s">
        <v>371</v>
      </c>
      <c r="B688" s="2" t="s">
        <v>372</v>
      </c>
      <c r="C688" s="2" t="s">
        <v>56</v>
      </c>
      <c r="D688" s="2">
        <v>239</v>
      </c>
      <c r="E688" s="2">
        <v>257</v>
      </c>
      <c r="F688" s="2">
        <v>255</v>
      </c>
      <c r="G688" s="2">
        <v>263</v>
      </c>
      <c r="H688" s="2">
        <v>248</v>
      </c>
      <c r="I688" s="2">
        <v>257</v>
      </c>
      <c r="J688" s="2">
        <v>228</v>
      </c>
      <c r="K688" s="2">
        <v>273</v>
      </c>
      <c r="L688" s="2">
        <v>246</v>
      </c>
      <c r="M688" s="2">
        <v>243</v>
      </c>
      <c r="N688" s="2">
        <v>219</v>
      </c>
      <c r="O688" s="2">
        <v>241</v>
      </c>
      <c r="P688" s="2">
        <v>2969</v>
      </c>
      <c r="Q688" s="2">
        <v>10</v>
      </c>
      <c r="R688" s="2">
        <v>29690</v>
      </c>
      <c r="S688" s="4">
        <f>SUM($R$2:R688) / SUM($R:$R)</f>
        <v>0.99684412367238318</v>
      </c>
      <c r="T688" s="3" t="str">
        <f t="shared" si="60"/>
        <v>C</v>
      </c>
      <c r="U688" s="2">
        <f t="shared" si="61"/>
        <v>247.41666666666666</v>
      </c>
      <c r="V688" s="2">
        <f t="shared" si="62"/>
        <v>14.94510155890754</v>
      </c>
      <c r="W688" s="2">
        <f t="shared" si="63"/>
        <v>6.0404586967628994E-2</v>
      </c>
      <c r="X688" s="2" t="str">
        <f t="shared" si="64"/>
        <v>X</v>
      </c>
      <c r="Y688" s="2" t="str">
        <f t="shared" si="65"/>
        <v>CX</v>
      </c>
    </row>
    <row r="689" spans="1:25" x14ac:dyDescent="0.3">
      <c r="A689" s="2" t="s">
        <v>795</v>
      </c>
      <c r="B689" s="2" t="s">
        <v>796</v>
      </c>
      <c r="C689" s="2" t="s">
        <v>20</v>
      </c>
      <c r="D689" s="2">
        <v>1456</v>
      </c>
      <c r="E689" s="2">
        <v>1368</v>
      </c>
      <c r="F689" s="2">
        <v>1112</v>
      </c>
      <c r="G689" s="2">
        <v>1284</v>
      </c>
      <c r="H689" s="2">
        <v>1354</v>
      </c>
      <c r="I689" s="2">
        <v>913</v>
      </c>
      <c r="J689" s="2">
        <v>1151</v>
      </c>
      <c r="K689" s="2">
        <v>1083</v>
      </c>
      <c r="L689" s="2">
        <v>1208</v>
      </c>
      <c r="M689" s="2">
        <v>1207</v>
      </c>
      <c r="N689" s="2">
        <v>1498</v>
      </c>
      <c r="O689" s="2">
        <v>1129</v>
      </c>
      <c r="P689" s="2">
        <v>14763</v>
      </c>
      <c r="Q689" s="2">
        <v>2</v>
      </c>
      <c r="R689" s="2">
        <v>29526</v>
      </c>
      <c r="S689" s="4">
        <f>SUM($R$2:R689) / SUM($R:$R)</f>
        <v>0.9968716591877983</v>
      </c>
      <c r="T689" s="3" t="str">
        <f t="shared" si="60"/>
        <v>C</v>
      </c>
      <c r="U689" s="2">
        <f t="shared" si="61"/>
        <v>1230.25</v>
      </c>
      <c r="V689" s="2">
        <f t="shared" si="62"/>
        <v>168.87656869603154</v>
      </c>
      <c r="W689" s="2">
        <f t="shared" si="63"/>
        <v>0.13727012289862348</v>
      </c>
      <c r="X689" s="2" t="str">
        <f t="shared" si="64"/>
        <v>X</v>
      </c>
      <c r="Y689" s="2" t="str">
        <f t="shared" si="65"/>
        <v>CX</v>
      </c>
    </row>
    <row r="690" spans="1:25" x14ac:dyDescent="0.3">
      <c r="A690" s="2" t="s">
        <v>2005</v>
      </c>
      <c r="B690" s="2" t="s">
        <v>2006</v>
      </c>
      <c r="C690" s="2" t="s">
        <v>41</v>
      </c>
      <c r="D690" s="2">
        <v>265</v>
      </c>
      <c r="E690" s="2">
        <v>262</v>
      </c>
      <c r="F690" s="2">
        <v>266</v>
      </c>
      <c r="G690" s="2">
        <v>230</v>
      </c>
      <c r="H690" s="2">
        <v>223</v>
      </c>
      <c r="I690" s="2">
        <v>256</v>
      </c>
      <c r="J690" s="2">
        <v>240</v>
      </c>
      <c r="K690" s="2">
        <v>238</v>
      </c>
      <c r="L690" s="2">
        <v>234</v>
      </c>
      <c r="M690" s="2">
        <v>264</v>
      </c>
      <c r="N690" s="2">
        <v>234</v>
      </c>
      <c r="O690" s="2">
        <v>230</v>
      </c>
      <c r="P690" s="2">
        <v>2942</v>
      </c>
      <c r="Q690" s="2">
        <v>10</v>
      </c>
      <c r="R690" s="2">
        <v>29420</v>
      </c>
      <c r="S690" s="4">
        <f>SUM($R$2:R690) / SUM($R:$R)</f>
        <v>0.99689909584916514</v>
      </c>
      <c r="T690" s="3" t="str">
        <f t="shared" si="60"/>
        <v>C</v>
      </c>
      <c r="U690" s="2">
        <f t="shared" si="61"/>
        <v>245.16666666666666</v>
      </c>
      <c r="V690" s="2">
        <f t="shared" si="62"/>
        <v>16.129213097715436</v>
      </c>
      <c r="W690" s="2">
        <f t="shared" si="63"/>
        <v>6.5788768583475613E-2</v>
      </c>
      <c r="X690" s="2" t="str">
        <f t="shared" si="64"/>
        <v>X</v>
      </c>
      <c r="Y690" s="2" t="str">
        <f t="shared" si="65"/>
        <v>CX</v>
      </c>
    </row>
    <row r="691" spans="1:25" x14ac:dyDescent="0.3">
      <c r="A691" s="2" t="s">
        <v>1029</v>
      </c>
      <c r="B691" s="2" t="s">
        <v>1030</v>
      </c>
      <c r="C691" s="2" t="s">
        <v>20</v>
      </c>
      <c r="D691" s="2">
        <v>1433</v>
      </c>
      <c r="E691" s="2">
        <v>1101</v>
      </c>
      <c r="F691" s="2">
        <v>1174</v>
      </c>
      <c r="G691" s="2">
        <v>1262</v>
      </c>
      <c r="H691" s="2">
        <v>972</v>
      </c>
      <c r="I691" s="2">
        <v>1260</v>
      </c>
      <c r="J691" s="2">
        <v>1384</v>
      </c>
      <c r="K691" s="2">
        <v>1276</v>
      </c>
      <c r="L691" s="2">
        <v>1495</v>
      </c>
      <c r="M691" s="2">
        <v>1397</v>
      </c>
      <c r="N691" s="2">
        <v>852</v>
      </c>
      <c r="O691" s="2">
        <v>1053</v>
      </c>
      <c r="P691" s="2">
        <v>14659</v>
      </c>
      <c r="Q691" s="2">
        <v>2</v>
      </c>
      <c r="R691" s="2">
        <v>29318</v>
      </c>
      <c r="S691" s="4">
        <f>SUM($R$2:R691) / SUM($R:$R)</f>
        <v>0.99692643738682496</v>
      </c>
      <c r="T691" s="3" t="str">
        <f t="shared" si="60"/>
        <v>C</v>
      </c>
      <c r="U691" s="2">
        <f t="shared" si="61"/>
        <v>1221.5833333333333</v>
      </c>
      <c r="V691" s="2">
        <f t="shared" si="62"/>
        <v>196.97321383806755</v>
      </c>
      <c r="W691" s="2">
        <f t="shared" si="63"/>
        <v>0.16124418896628764</v>
      </c>
      <c r="X691" s="2" t="str">
        <f t="shared" si="64"/>
        <v>X</v>
      </c>
      <c r="Y691" s="2" t="str">
        <f t="shared" si="65"/>
        <v>CX</v>
      </c>
    </row>
    <row r="692" spans="1:25" x14ac:dyDescent="0.3">
      <c r="A692" s="2" t="s">
        <v>1731</v>
      </c>
      <c r="B692" s="2" t="s">
        <v>1732</v>
      </c>
      <c r="C692" s="2" t="s">
        <v>25</v>
      </c>
      <c r="D692" s="2">
        <v>66</v>
      </c>
      <c r="E692" s="2">
        <v>461</v>
      </c>
      <c r="F692" s="2">
        <v>313</v>
      </c>
      <c r="G692" s="2">
        <v>393</v>
      </c>
      <c r="H692" s="2">
        <v>11</v>
      </c>
      <c r="I692" s="2">
        <v>48</v>
      </c>
      <c r="J692" s="2">
        <v>126</v>
      </c>
      <c r="K692" s="2">
        <v>29</v>
      </c>
      <c r="L692" s="2">
        <v>438</v>
      </c>
      <c r="M692" s="2">
        <v>351</v>
      </c>
      <c r="N692" s="2">
        <v>278</v>
      </c>
      <c r="O692" s="2">
        <v>343</v>
      </c>
      <c r="P692" s="2">
        <v>2857</v>
      </c>
      <c r="Q692" s="2">
        <v>10</v>
      </c>
      <c r="R692" s="2">
        <v>28570</v>
      </c>
      <c r="S692" s="4">
        <f>SUM($R$2:R692) / SUM($R:$R)</f>
        <v>0.99695308135063354</v>
      </c>
      <c r="T692" s="3" t="str">
        <f t="shared" si="60"/>
        <v>C</v>
      </c>
      <c r="U692" s="2">
        <f t="shared" si="61"/>
        <v>238.08333333333334</v>
      </c>
      <c r="V692" s="2">
        <f t="shared" si="62"/>
        <v>170.08311248185444</v>
      </c>
      <c r="W692" s="2">
        <f t="shared" si="63"/>
        <v>0.71438479166337177</v>
      </c>
      <c r="X692" s="2" t="str">
        <f t="shared" si="64"/>
        <v>Z</v>
      </c>
      <c r="Y692" s="2" t="str">
        <f t="shared" si="65"/>
        <v>CZ</v>
      </c>
    </row>
    <row r="693" spans="1:25" x14ac:dyDescent="0.3">
      <c r="A693" s="2" t="s">
        <v>1957</v>
      </c>
      <c r="B693" s="2" t="s">
        <v>1958</v>
      </c>
      <c r="C693" s="2" t="s">
        <v>41</v>
      </c>
      <c r="D693" s="2">
        <v>252</v>
      </c>
      <c r="E693" s="2">
        <v>238</v>
      </c>
      <c r="F693" s="2">
        <v>236</v>
      </c>
      <c r="G693" s="2">
        <v>223</v>
      </c>
      <c r="H693" s="2">
        <v>232</v>
      </c>
      <c r="I693" s="2">
        <v>241</v>
      </c>
      <c r="J693" s="2">
        <v>226</v>
      </c>
      <c r="K693" s="2">
        <v>238</v>
      </c>
      <c r="L693" s="2">
        <v>213</v>
      </c>
      <c r="M693" s="2">
        <v>271</v>
      </c>
      <c r="N693" s="2">
        <v>248</v>
      </c>
      <c r="O693" s="2">
        <v>220</v>
      </c>
      <c r="P693" s="2">
        <v>2838</v>
      </c>
      <c r="Q693" s="2">
        <v>10</v>
      </c>
      <c r="R693" s="2">
        <v>28380</v>
      </c>
      <c r="S693" s="4">
        <f>SUM($R$2:R693) / SUM($R:$R)</f>
        <v>0.9969795481232232</v>
      </c>
      <c r="T693" s="3" t="str">
        <f t="shared" si="60"/>
        <v>C</v>
      </c>
      <c r="U693" s="2">
        <f t="shared" si="61"/>
        <v>236.5</v>
      </c>
      <c r="V693" s="2">
        <f t="shared" si="62"/>
        <v>15.739354266527986</v>
      </c>
      <c r="W693" s="2">
        <f t="shared" si="63"/>
        <v>6.6551180830985143E-2</v>
      </c>
      <c r="X693" s="2" t="str">
        <f t="shared" si="64"/>
        <v>X</v>
      </c>
      <c r="Y693" s="2" t="str">
        <f t="shared" si="65"/>
        <v>CX</v>
      </c>
    </row>
    <row r="694" spans="1:25" x14ac:dyDescent="0.3">
      <c r="A694" s="2" t="s">
        <v>669</v>
      </c>
      <c r="B694" s="2" t="s">
        <v>670</v>
      </c>
      <c r="C694" s="2" t="s">
        <v>20</v>
      </c>
      <c r="D694" s="2">
        <v>1131</v>
      </c>
      <c r="E694" s="2">
        <v>1296</v>
      </c>
      <c r="F694" s="2">
        <v>1374</v>
      </c>
      <c r="G694" s="2">
        <v>1328</v>
      </c>
      <c r="H694" s="2">
        <v>1231</v>
      </c>
      <c r="I694" s="2">
        <v>1373</v>
      </c>
      <c r="J694" s="2">
        <v>1092</v>
      </c>
      <c r="K694" s="2">
        <v>864</v>
      </c>
      <c r="L694" s="2">
        <v>1151</v>
      </c>
      <c r="M694" s="2">
        <v>833</v>
      </c>
      <c r="N694" s="2">
        <v>1169</v>
      </c>
      <c r="O694" s="2">
        <v>1065</v>
      </c>
      <c r="P694" s="2">
        <v>13907</v>
      </c>
      <c r="Q694" s="2">
        <v>2</v>
      </c>
      <c r="R694" s="2">
        <v>27814</v>
      </c>
      <c r="S694" s="4">
        <f>SUM($R$2:R694) / SUM($R:$R)</f>
        <v>0.9970054870524977</v>
      </c>
      <c r="T694" s="3" t="str">
        <f t="shared" si="60"/>
        <v>C</v>
      </c>
      <c r="U694" s="2">
        <f t="shared" si="61"/>
        <v>1158.9166666666667</v>
      </c>
      <c r="V694" s="2">
        <f t="shared" si="62"/>
        <v>178.91311163565251</v>
      </c>
      <c r="W694" s="2">
        <f t="shared" si="63"/>
        <v>0.15437961743207235</v>
      </c>
      <c r="X694" s="2" t="str">
        <f t="shared" si="64"/>
        <v>X</v>
      </c>
      <c r="Y694" s="2" t="str">
        <f t="shared" si="65"/>
        <v>CX</v>
      </c>
    </row>
    <row r="695" spans="1:25" x14ac:dyDescent="0.3">
      <c r="A695" s="2" t="s">
        <v>373</v>
      </c>
      <c r="B695" s="2" t="s">
        <v>374</v>
      </c>
      <c r="C695" s="2" t="s">
        <v>56</v>
      </c>
      <c r="D695" s="2">
        <v>228</v>
      </c>
      <c r="E695" s="2">
        <v>234</v>
      </c>
      <c r="F695" s="2">
        <v>239</v>
      </c>
      <c r="G695" s="2">
        <v>233</v>
      </c>
      <c r="H695" s="2">
        <v>218</v>
      </c>
      <c r="I695" s="2">
        <v>218</v>
      </c>
      <c r="J695" s="2">
        <v>244</v>
      </c>
      <c r="K695" s="2">
        <v>250</v>
      </c>
      <c r="L695" s="2">
        <v>227</v>
      </c>
      <c r="M695" s="2">
        <v>202</v>
      </c>
      <c r="N695" s="2">
        <v>246</v>
      </c>
      <c r="O695" s="2">
        <v>231</v>
      </c>
      <c r="P695" s="2">
        <v>2770</v>
      </c>
      <c r="Q695" s="2">
        <v>10</v>
      </c>
      <c r="R695" s="2">
        <v>27700</v>
      </c>
      <c r="S695" s="4">
        <f>SUM($R$2:R695) / SUM($R:$R)</f>
        <v>0.99703131966704095</v>
      </c>
      <c r="T695" s="3" t="str">
        <f t="shared" si="60"/>
        <v>C</v>
      </c>
      <c r="U695" s="2">
        <f t="shared" si="61"/>
        <v>230.83333333333334</v>
      </c>
      <c r="V695" s="2">
        <f t="shared" si="62"/>
        <v>13.603698249395494</v>
      </c>
      <c r="W695" s="2">
        <f t="shared" si="63"/>
        <v>5.8932988806045458E-2</v>
      </c>
      <c r="X695" s="2" t="str">
        <f t="shared" si="64"/>
        <v>X</v>
      </c>
      <c r="Y695" s="2" t="str">
        <f t="shared" si="65"/>
        <v>CX</v>
      </c>
    </row>
    <row r="696" spans="1:25" x14ac:dyDescent="0.3">
      <c r="A696" s="2" t="s">
        <v>933</v>
      </c>
      <c r="B696" s="2" t="s">
        <v>934</v>
      </c>
      <c r="C696" s="2" t="s">
        <v>25</v>
      </c>
      <c r="D696" s="2">
        <v>404</v>
      </c>
      <c r="E696" s="2">
        <v>113</v>
      </c>
      <c r="F696" s="2">
        <v>325</v>
      </c>
      <c r="G696" s="2">
        <v>156</v>
      </c>
      <c r="H696" s="2">
        <v>204</v>
      </c>
      <c r="I696" s="2">
        <v>182</v>
      </c>
      <c r="J696" s="2">
        <v>92</v>
      </c>
      <c r="K696" s="2">
        <v>174</v>
      </c>
      <c r="L696" s="2">
        <v>270</v>
      </c>
      <c r="M696" s="2">
        <v>266</v>
      </c>
      <c r="N696" s="2">
        <v>182</v>
      </c>
      <c r="O696" s="2">
        <v>392</v>
      </c>
      <c r="P696" s="2">
        <v>2760</v>
      </c>
      <c r="Q696" s="2">
        <v>10</v>
      </c>
      <c r="R696" s="2">
        <v>27600</v>
      </c>
      <c r="S696" s="4">
        <f>SUM($R$2:R696) / SUM($R:$R)</f>
        <v>0.99705705902304786</v>
      </c>
      <c r="T696" s="3" t="str">
        <f t="shared" si="60"/>
        <v>C</v>
      </c>
      <c r="U696" s="2">
        <f t="shared" si="61"/>
        <v>230</v>
      </c>
      <c r="V696" s="2">
        <f t="shared" si="62"/>
        <v>102.27858569079399</v>
      </c>
      <c r="W696" s="2">
        <f t="shared" si="63"/>
        <v>0.44468950300345211</v>
      </c>
      <c r="X696" s="2" t="str">
        <f t="shared" si="64"/>
        <v>Y</v>
      </c>
      <c r="Y696" s="2" t="str">
        <f t="shared" si="65"/>
        <v>CY</v>
      </c>
    </row>
    <row r="697" spans="1:25" x14ac:dyDescent="0.3">
      <c r="A697" s="2" t="s">
        <v>1135</v>
      </c>
      <c r="B697" s="2" t="s">
        <v>1136</v>
      </c>
      <c r="C697" s="2" t="s">
        <v>20</v>
      </c>
      <c r="D697" s="2">
        <v>1650</v>
      </c>
      <c r="E697" s="2">
        <v>1228</v>
      </c>
      <c r="F697" s="2">
        <v>1151</v>
      </c>
      <c r="G697" s="2">
        <v>1312</v>
      </c>
      <c r="H697" s="2">
        <v>1266</v>
      </c>
      <c r="I697" s="2">
        <v>846</v>
      </c>
      <c r="J697" s="2">
        <v>1071</v>
      </c>
      <c r="K697" s="2">
        <v>805</v>
      </c>
      <c r="L697" s="2">
        <v>894</v>
      </c>
      <c r="M697" s="2">
        <v>1235</v>
      </c>
      <c r="N697" s="2">
        <v>927</v>
      </c>
      <c r="O697" s="2">
        <v>1394</v>
      </c>
      <c r="P697" s="2">
        <v>13779</v>
      </c>
      <c r="Q697" s="2">
        <v>2</v>
      </c>
      <c r="R697" s="2">
        <v>27558</v>
      </c>
      <c r="S697" s="4">
        <f>SUM($R$2:R697) / SUM($R:$R)</f>
        <v>0.99708275921046952</v>
      </c>
      <c r="T697" s="3" t="str">
        <f t="shared" si="60"/>
        <v>C</v>
      </c>
      <c r="U697" s="2">
        <f t="shared" si="61"/>
        <v>1148.25</v>
      </c>
      <c r="V697" s="2">
        <f t="shared" si="62"/>
        <v>251.44242970219935</v>
      </c>
      <c r="W697" s="2">
        <f t="shared" si="63"/>
        <v>0.21897881968404037</v>
      </c>
      <c r="X697" s="2" t="str">
        <f t="shared" si="64"/>
        <v>Y</v>
      </c>
      <c r="Y697" s="2" t="str">
        <f t="shared" si="65"/>
        <v>CY</v>
      </c>
    </row>
    <row r="698" spans="1:25" x14ac:dyDescent="0.3">
      <c r="A698" s="2" t="s">
        <v>1115</v>
      </c>
      <c r="B698" s="2" t="s">
        <v>1116</v>
      </c>
      <c r="C698" s="2" t="s">
        <v>20</v>
      </c>
      <c r="D698" s="2">
        <v>1068</v>
      </c>
      <c r="E698" s="2">
        <v>1073</v>
      </c>
      <c r="F698" s="2">
        <v>1235</v>
      </c>
      <c r="G698" s="2">
        <v>1083</v>
      </c>
      <c r="H698" s="2">
        <v>1172</v>
      </c>
      <c r="I698" s="2">
        <v>889</v>
      </c>
      <c r="J698" s="2">
        <v>933</v>
      </c>
      <c r="K698" s="2">
        <v>1410</v>
      </c>
      <c r="L698" s="2">
        <v>1233</v>
      </c>
      <c r="M698" s="2">
        <v>931</v>
      </c>
      <c r="N698" s="2">
        <v>1303</v>
      </c>
      <c r="O698" s="2">
        <v>1229</v>
      </c>
      <c r="P698" s="2">
        <v>13559</v>
      </c>
      <c r="Q698" s="2">
        <v>2</v>
      </c>
      <c r="R698" s="2">
        <v>27118</v>
      </c>
      <c r="S698" s="4">
        <f>SUM($R$2:R698) / SUM($R:$R)</f>
        <v>0.99710804906033168</v>
      </c>
      <c r="T698" s="3" t="str">
        <f t="shared" si="60"/>
        <v>C</v>
      </c>
      <c r="U698" s="2">
        <f t="shared" si="61"/>
        <v>1129.9166666666667</v>
      </c>
      <c r="V698" s="2">
        <f t="shared" si="62"/>
        <v>161.61708861792206</v>
      </c>
      <c r="W698" s="2">
        <f t="shared" si="63"/>
        <v>0.14303452049672283</v>
      </c>
      <c r="X698" s="2" t="str">
        <f t="shared" si="64"/>
        <v>X</v>
      </c>
      <c r="Y698" s="2" t="str">
        <f t="shared" si="65"/>
        <v>CX</v>
      </c>
    </row>
    <row r="699" spans="1:25" x14ac:dyDescent="0.3">
      <c r="A699" s="2" t="s">
        <v>843</v>
      </c>
      <c r="B699" s="2" t="s">
        <v>844</v>
      </c>
      <c r="C699" s="2" t="s">
        <v>41</v>
      </c>
      <c r="D699" s="2">
        <v>218</v>
      </c>
      <c r="E699" s="2">
        <v>232</v>
      </c>
      <c r="F699" s="2">
        <v>204</v>
      </c>
      <c r="G699" s="2">
        <v>245</v>
      </c>
      <c r="H699" s="2">
        <v>206</v>
      </c>
      <c r="I699" s="2">
        <v>217</v>
      </c>
      <c r="J699" s="2">
        <v>244</v>
      </c>
      <c r="K699" s="2">
        <v>214</v>
      </c>
      <c r="L699" s="2">
        <v>228</v>
      </c>
      <c r="M699" s="2">
        <v>237</v>
      </c>
      <c r="N699" s="2">
        <v>217</v>
      </c>
      <c r="O699" s="2">
        <v>224</v>
      </c>
      <c r="P699" s="2">
        <v>2686</v>
      </c>
      <c r="Q699" s="2">
        <v>10</v>
      </c>
      <c r="R699" s="2">
        <v>26860</v>
      </c>
      <c r="S699" s="4">
        <f>SUM($R$2:R699) / SUM($R:$R)</f>
        <v>0.99713309830317021</v>
      </c>
      <c r="T699" s="3" t="str">
        <f t="shared" si="60"/>
        <v>C</v>
      </c>
      <c r="U699" s="2">
        <f t="shared" si="61"/>
        <v>223.83333333333334</v>
      </c>
      <c r="V699" s="2">
        <f t="shared" si="62"/>
        <v>13.643735381174583</v>
      </c>
      <c r="W699" s="2">
        <f t="shared" si="63"/>
        <v>6.09548862896854E-2</v>
      </c>
      <c r="X699" s="2" t="str">
        <f t="shared" si="64"/>
        <v>X</v>
      </c>
      <c r="Y699" s="2" t="str">
        <f t="shared" si="65"/>
        <v>CX</v>
      </c>
    </row>
    <row r="700" spans="1:25" x14ac:dyDescent="0.3">
      <c r="A700" s="2" t="s">
        <v>1867</v>
      </c>
      <c r="B700" s="2" t="s">
        <v>1868</v>
      </c>
      <c r="C700" s="2" t="s">
        <v>56</v>
      </c>
      <c r="D700" s="2">
        <v>225</v>
      </c>
      <c r="E700" s="2">
        <v>232</v>
      </c>
      <c r="F700" s="2">
        <v>200</v>
      </c>
      <c r="G700" s="2">
        <v>212</v>
      </c>
      <c r="H700" s="2">
        <v>219</v>
      </c>
      <c r="I700" s="2">
        <v>233</v>
      </c>
      <c r="J700" s="2">
        <v>216</v>
      </c>
      <c r="K700" s="2">
        <v>213</v>
      </c>
      <c r="L700" s="2">
        <v>227</v>
      </c>
      <c r="M700" s="2">
        <v>217</v>
      </c>
      <c r="N700" s="2">
        <v>222</v>
      </c>
      <c r="O700" s="2">
        <v>230</v>
      </c>
      <c r="P700" s="2">
        <v>2646</v>
      </c>
      <c r="Q700" s="2">
        <v>10</v>
      </c>
      <c r="R700" s="2">
        <v>26460</v>
      </c>
      <c r="S700" s="4">
        <f>SUM($R$2:R700) / SUM($R:$R)</f>
        <v>0.99715777451186383</v>
      </c>
      <c r="T700" s="3" t="str">
        <f t="shared" si="60"/>
        <v>C</v>
      </c>
      <c r="U700" s="2">
        <f t="shared" si="61"/>
        <v>220.5</v>
      </c>
      <c r="V700" s="2">
        <f t="shared" si="62"/>
        <v>9.6624860343307279</v>
      </c>
      <c r="W700" s="2">
        <f t="shared" si="63"/>
        <v>4.3820798341635957E-2</v>
      </c>
      <c r="X700" s="2" t="str">
        <f t="shared" si="64"/>
        <v>X</v>
      </c>
      <c r="Y700" s="2" t="str">
        <f t="shared" si="65"/>
        <v>CX</v>
      </c>
    </row>
    <row r="701" spans="1:25" x14ac:dyDescent="0.3">
      <c r="A701" s="2" t="s">
        <v>203</v>
      </c>
      <c r="B701" s="2" t="s">
        <v>204</v>
      </c>
      <c r="C701" s="2" t="s">
        <v>25</v>
      </c>
      <c r="D701" s="2">
        <v>191</v>
      </c>
      <c r="E701" s="2">
        <v>313</v>
      </c>
      <c r="F701" s="2">
        <v>448</v>
      </c>
      <c r="G701" s="2">
        <v>69</v>
      </c>
      <c r="H701" s="2">
        <v>336</v>
      </c>
      <c r="I701" s="2">
        <v>42</v>
      </c>
      <c r="J701" s="2">
        <v>105</v>
      </c>
      <c r="K701" s="2">
        <v>73</v>
      </c>
      <c r="L701" s="2">
        <v>258</v>
      </c>
      <c r="M701" s="2">
        <v>115</v>
      </c>
      <c r="N701" s="2">
        <v>613</v>
      </c>
      <c r="O701" s="2">
        <v>77</v>
      </c>
      <c r="P701" s="2">
        <v>2640</v>
      </c>
      <c r="Q701" s="2">
        <v>10</v>
      </c>
      <c r="R701" s="2">
        <v>26400</v>
      </c>
      <c r="S701" s="4">
        <f>SUM($R$2:R701) / SUM($R:$R)</f>
        <v>0.99718239476543569</v>
      </c>
      <c r="T701" s="3" t="str">
        <f t="shared" si="60"/>
        <v>C</v>
      </c>
      <c r="U701" s="2">
        <f t="shared" si="61"/>
        <v>220</v>
      </c>
      <c r="V701" s="2">
        <f t="shared" si="62"/>
        <v>178.78783769901941</v>
      </c>
      <c r="W701" s="2">
        <f t="shared" si="63"/>
        <v>0.81267198954099729</v>
      </c>
      <c r="X701" s="2" t="str">
        <f t="shared" si="64"/>
        <v>Z</v>
      </c>
      <c r="Y701" s="2" t="str">
        <f t="shared" si="65"/>
        <v>CZ</v>
      </c>
    </row>
    <row r="702" spans="1:25" x14ac:dyDescent="0.3">
      <c r="A702" s="2" t="s">
        <v>1943</v>
      </c>
      <c r="B702" s="2" t="s">
        <v>1944</v>
      </c>
      <c r="C702" s="2" t="s">
        <v>56</v>
      </c>
      <c r="D702" s="2">
        <v>220</v>
      </c>
      <c r="E702" s="2">
        <v>213</v>
      </c>
      <c r="F702" s="2">
        <v>222</v>
      </c>
      <c r="G702" s="2">
        <v>207</v>
      </c>
      <c r="H702" s="2">
        <v>215</v>
      </c>
      <c r="I702" s="2">
        <v>242</v>
      </c>
      <c r="J702" s="2">
        <v>220</v>
      </c>
      <c r="K702" s="2">
        <v>217</v>
      </c>
      <c r="L702" s="2">
        <v>209</v>
      </c>
      <c r="M702" s="2">
        <v>213</v>
      </c>
      <c r="N702" s="2">
        <v>215</v>
      </c>
      <c r="O702" s="2">
        <v>224</v>
      </c>
      <c r="P702" s="2">
        <v>2617</v>
      </c>
      <c r="Q702" s="2">
        <v>10</v>
      </c>
      <c r="R702" s="2">
        <v>26170</v>
      </c>
      <c r="S702" s="4">
        <f>SUM($R$2:R702) / SUM($R:$R)</f>
        <v>0.99720680052437405</v>
      </c>
      <c r="T702" s="3" t="str">
        <f t="shared" si="60"/>
        <v>C</v>
      </c>
      <c r="U702" s="2">
        <f t="shared" si="61"/>
        <v>218.08333333333334</v>
      </c>
      <c r="V702" s="2">
        <f t="shared" si="62"/>
        <v>9.0800313709243152</v>
      </c>
      <c r="W702" s="2">
        <f t="shared" si="63"/>
        <v>4.1635604299232624E-2</v>
      </c>
      <c r="X702" s="2" t="str">
        <f t="shared" si="64"/>
        <v>X</v>
      </c>
      <c r="Y702" s="2" t="str">
        <f t="shared" si="65"/>
        <v>CX</v>
      </c>
    </row>
    <row r="703" spans="1:25" x14ac:dyDescent="0.3">
      <c r="A703" s="2" t="s">
        <v>1361</v>
      </c>
      <c r="B703" s="2" t="s">
        <v>1362</v>
      </c>
      <c r="C703" s="2" t="s">
        <v>20</v>
      </c>
      <c r="D703" s="2">
        <v>1006</v>
      </c>
      <c r="E703" s="2">
        <v>1247</v>
      </c>
      <c r="F703" s="2">
        <v>1287</v>
      </c>
      <c r="G703" s="2">
        <v>1035</v>
      </c>
      <c r="H703" s="2">
        <v>1030</v>
      </c>
      <c r="I703" s="2">
        <v>1083</v>
      </c>
      <c r="J703" s="2">
        <v>1237</v>
      </c>
      <c r="K703" s="2">
        <v>792</v>
      </c>
      <c r="L703" s="2">
        <v>1027</v>
      </c>
      <c r="M703" s="2">
        <v>888</v>
      </c>
      <c r="N703" s="2">
        <v>1240</v>
      </c>
      <c r="O703" s="2">
        <v>1162</v>
      </c>
      <c r="P703" s="2">
        <v>13034</v>
      </c>
      <c r="Q703" s="2">
        <v>2</v>
      </c>
      <c r="R703" s="2">
        <v>26068</v>
      </c>
      <c r="S703" s="4">
        <f>SUM($R$2:R703) / SUM($R:$R)</f>
        <v>0.9972311111596055</v>
      </c>
      <c r="T703" s="3" t="str">
        <f t="shared" si="60"/>
        <v>C</v>
      </c>
      <c r="U703" s="2">
        <f t="shared" si="61"/>
        <v>1086.1666666666667</v>
      </c>
      <c r="V703" s="2">
        <f t="shared" si="62"/>
        <v>153.70623299204885</v>
      </c>
      <c r="W703" s="2">
        <f t="shared" si="63"/>
        <v>0.14151256681790594</v>
      </c>
      <c r="X703" s="2" t="str">
        <f t="shared" si="64"/>
        <v>X</v>
      </c>
      <c r="Y703" s="2" t="str">
        <f t="shared" si="65"/>
        <v>CX</v>
      </c>
    </row>
    <row r="704" spans="1:25" x14ac:dyDescent="0.3">
      <c r="A704" s="2" t="s">
        <v>1093</v>
      </c>
      <c r="B704" s="2" t="s">
        <v>1094</v>
      </c>
      <c r="C704" s="2" t="s">
        <v>25</v>
      </c>
      <c r="D704" s="2">
        <v>1054</v>
      </c>
      <c r="E704" s="2">
        <v>1264</v>
      </c>
      <c r="F704" s="2">
        <v>1245</v>
      </c>
      <c r="G704" s="2">
        <v>1139</v>
      </c>
      <c r="H704" s="2">
        <v>1018</v>
      </c>
      <c r="I704" s="2">
        <v>1030</v>
      </c>
      <c r="J704" s="2">
        <v>1038</v>
      </c>
      <c r="K704" s="2">
        <v>887</v>
      </c>
      <c r="L704" s="2">
        <v>1204</v>
      </c>
      <c r="M704" s="2">
        <v>942</v>
      </c>
      <c r="N704" s="2">
        <v>919</v>
      </c>
      <c r="O704" s="2">
        <v>1177</v>
      </c>
      <c r="P704" s="2">
        <v>12917</v>
      </c>
      <c r="Q704" s="2">
        <v>2</v>
      </c>
      <c r="R704" s="2">
        <v>25834</v>
      </c>
      <c r="S704" s="4">
        <f>SUM($R$2:R704) / SUM($R:$R)</f>
        <v>0.99725520356986219</v>
      </c>
      <c r="T704" s="3" t="str">
        <f t="shared" si="60"/>
        <v>C</v>
      </c>
      <c r="U704" s="2">
        <f t="shared" si="61"/>
        <v>1076.4166666666667</v>
      </c>
      <c r="V704" s="2">
        <f t="shared" si="62"/>
        <v>127.98825111799273</v>
      </c>
      <c r="W704" s="2">
        <f t="shared" si="63"/>
        <v>0.11890214549941261</v>
      </c>
      <c r="X704" s="2" t="str">
        <f t="shared" si="64"/>
        <v>X</v>
      </c>
      <c r="Y704" s="2" t="str">
        <f t="shared" si="65"/>
        <v>CX</v>
      </c>
    </row>
    <row r="705" spans="1:25" x14ac:dyDescent="0.3">
      <c r="A705" s="2" t="s">
        <v>725</v>
      </c>
      <c r="B705" s="2" t="s">
        <v>726</v>
      </c>
      <c r="C705" s="2" t="s">
        <v>36</v>
      </c>
      <c r="D705" s="2">
        <v>215</v>
      </c>
      <c r="E705" s="2">
        <v>219</v>
      </c>
      <c r="F705" s="2">
        <v>227</v>
      </c>
      <c r="G705" s="2">
        <v>239</v>
      </c>
      <c r="H705" s="2">
        <v>221</v>
      </c>
      <c r="I705" s="2">
        <v>202</v>
      </c>
      <c r="J705" s="2">
        <v>197</v>
      </c>
      <c r="K705" s="2">
        <v>199</v>
      </c>
      <c r="L705" s="2">
        <v>230</v>
      </c>
      <c r="M705" s="2">
        <v>212</v>
      </c>
      <c r="N705" s="2">
        <v>198</v>
      </c>
      <c r="O705" s="2">
        <v>215</v>
      </c>
      <c r="P705" s="2">
        <v>2574</v>
      </c>
      <c r="Q705" s="2">
        <v>10</v>
      </c>
      <c r="R705" s="2">
        <v>25740</v>
      </c>
      <c r="S705" s="4">
        <f>SUM($R$2:R705) / SUM($R:$R)</f>
        <v>0.99727920831709471</v>
      </c>
      <c r="T705" s="3" t="str">
        <f t="shared" si="60"/>
        <v>C</v>
      </c>
      <c r="U705" s="2">
        <f t="shared" si="61"/>
        <v>214.5</v>
      </c>
      <c r="V705" s="2">
        <f t="shared" si="62"/>
        <v>13.621507058525298</v>
      </c>
      <c r="W705" s="2">
        <f t="shared" si="63"/>
        <v>6.3503529410374349E-2</v>
      </c>
      <c r="X705" s="2" t="str">
        <f t="shared" si="64"/>
        <v>X</v>
      </c>
      <c r="Y705" s="2" t="str">
        <f t="shared" si="65"/>
        <v>CX</v>
      </c>
    </row>
    <row r="706" spans="1:25" x14ac:dyDescent="0.3">
      <c r="A706" s="2" t="s">
        <v>193</v>
      </c>
      <c r="B706" s="2" t="s">
        <v>194</v>
      </c>
      <c r="C706" s="2" t="s">
        <v>20</v>
      </c>
      <c r="D706" s="2">
        <v>1226</v>
      </c>
      <c r="E706" s="2">
        <v>1079</v>
      </c>
      <c r="F706" s="2">
        <v>1142</v>
      </c>
      <c r="G706" s="2">
        <v>844</v>
      </c>
      <c r="H706" s="2">
        <v>943</v>
      </c>
      <c r="I706" s="2">
        <v>1385</v>
      </c>
      <c r="J706" s="2">
        <v>1037</v>
      </c>
      <c r="K706" s="2">
        <v>553</v>
      </c>
      <c r="L706" s="2">
        <v>1119</v>
      </c>
      <c r="M706" s="2">
        <v>837</v>
      </c>
      <c r="N706" s="2">
        <v>1324</v>
      </c>
      <c r="O706" s="2">
        <v>1177</v>
      </c>
      <c r="P706" s="2">
        <v>12666</v>
      </c>
      <c r="Q706" s="2">
        <v>2</v>
      </c>
      <c r="R706" s="2">
        <v>25332</v>
      </c>
      <c r="S706" s="4">
        <f>SUM($R$2:R706) / SUM($R:$R)</f>
        <v>0.99730283256949925</v>
      </c>
      <c r="T706" s="3" t="str">
        <f t="shared" si="60"/>
        <v>C</v>
      </c>
      <c r="U706" s="2">
        <f t="shared" si="61"/>
        <v>1055.5</v>
      </c>
      <c r="V706" s="2">
        <f t="shared" si="62"/>
        <v>232.48479911207488</v>
      </c>
      <c r="W706" s="2">
        <f t="shared" si="63"/>
        <v>0.22026034970352903</v>
      </c>
      <c r="X706" s="2" t="str">
        <f t="shared" si="64"/>
        <v>Y</v>
      </c>
      <c r="Y706" s="2" t="str">
        <f t="shared" si="65"/>
        <v>CY</v>
      </c>
    </row>
    <row r="707" spans="1:25" x14ac:dyDescent="0.3">
      <c r="A707" s="2" t="s">
        <v>1099</v>
      </c>
      <c r="B707" s="2" t="s">
        <v>1100</v>
      </c>
      <c r="C707" s="2" t="s">
        <v>36</v>
      </c>
      <c r="D707" s="2">
        <v>233</v>
      </c>
      <c r="E707" s="2">
        <v>209</v>
      </c>
      <c r="F707" s="2">
        <v>211</v>
      </c>
      <c r="G707" s="2">
        <v>188</v>
      </c>
      <c r="H707" s="2">
        <v>222</v>
      </c>
      <c r="I707" s="2">
        <v>223</v>
      </c>
      <c r="J707" s="2">
        <v>249</v>
      </c>
      <c r="K707" s="2">
        <v>185</v>
      </c>
      <c r="L707" s="2">
        <v>206</v>
      </c>
      <c r="M707" s="2">
        <v>202</v>
      </c>
      <c r="N707" s="2">
        <v>218</v>
      </c>
      <c r="O707" s="2">
        <v>184</v>
      </c>
      <c r="P707" s="2">
        <v>2530</v>
      </c>
      <c r="Q707" s="2">
        <v>10</v>
      </c>
      <c r="R707" s="2">
        <v>25300</v>
      </c>
      <c r="S707" s="4">
        <f>SUM($R$2:R707) / SUM($R:$R)</f>
        <v>0.99732642697917229</v>
      </c>
      <c r="T707" s="3" t="str">
        <f t="shared" ref="T707:T770" si="66">IF(S707&lt;=0.7, "A", IF(S707&lt;=0.9, "B", "C"))</f>
        <v>C</v>
      </c>
      <c r="U707" s="2">
        <f t="shared" ref="U707:U770" si="67">AVERAGE(D707:O707)</f>
        <v>210.83333333333334</v>
      </c>
      <c r="V707" s="2">
        <f t="shared" ref="V707:V770" si="68">_xlfn.STDEV.S(D707:O707)</f>
        <v>19.738441189872631</v>
      </c>
      <c r="W707" s="2">
        <f t="shared" ref="W707:W770" si="69">IF(U707=0,0,V707/U707)</f>
        <v>9.3621064932202194E-2</v>
      </c>
      <c r="X707" s="2" t="str">
        <f t="shared" ref="X707:X770" si="70">(IF(W707&lt;=0.2, "X", IF(W707&lt;=0.5, "Y", "Z")))</f>
        <v>X</v>
      </c>
      <c r="Y707" s="2" t="str">
        <f t="shared" ref="Y707:Y770" si="71">T707&amp;X707</f>
        <v>CX</v>
      </c>
    </row>
    <row r="708" spans="1:25" x14ac:dyDescent="0.3">
      <c r="A708" s="2" t="s">
        <v>677</v>
      </c>
      <c r="B708" s="2" t="s">
        <v>678</v>
      </c>
      <c r="C708" s="2" t="s">
        <v>25</v>
      </c>
      <c r="D708" s="2">
        <v>709</v>
      </c>
      <c r="E708" s="2">
        <v>728</v>
      </c>
      <c r="F708" s="2">
        <v>1176</v>
      </c>
      <c r="G708" s="2">
        <v>804</v>
      </c>
      <c r="H708" s="2">
        <v>1257</v>
      </c>
      <c r="I708" s="2">
        <v>1281</v>
      </c>
      <c r="J708" s="2">
        <v>946</v>
      </c>
      <c r="K708" s="2">
        <v>1156</v>
      </c>
      <c r="L708" s="2">
        <v>1266</v>
      </c>
      <c r="M708" s="2">
        <v>1230</v>
      </c>
      <c r="N708" s="2">
        <v>1080</v>
      </c>
      <c r="O708" s="2">
        <v>864</v>
      </c>
      <c r="P708" s="2">
        <v>12497</v>
      </c>
      <c r="Q708" s="2">
        <v>2</v>
      </c>
      <c r="R708" s="2">
        <v>24994</v>
      </c>
      <c r="S708" s="4">
        <f>SUM($R$2:R708) / SUM($R:$R)</f>
        <v>0.99734973601772436</v>
      </c>
      <c r="T708" s="3" t="str">
        <f t="shared" si="66"/>
        <v>C</v>
      </c>
      <c r="U708" s="2">
        <f t="shared" si="67"/>
        <v>1041.4166666666667</v>
      </c>
      <c r="V708" s="2">
        <f t="shared" si="68"/>
        <v>219.14854170934672</v>
      </c>
      <c r="W708" s="2">
        <f t="shared" si="69"/>
        <v>0.21043310398592946</v>
      </c>
      <c r="X708" s="2" t="str">
        <f t="shared" si="70"/>
        <v>Y</v>
      </c>
      <c r="Y708" s="2" t="str">
        <f t="shared" si="71"/>
        <v>CY</v>
      </c>
    </row>
    <row r="709" spans="1:25" x14ac:dyDescent="0.3">
      <c r="A709" s="2" t="s">
        <v>1571</v>
      </c>
      <c r="B709" s="2" t="s">
        <v>1572</v>
      </c>
      <c r="C709" s="2" t="s">
        <v>20</v>
      </c>
      <c r="D709" s="2">
        <v>879</v>
      </c>
      <c r="E709" s="2">
        <v>1227</v>
      </c>
      <c r="F709" s="2">
        <v>1358</v>
      </c>
      <c r="G709" s="2">
        <v>716</v>
      </c>
      <c r="H709" s="2">
        <v>978</v>
      </c>
      <c r="I709" s="2">
        <v>848</v>
      </c>
      <c r="J709" s="2">
        <v>1117</v>
      </c>
      <c r="K709" s="2">
        <v>998</v>
      </c>
      <c r="L709" s="2">
        <v>1006</v>
      </c>
      <c r="M709" s="2">
        <v>1393</v>
      </c>
      <c r="N709" s="2">
        <v>970</v>
      </c>
      <c r="O709" s="2">
        <v>957</v>
      </c>
      <c r="P709" s="2">
        <v>12447</v>
      </c>
      <c r="Q709" s="2">
        <v>2</v>
      </c>
      <c r="R709" s="2">
        <v>24894</v>
      </c>
      <c r="S709" s="4">
        <f>SUM($R$2:R709) / SUM($R:$R)</f>
        <v>0.9973729517977401</v>
      </c>
      <c r="T709" s="3" t="str">
        <f t="shared" si="66"/>
        <v>C</v>
      </c>
      <c r="U709" s="2">
        <f t="shared" si="67"/>
        <v>1037.25</v>
      </c>
      <c r="V709" s="2">
        <f t="shared" si="68"/>
        <v>202.90038980203607</v>
      </c>
      <c r="W709" s="2">
        <f t="shared" si="69"/>
        <v>0.19561377662283547</v>
      </c>
      <c r="X709" s="2" t="str">
        <f t="shared" si="70"/>
        <v>X</v>
      </c>
      <c r="Y709" s="2" t="str">
        <f t="shared" si="71"/>
        <v>CX</v>
      </c>
    </row>
    <row r="710" spans="1:25" x14ac:dyDescent="0.3">
      <c r="A710" s="2" t="s">
        <v>1201</v>
      </c>
      <c r="B710" s="2" t="s">
        <v>1202</v>
      </c>
      <c r="C710" s="2" t="s">
        <v>25</v>
      </c>
      <c r="D710" s="2">
        <v>895</v>
      </c>
      <c r="E710" s="2">
        <v>1059</v>
      </c>
      <c r="F710" s="2">
        <v>1177</v>
      </c>
      <c r="G710" s="2">
        <v>1170</v>
      </c>
      <c r="H710" s="2">
        <v>792</v>
      </c>
      <c r="I710" s="2">
        <v>614</v>
      </c>
      <c r="J710" s="2">
        <v>945</v>
      </c>
      <c r="K710" s="2">
        <v>1182</v>
      </c>
      <c r="L710" s="2">
        <v>1108</v>
      </c>
      <c r="M710" s="2">
        <v>1148</v>
      </c>
      <c r="N710" s="2">
        <v>1188</v>
      </c>
      <c r="O710" s="2">
        <v>1089</v>
      </c>
      <c r="P710" s="2">
        <v>12367</v>
      </c>
      <c r="Q710" s="2">
        <v>2</v>
      </c>
      <c r="R710" s="2">
        <v>24734</v>
      </c>
      <c r="S710" s="4">
        <f>SUM($R$2:R710) / SUM($R:$R)</f>
        <v>0.99739601836409797</v>
      </c>
      <c r="T710" s="3" t="str">
        <f t="shared" si="66"/>
        <v>C</v>
      </c>
      <c r="U710" s="2">
        <f t="shared" si="67"/>
        <v>1030.5833333333333</v>
      </c>
      <c r="V710" s="2">
        <f t="shared" si="68"/>
        <v>183.09285192011831</v>
      </c>
      <c r="W710" s="2">
        <f t="shared" si="69"/>
        <v>0.1776594342234511</v>
      </c>
      <c r="X710" s="2" t="str">
        <f t="shared" si="70"/>
        <v>X</v>
      </c>
      <c r="Y710" s="2" t="str">
        <f t="shared" si="71"/>
        <v>CX</v>
      </c>
    </row>
    <row r="711" spans="1:25" x14ac:dyDescent="0.3">
      <c r="A711" s="2" t="s">
        <v>1225</v>
      </c>
      <c r="B711" s="2" t="s">
        <v>1226</v>
      </c>
      <c r="C711" s="2" t="s">
        <v>25</v>
      </c>
      <c r="D711" s="2">
        <v>1084</v>
      </c>
      <c r="E711" s="2">
        <v>990</v>
      </c>
      <c r="F711" s="2">
        <v>971</v>
      </c>
      <c r="G711" s="2">
        <v>1109</v>
      </c>
      <c r="H711" s="2">
        <v>732</v>
      </c>
      <c r="I711" s="2">
        <v>1235</v>
      </c>
      <c r="J711" s="2">
        <v>676</v>
      </c>
      <c r="K711" s="2">
        <v>1015</v>
      </c>
      <c r="L711" s="2">
        <v>1228</v>
      </c>
      <c r="M711" s="2">
        <v>1115</v>
      </c>
      <c r="N711" s="2">
        <v>1003</v>
      </c>
      <c r="O711" s="2">
        <v>1044</v>
      </c>
      <c r="P711" s="2">
        <v>12202</v>
      </c>
      <c r="Q711" s="2">
        <v>2</v>
      </c>
      <c r="R711" s="2">
        <v>24404</v>
      </c>
      <c r="S711" s="4">
        <f>SUM($R$2:R711) / SUM($R:$R)</f>
        <v>0.99741877717728611</v>
      </c>
      <c r="T711" s="3" t="str">
        <f t="shared" si="66"/>
        <v>C</v>
      </c>
      <c r="U711" s="2">
        <f t="shared" si="67"/>
        <v>1016.8333333333334</v>
      </c>
      <c r="V711" s="2">
        <f t="shared" si="68"/>
        <v>169.45947937933451</v>
      </c>
      <c r="W711" s="2">
        <f t="shared" si="69"/>
        <v>0.16665413477725077</v>
      </c>
      <c r="X711" s="2" t="str">
        <f t="shared" si="70"/>
        <v>X</v>
      </c>
      <c r="Y711" s="2" t="str">
        <f t="shared" si="71"/>
        <v>CX</v>
      </c>
    </row>
    <row r="712" spans="1:25" x14ac:dyDescent="0.3">
      <c r="A712" s="2" t="s">
        <v>341</v>
      </c>
      <c r="B712" s="2" t="s">
        <v>342</v>
      </c>
      <c r="C712" s="2" t="s">
        <v>56</v>
      </c>
      <c r="D712" s="2">
        <v>223</v>
      </c>
      <c r="E712" s="2">
        <v>212</v>
      </c>
      <c r="F712" s="2">
        <v>195</v>
      </c>
      <c r="G712" s="2">
        <v>197</v>
      </c>
      <c r="H712" s="2">
        <v>226</v>
      </c>
      <c r="I712" s="2">
        <v>191</v>
      </c>
      <c r="J712" s="2">
        <v>181</v>
      </c>
      <c r="K712" s="2">
        <v>201</v>
      </c>
      <c r="L712" s="2">
        <v>197</v>
      </c>
      <c r="M712" s="2">
        <v>182</v>
      </c>
      <c r="N712" s="2">
        <v>202</v>
      </c>
      <c r="O712" s="2">
        <v>219</v>
      </c>
      <c r="P712" s="2">
        <v>2426</v>
      </c>
      <c r="Q712" s="2">
        <v>10</v>
      </c>
      <c r="R712" s="2">
        <v>24260</v>
      </c>
      <c r="S712" s="4">
        <f>SUM($R$2:R712) / SUM($R:$R)</f>
        <v>0.99744140169818196</v>
      </c>
      <c r="T712" s="3" t="str">
        <f t="shared" si="66"/>
        <v>C</v>
      </c>
      <c r="U712" s="2">
        <f t="shared" si="67"/>
        <v>202.16666666666666</v>
      </c>
      <c r="V712" s="2">
        <f t="shared" si="68"/>
        <v>14.977761292440649</v>
      </c>
      <c r="W712" s="2">
        <f t="shared" si="69"/>
        <v>7.4086205898304947E-2</v>
      </c>
      <c r="X712" s="2" t="str">
        <f t="shared" si="70"/>
        <v>X</v>
      </c>
      <c r="Y712" s="2" t="str">
        <f t="shared" si="71"/>
        <v>CX</v>
      </c>
    </row>
    <row r="713" spans="1:25" x14ac:dyDescent="0.3">
      <c r="A713" s="2" t="s">
        <v>1967</v>
      </c>
      <c r="B713" s="2" t="s">
        <v>1968</v>
      </c>
      <c r="C713" s="2" t="s">
        <v>25</v>
      </c>
      <c r="D713" s="2">
        <v>206</v>
      </c>
      <c r="E713" s="2">
        <v>338</v>
      </c>
      <c r="F713" s="2">
        <v>92</v>
      </c>
      <c r="G713" s="2">
        <v>529</v>
      </c>
      <c r="H713" s="2">
        <v>38</v>
      </c>
      <c r="I713" s="2">
        <v>88</v>
      </c>
      <c r="J713" s="2">
        <v>43</v>
      </c>
      <c r="K713" s="2">
        <v>11</v>
      </c>
      <c r="L713" s="2">
        <v>494</v>
      </c>
      <c r="M713" s="2">
        <v>26</v>
      </c>
      <c r="N713" s="2">
        <v>26</v>
      </c>
      <c r="O713" s="2">
        <v>495</v>
      </c>
      <c r="P713" s="2">
        <v>2386</v>
      </c>
      <c r="Q713" s="2">
        <v>10</v>
      </c>
      <c r="R713" s="2">
        <v>23860</v>
      </c>
      <c r="S713" s="4">
        <f>SUM($R$2:R713) / SUM($R:$R)</f>
        <v>0.99746365318493291</v>
      </c>
      <c r="T713" s="3" t="str">
        <f t="shared" si="66"/>
        <v>C</v>
      </c>
      <c r="U713" s="2">
        <f t="shared" si="67"/>
        <v>198.83333333333334</v>
      </c>
      <c r="V713" s="2">
        <f t="shared" si="68"/>
        <v>207.17574153068182</v>
      </c>
      <c r="W713" s="2">
        <f t="shared" si="69"/>
        <v>1.0419567889221215</v>
      </c>
      <c r="X713" s="2" t="str">
        <f t="shared" si="70"/>
        <v>Z</v>
      </c>
      <c r="Y713" s="2" t="str">
        <f t="shared" si="71"/>
        <v>CZ</v>
      </c>
    </row>
    <row r="714" spans="1:25" x14ac:dyDescent="0.3">
      <c r="A714" s="2" t="s">
        <v>1757</v>
      </c>
      <c r="B714" s="2" t="s">
        <v>1758</v>
      </c>
      <c r="C714" s="2" t="s">
        <v>56</v>
      </c>
      <c r="D714" s="2">
        <v>173</v>
      </c>
      <c r="E714" s="2">
        <v>226</v>
      </c>
      <c r="F714" s="2">
        <v>181</v>
      </c>
      <c r="G714" s="2">
        <v>192</v>
      </c>
      <c r="H714" s="2">
        <v>195</v>
      </c>
      <c r="I714" s="2">
        <v>207</v>
      </c>
      <c r="J714" s="2">
        <v>197</v>
      </c>
      <c r="K714" s="2">
        <v>212</v>
      </c>
      <c r="L714" s="2">
        <v>202</v>
      </c>
      <c r="M714" s="2">
        <v>209</v>
      </c>
      <c r="N714" s="2">
        <v>188</v>
      </c>
      <c r="O714" s="2">
        <v>200</v>
      </c>
      <c r="P714" s="2">
        <v>2382</v>
      </c>
      <c r="Q714" s="2">
        <v>10</v>
      </c>
      <c r="R714" s="2">
        <v>23820</v>
      </c>
      <c r="S714" s="4">
        <f>SUM($R$2:R714) / SUM($R:$R)</f>
        <v>0.99748586736826927</v>
      </c>
      <c r="T714" s="3" t="str">
        <f t="shared" si="66"/>
        <v>C</v>
      </c>
      <c r="U714" s="2">
        <f t="shared" si="67"/>
        <v>198.5</v>
      </c>
      <c r="V714" s="2">
        <f t="shared" si="68"/>
        <v>14.33051416954871</v>
      </c>
      <c r="W714" s="2">
        <f t="shared" si="69"/>
        <v>7.2194026043066545E-2</v>
      </c>
      <c r="X714" s="2" t="str">
        <f t="shared" si="70"/>
        <v>X</v>
      </c>
      <c r="Y714" s="2" t="str">
        <f t="shared" si="71"/>
        <v>CX</v>
      </c>
    </row>
    <row r="715" spans="1:25" x14ac:dyDescent="0.3">
      <c r="A715" s="2" t="s">
        <v>85</v>
      </c>
      <c r="B715" s="2" t="s">
        <v>86</v>
      </c>
      <c r="C715" s="2" t="s">
        <v>20</v>
      </c>
      <c r="D715" s="2">
        <v>1320</v>
      </c>
      <c r="E715" s="2">
        <v>804</v>
      </c>
      <c r="F715" s="2">
        <v>666</v>
      </c>
      <c r="G715" s="2">
        <v>853</v>
      </c>
      <c r="H715" s="2">
        <v>1307</v>
      </c>
      <c r="I715" s="2">
        <v>1026</v>
      </c>
      <c r="J715" s="2">
        <v>875</v>
      </c>
      <c r="K715" s="2">
        <v>1005</v>
      </c>
      <c r="L715" s="2">
        <v>894</v>
      </c>
      <c r="M715" s="2">
        <v>1179</v>
      </c>
      <c r="N715" s="2">
        <v>1077</v>
      </c>
      <c r="O715" s="2">
        <v>847</v>
      </c>
      <c r="P715" s="2">
        <v>11853</v>
      </c>
      <c r="Q715" s="2">
        <v>2</v>
      </c>
      <c r="R715" s="2">
        <v>23706</v>
      </c>
      <c r="S715" s="4">
        <f>SUM($R$2:R715) / SUM($R:$R)</f>
        <v>0.9975079752368744</v>
      </c>
      <c r="T715" s="3" t="str">
        <f t="shared" si="66"/>
        <v>C</v>
      </c>
      <c r="U715" s="2">
        <f t="shared" si="67"/>
        <v>987.75</v>
      </c>
      <c r="V715" s="2">
        <f t="shared" si="68"/>
        <v>203.46325332734031</v>
      </c>
      <c r="W715" s="2">
        <f t="shared" si="69"/>
        <v>0.20598658904311851</v>
      </c>
      <c r="X715" s="2" t="str">
        <f t="shared" si="70"/>
        <v>Y</v>
      </c>
      <c r="Y715" s="2" t="str">
        <f t="shared" si="71"/>
        <v>CY</v>
      </c>
    </row>
    <row r="716" spans="1:25" x14ac:dyDescent="0.3">
      <c r="A716" s="2" t="s">
        <v>837</v>
      </c>
      <c r="B716" s="2" t="s">
        <v>838</v>
      </c>
      <c r="C716" s="2" t="s">
        <v>41</v>
      </c>
      <c r="D716" s="2">
        <v>180</v>
      </c>
      <c r="E716" s="2">
        <v>199</v>
      </c>
      <c r="F716" s="2">
        <v>175</v>
      </c>
      <c r="G716" s="2">
        <v>209</v>
      </c>
      <c r="H716" s="2">
        <v>182</v>
      </c>
      <c r="I716" s="2">
        <v>221</v>
      </c>
      <c r="J716" s="2">
        <v>195</v>
      </c>
      <c r="K716" s="2">
        <v>209</v>
      </c>
      <c r="L716" s="2">
        <v>191</v>
      </c>
      <c r="M716" s="2">
        <v>199</v>
      </c>
      <c r="N716" s="2">
        <v>212</v>
      </c>
      <c r="O716" s="2">
        <v>195</v>
      </c>
      <c r="P716" s="2">
        <v>2367</v>
      </c>
      <c r="Q716" s="2">
        <v>10</v>
      </c>
      <c r="R716" s="2">
        <v>23670</v>
      </c>
      <c r="S716" s="4">
        <f>SUM($R$2:R716) / SUM($R:$R)</f>
        <v>0.99753004953240632</v>
      </c>
      <c r="T716" s="3" t="str">
        <f t="shared" si="66"/>
        <v>C</v>
      </c>
      <c r="U716" s="2">
        <f t="shared" si="67"/>
        <v>197.25</v>
      </c>
      <c r="V716" s="2">
        <f t="shared" si="68"/>
        <v>13.94225102472207</v>
      </c>
      <c r="W716" s="2">
        <f t="shared" si="69"/>
        <v>7.0683148414307076E-2</v>
      </c>
      <c r="X716" s="2" t="str">
        <f t="shared" si="70"/>
        <v>X</v>
      </c>
      <c r="Y716" s="2" t="str">
        <f t="shared" si="71"/>
        <v>CX</v>
      </c>
    </row>
    <row r="717" spans="1:25" x14ac:dyDescent="0.3">
      <c r="A717" s="2" t="s">
        <v>253</v>
      </c>
      <c r="B717" s="2" t="s">
        <v>254</v>
      </c>
      <c r="C717" s="2" t="s">
        <v>25</v>
      </c>
      <c r="D717" s="2">
        <v>35</v>
      </c>
      <c r="E717" s="2">
        <v>330</v>
      </c>
      <c r="F717" s="2">
        <v>19</v>
      </c>
      <c r="G717" s="2">
        <v>405</v>
      </c>
      <c r="H717" s="2">
        <v>345</v>
      </c>
      <c r="I717" s="2">
        <v>286</v>
      </c>
      <c r="J717" s="2">
        <v>280</v>
      </c>
      <c r="K717" s="2">
        <v>104</v>
      </c>
      <c r="L717" s="2">
        <v>153</v>
      </c>
      <c r="M717" s="2">
        <v>209</v>
      </c>
      <c r="N717" s="2">
        <v>12</v>
      </c>
      <c r="O717" s="2">
        <v>181</v>
      </c>
      <c r="P717" s="2">
        <v>2359</v>
      </c>
      <c r="Q717" s="2">
        <v>10</v>
      </c>
      <c r="R717" s="2">
        <v>23590</v>
      </c>
      <c r="S717" s="4">
        <f>SUM($R$2:R717) / SUM($R:$R)</f>
        <v>0.9975520492211094</v>
      </c>
      <c r="T717" s="3" t="str">
        <f t="shared" si="66"/>
        <v>C</v>
      </c>
      <c r="U717" s="2">
        <f t="shared" si="67"/>
        <v>196.58333333333334</v>
      </c>
      <c r="V717" s="2">
        <f t="shared" si="68"/>
        <v>135.11036453973696</v>
      </c>
      <c r="W717" s="2">
        <f t="shared" si="69"/>
        <v>0.68729307947301543</v>
      </c>
      <c r="X717" s="2" t="str">
        <f t="shared" si="70"/>
        <v>Z</v>
      </c>
      <c r="Y717" s="2" t="str">
        <f t="shared" si="71"/>
        <v>CZ</v>
      </c>
    </row>
    <row r="718" spans="1:25" x14ac:dyDescent="0.3">
      <c r="A718" s="2" t="s">
        <v>1855</v>
      </c>
      <c r="B718" s="2" t="s">
        <v>1856</v>
      </c>
      <c r="C718" s="2" t="s">
        <v>56</v>
      </c>
      <c r="D718" s="2">
        <v>193</v>
      </c>
      <c r="E718" s="2">
        <v>172</v>
      </c>
      <c r="F718" s="2">
        <v>194</v>
      </c>
      <c r="G718" s="2">
        <v>193</v>
      </c>
      <c r="H718" s="2">
        <v>192</v>
      </c>
      <c r="I718" s="2">
        <v>215</v>
      </c>
      <c r="J718" s="2">
        <v>203</v>
      </c>
      <c r="K718" s="2">
        <v>187</v>
      </c>
      <c r="L718" s="2">
        <v>206</v>
      </c>
      <c r="M718" s="2">
        <v>219</v>
      </c>
      <c r="N718" s="2">
        <v>203</v>
      </c>
      <c r="O718" s="2">
        <v>181</v>
      </c>
      <c r="P718" s="2">
        <v>2358</v>
      </c>
      <c r="Q718" s="2">
        <v>10</v>
      </c>
      <c r="R718" s="2">
        <v>23580</v>
      </c>
      <c r="S718" s="4">
        <f>SUM($R$2:R718) / SUM($R:$R)</f>
        <v>0.99757403958395874</v>
      </c>
      <c r="T718" s="3" t="str">
        <f t="shared" si="66"/>
        <v>C</v>
      </c>
      <c r="U718" s="2">
        <f t="shared" si="67"/>
        <v>196.5</v>
      </c>
      <c r="V718" s="2">
        <f t="shared" si="68"/>
        <v>13.500841724600999</v>
      </c>
      <c r="W718" s="2">
        <f t="shared" si="69"/>
        <v>6.8706573662091597E-2</v>
      </c>
      <c r="X718" s="2" t="str">
        <f t="shared" si="70"/>
        <v>X</v>
      </c>
      <c r="Y718" s="2" t="str">
        <f t="shared" si="71"/>
        <v>CX</v>
      </c>
    </row>
    <row r="719" spans="1:25" x14ac:dyDescent="0.3">
      <c r="A719" s="2" t="s">
        <v>651</v>
      </c>
      <c r="B719" s="2" t="s">
        <v>652</v>
      </c>
      <c r="C719" s="2" t="s">
        <v>41</v>
      </c>
      <c r="D719" s="2">
        <v>192</v>
      </c>
      <c r="E719" s="2">
        <v>193</v>
      </c>
      <c r="F719" s="2">
        <v>196</v>
      </c>
      <c r="G719" s="2">
        <v>195</v>
      </c>
      <c r="H719" s="2">
        <v>189</v>
      </c>
      <c r="I719" s="2">
        <v>182</v>
      </c>
      <c r="J719" s="2">
        <v>185</v>
      </c>
      <c r="K719" s="2">
        <v>212</v>
      </c>
      <c r="L719" s="2">
        <v>187</v>
      </c>
      <c r="M719" s="2">
        <v>218</v>
      </c>
      <c r="N719" s="2">
        <v>199</v>
      </c>
      <c r="O719" s="2">
        <v>193</v>
      </c>
      <c r="P719" s="2">
        <v>2341</v>
      </c>
      <c r="Q719" s="2">
        <v>10</v>
      </c>
      <c r="R719" s="2">
        <v>23410</v>
      </c>
      <c r="S719" s="4">
        <f>SUM($R$2:R719) / SUM($R:$R)</f>
        <v>0.99759587140729644</v>
      </c>
      <c r="T719" s="3" t="str">
        <f t="shared" si="66"/>
        <v>C</v>
      </c>
      <c r="U719" s="2">
        <f t="shared" si="67"/>
        <v>195.08333333333334</v>
      </c>
      <c r="V719" s="2">
        <f t="shared" si="68"/>
        <v>10.535294217174204</v>
      </c>
      <c r="W719" s="2">
        <f t="shared" si="69"/>
        <v>5.400407116876995E-2</v>
      </c>
      <c r="X719" s="2" t="str">
        <f t="shared" si="70"/>
        <v>X</v>
      </c>
      <c r="Y719" s="2" t="str">
        <f t="shared" si="71"/>
        <v>CX</v>
      </c>
    </row>
    <row r="720" spans="1:25" x14ac:dyDescent="0.3">
      <c r="A720" s="2" t="s">
        <v>125</v>
      </c>
      <c r="B720" s="2" t="s">
        <v>126</v>
      </c>
      <c r="C720" s="2" t="s">
        <v>56</v>
      </c>
      <c r="D720" s="2">
        <v>186</v>
      </c>
      <c r="E720" s="2">
        <v>191</v>
      </c>
      <c r="F720" s="2">
        <v>201</v>
      </c>
      <c r="G720" s="2">
        <v>196</v>
      </c>
      <c r="H720" s="2">
        <v>192</v>
      </c>
      <c r="I720" s="2">
        <v>205</v>
      </c>
      <c r="J720" s="2">
        <v>185</v>
      </c>
      <c r="K720" s="2">
        <v>209</v>
      </c>
      <c r="L720" s="2">
        <v>194</v>
      </c>
      <c r="M720" s="2">
        <v>193</v>
      </c>
      <c r="N720" s="2">
        <v>189</v>
      </c>
      <c r="O720" s="2">
        <v>180</v>
      </c>
      <c r="P720" s="2">
        <v>2321</v>
      </c>
      <c r="Q720" s="2">
        <v>10</v>
      </c>
      <c r="R720" s="2">
        <v>23210</v>
      </c>
      <c r="S720" s="4">
        <f>SUM($R$2:R720) / SUM($R:$R)</f>
        <v>0.99761751671356169</v>
      </c>
      <c r="T720" s="3" t="str">
        <f t="shared" si="66"/>
        <v>C</v>
      </c>
      <c r="U720" s="2">
        <f t="shared" si="67"/>
        <v>193.41666666666666</v>
      </c>
      <c r="V720" s="2">
        <f t="shared" si="68"/>
        <v>8.3932693092125739</v>
      </c>
      <c r="W720" s="2">
        <f t="shared" si="69"/>
        <v>4.3394757307432523E-2</v>
      </c>
      <c r="X720" s="2" t="str">
        <f t="shared" si="70"/>
        <v>X</v>
      </c>
      <c r="Y720" s="2" t="str">
        <f t="shared" si="71"/>
        <v>CX</v>
      </c>
    </row>
    <row r="721" spans="1:25" x14ac:dyDescent="0.3">
      <c r="A721" s="2" t="s">
        <v>451</v>
      </c>
      <c r="B721" s="2" t="s">
        <v>452</v>
      </c>
      <c r="C721" s="2" t="s">
        <v>25</v>
      </c>
      <c r="D721" s="2">
        <v>695</v>
      </c>
      <c r="E721" s="2">
        <v>787</v>
      </c>
      <c r="F721" s="2">
        <v>1191</v>
      </c>
      <c r="G721" s="2">
        <v>1087</v>
      </c>
      <c r="H721" s="2">
        <v>1114</v>
      </c>
      <c r="I721" s="2">
        <v>951</v>
      </c>
      <c r="J721" s="2">
        <v>794</v>
      </c>
      <c r="K721" s="2">
        <v>742</v>
      </c>
      <c r="L721" s="2">
        <v>1207</v>
      </c>
      <c r="M721" s="2">
        <v>1232</v>
      </c>
      <c r="N721" s="2">
        <v>1087</v>
      </c>
      <c r="O721" s="2">
        <v>700</v>
      </c>
      <c r="P721" s="2">
        <v>11587</v>
      </c>
      <c r="Q721" s="2">
        <v>2</v>
      </c>
      <c r="R721" s="2">
        <v>23174</v>
      </c>
      <c r="S721" s="4">
        <f>SUM($R$2:R721) / SUM($R:$R)</f>
        <v>0.99763912844675395</v>
      </c>
      <c r="T721" s="3" t="str">
        <f t="shared" si="66"/>
        <v>C</v>
      </c>
      <c r="U721" s="2">
        <f t="shared" si="67"/>
        <v>965.58333333333337</v>
      </c>
      <c r="V721" s="2">
        <f t="shared" si="68"/>
        <v>210.38253398526351</v>
      </c>
      <c r="W721" s="2">
        <f t="shared" si="69"/>
        <v>0.21788128142083041</v>
      </c>
      <c r="X721" s="2" t="str">
        <f t="shared" si="70"/>
        <v>Y</v>
      </c>
      <c r="Y721" s="2" t="str">
        <f t="shared" si="71"/>
        <v>CY</v>
      </c>
    </row>
    <row r="722" spans="1:25" x14ac:dyDescent="0.3">
      <c r="A722" s="2" t="s">
        <v>1589</v>
      </c>
      <c r="B722" s="2" t="s">
        <v>1590</v>
      </c>
      <c r="C722" s="2" t="s">
        <v>56</v>
      </c>
      <c r="D722" s="2">
        <v>183</v>
      </c>
      <c r="E722" s="2">
        <v>209</v>
      </c>
      <c r="F722" s="2">
        <v>205</v>
      </c>
      <c r="G722" s="2">
        <v>184</v>
      </c>
      <c r="H722" s="2">
        <v>182</v>
      </c>
      <c r="I722" s="2">
        <v>177</v>
      </c>
      <c r="J722" s="2">
        <v>186</v>
      </c>
      <c r="K722" s="2">
        <v>190</v>
      </c>
      <c r="L722" s="2">
        <v>200</v>
      </c>
      <c r="M722" s="2">
        <v>177</v>
      </c>
      <c r="N722" s="2">
        <v>206</v>
      </c>
      <c r="O722" s="2">
        <v>170</v>
      </c>
      <c r="P722" s="2">
        <v>2269</v>
      </c>
      <c r="Q722" s="2">
        <v>10</v>
      </c>
      <c r="R722" s="2">
        <v>22690</v>
      </c>
      <c r="S722" s="4">
        <f>SUM($R$2:R722) / SUM($R:$R)</f>
        <v>0.99766028880863056</v>
      </c>
      <c r="T722" s="3" t="str">
        <f t="shared" si="66"/>
        <v>C</v>
      </c>
      <c r="U722" s="2">
        <f t="shared" si="67"/>
        <v>189.08333333333334</v>
      </c>
      <c r="V722" s="2">
        <f t="shared" si="68"/>
        <v>12.915518032994498</v>
      </c>
      <c r="W722" s="2">
        <f t="shared" si="69"/>
        <v>6.8305956983664151E-2</v>
      </c>
      <c r="X722" s="2" t="str">
        <f t="shared" si="70"/>
        <v>X</v>
      </c>
      <c r="Y722" s="2" t="str">
        <f t="shared" si="71"/>
        <v>CX</v>
      </c>
    </row>
    <row r="723" spans="1:25" x14ac:dyDescent="0.3">
      <c r="A723" s="2" t="s">
        <v>133</v>
      </c>
      <c r="B723" s="2" t="s">
        <v>134</v>
      </c>
      <c r="C723" s="2" t="s">
        <v>25</v>
      </c>
      <c r="D723" s="2">
        <v>1190</v>
      </c>
      <c r="E723" s="2">
        <v>1200</v>
      </c>
      <c r="F723" s="2">
        <v>1197</v>
      </c>
      <c r="G723" s="2">
        <v>684</v>
      </c>
      <c r="H723" s="2">
        <v>761</v>
      </c>
      <c r="I723" s="2">
        <v>937</v>
      </c>
      <c r="J723" s="2">
        <v>669</v>
      </c>
      <c r="K723" s="2">
        <v>1002</v>
      </c>
      <c r="L723" s="2">
        <v>994</v>
      </c>
      <c r="M723" s="2">
        <v>1053</v>
      </c>
      <c r="N723" s="2">
        <v>943</v>
      </c>
      <c r="O723" s="2">
        <v>692</v>
      </c>
      <c r="P723" s="2">
        <v>11322</v>
      </c>
      <c r="Q723" s="2">
        <v>2</v>
      </c>
      <c r="R723" s="2">
        <v>22644</v>
      </c>
      <c r="S723" s="4">
        <f>SUM($R$2:R723) / SUM($R:$R)</f>
        <v>0.99768140627158064</v>
      </c>
      <c r="T723" s="3" t="str">
        <f t="shared" si="66"/>
        <v>C</v>
      </c>
      <c r="U723" s="2">
        <f t="shared" si="67"/>
        <v>943.5</v>
      </c>
      <c r="V723" s="2">
        <f t="shared" si="68"/>
        <v>201.82598265022091</v>
      </c>
      <c r="W723" s="2">
        <f t="shared" si="69"/>
        <v>0.21391201128799248</v>
      </c>
      <c r="X723" s="2" t="str">
        <f t="shared" si="70"/>
        <v>Y</v>
      </c>
      <c r="Y723" s="2" t="str">
        <f t="shared" si="71"/>
        <v>CY</v>
      </c>
    </row>
    <row r="724" spans="1:25" x14ac:dyDescent="0.3">
      <c r="A724" s="2" t="s">
        <v>26</v>
      </c>
      <c r="B724" s="2" t="s">
        <v>27</v>
      </c>
      <c r="C724" s="2" t="s">
        <v>25</v>
      </c>
      <c r="D724" s="2">
        <v>1145</v>
      </c>
      <c r="E724" s="2">
        <v>1113</v>
      </c>
      <c r="F724" s="2">
        <v>717</v>
      </c>
      <c r="G724" s="2">
        <v>832</v>
      </c>
      <c r="H724" s="2">
        <v>783</v>
      </c>
      <c r="I724" s="2">
        <v>954</v>
      </c>
      <c r="J724" s="2">
        <v>1047</v>
      </c>
      <c r="K724" s="2">
        <v>894</v>
      </c>
      <c r="L724" s="2">
        <v>994</v>
      </c>
      <c r="M724" s="2">
        <v>978</v>
      </c>
      <c r="N724" s="2">
        <v>1136</v>
      </c>
      <c r="O724" s="2">
        <v>712</v>
      </c>
      <c r="P724" s="2">
        <v>11305</v>
      </c>
      <c r="Q724" s="2">
        <v>2</v>
      </c>
      <c r="R724" s="2">
        <v>22610</v>
      </c>
      <c r="S724" s="4">
        <f>SUM($R$2:R724) / SUM($R:$R)</f>
        <v>0.99770249202662831</v>
      </c>
      <c r="T724" s="3" t="str">
        <f t="shared" si="66"/>
        <v>C</v>
      </c>
      <c r="U724" s="2">
        <f t="shared" si="67"/>
        <v>942.08333333333337</v>
      </c>
      <c r="V724" s="2">
        <f t="shared" si="68"/>
        <v>155.64087937728081</v>
      </c>
      <c r="W724" s="2">
        <f t="shared" si="69"/>
        <v>0.16520924834386286</v>
      </c>
      <c r="X724" s="2" t="str">
        <f t="shared" si="70"/>
        <v>X</v>
      </c>
      <c r="Y724" s="2" t="str">
        <f t="shared" si="71"/>
        <v>CX</v>
      </c>
    </row>
    <row r="725" spans="1:25" x14ac:dyDescent="0.3">
      <c r="A725" s="2" t="s">
        <v>831</v>
      </c>
      <c r="B725" s="2" t="s">
        <v>832</v>
      </c>
      <c r="C725" s="2" t="s">
        <v>25</v>
      </c>
      <c r="D725" s="2">
        <v>1012</v>
      </c>
      <c r="E725" s="2">
        <v>1042</v>
      </c>
      <c r="F725" s="2">
        <v>623</v>
      </c>
      <c r="G725" s="2">
        <v>636</v>
      </c>
      <c r="H725" s="2">
        <v>1092</v>
      </c>
      <c r="I725" s="2">
        <v>901</v>
      </c>
      <c r="J725" s="2">
        <v>748</v>
      </c>
      <c r="K725" s="2">
        <v>1088</v>
      </c>
      <c r="L725" s="2">
        <v>951</v>
      </c>
      <c r="M725" s="2">
        <v>1103</v>
      </c>
      <c r="N725" s="2">
        <v>1078</v>
      </c>
      <c r="O725" s="2">
        <v>954</v>
      </c>
      <c r="P725" s="2">
        <v>11228</v>
      </c>
      <c r="Q725" s="2">
        <v>2</v>
      </c>
      <c r="R725" s="2">
        <v>22456</v>
      </c>
      <c r="S725" s="4">
        <f>SUM($R$2:R725) / SUM($R:$R)</f>
        <v>0.99772343416353015</v>
      </c>
      <c r="T725" s="3" t="str">
        <f t="shared" si="66"/>
        <v>C</v>
      </c>
      <c r="U725" s="2">
        <f t="shared" si="67"/>
        <v>935.66666666666663</v>
      </c>
      <c r="V725" s="2">
        <f t="shared" si="68"/>
        <v>175.18578882449498</v>
      </c>
      <c r="W725" s="2">
        <f t="shared" si="69"/>
        <v>0.18723098199981653</v>
      </c>
      <c r="X725" s="2" t="str">
        <f t="shared" si="70"/>
        <v>X</v>
      </c>
      <c r="Y725" s="2" t="str">
        <f t="shared" si="71"/>
        <v>CX</v>
      </c>
    </row>
    <row r="726" spans="1:25" x14ac:dyDescent="0.3">
      <c r="A726" s="2" t="s">
        <v>691</v>
      </c>
      <c r="B726" s="2" t="s">
        <v>692</v>
      </c>
      <c r="C726" s="2" t="s">
        <v>36</v>
      </c>
      <c r="D726" s="2">
        <v>205</v>
      </c>
      <c r="E726" s="2">
        <v>176</v>
      </c>
      <c r="F726" s="2">
        <v>174</v>
      </c>
      <c r="G726" s="2">
        <v>205</v>
      </c>
      <c r="H726" s="2">
        <v>172</v>
      </c>
      <c r="I726" s="2">
        <v>165</v>
      </c>
      <c r="J726" s="2">
        <v>178</v>
      </c>
      <c r="K726" s="2">
        <v>201</v>
      </c>
      <c r="L726" s="2">
        <v>182</v>
      </c>
      <c r="M726" s="2">
        <v>187</v>
      </c>
      <c r="N726" s="2">
        <v>182</v>
      </c>
      <c r="O726" s="2">
        <v>175</v>
      </c>
      <c r="P726" s="2">
        <v>2202</v>
      </c>
      <c r="Q726" s="2">
        <v>10</v>
      </c>
      <c r="R726" s="2">
        <v>22020</v>
      </c>
      <c r="S726" s="4">
        <f>SUM($R$2:R726) / SUM($R:$R)</f>
        <v>0.99774396969321388</v>
      </c>
      <c r="T726" s="3" t="str">
        <f t="shared" si="66"/>
        <v>C</v>
      </c>
      <c r="U726" s="2">
        <f t="shared" si="67"/>
        <v>183.5</v>
      </c>
      <c r="V726" s="2">
        <f t="shared" si="68"/>
        <v>13.38588130015421</v>
      </c>
      <c r="W726" s="2">
        <f t="shared" si="69"/>
        <v>7.2947582017189164E-2</v>
      </c>
      <c r="X726" s="2" t="str">
        <f t="shared" si="70"/>
        <v>X</v>
      </c>
      <c r="Y726" s="2" t="str">
        <f t="shared" si="71"/>
        <v>CX</v>
      </c>
    </row>
    <row r="727" spans="1:25" x14ac:dyDescent="0.3">
      <c r="A727" s="2" t="s">
        <v>1661</v>
      </c>
      <c r="B727" s="2" t="s">
        <v>1662</v>
      </c>
      <c r="C727" s="2" t="s">
        <v>25</v>
      </c>
      <c r="D727" s="2">
        <v>1009</v>
      </c>
      <c r="E727" s="2">
        <v>898</v>
      </c>
      <c r="F727" s="2">
        <v>793</v>
      </c>
      <c r="G727" s="2">
        <v>889</v>
      </c>
      <c r="H727" s="2">
        <v>899</v>
      </c>
      <c r="I727" s="2">
        <v>843</v>
      </c>
      <c r="J727" s="2">
        <v>892</v>
      </c>
      <c r="K727" s="2">
        <v>572</v>
      </c>
      <c r="L727" s="2">
        <v>1051</v>
      </c>
      <c r="M727" s="2">
        <v>984</v>
      </c>
      <c r="N727" s="2">
        <v>1044</v>
      </c>
      <c r="O727" s="2">
        <v>895</v>
      </c>
      <c r="P727" s="2">
        <v>10769</v>
      </c>
      <c r="Q727" s="2">
        <v>2</v>
      </c>
      <c r="R727" s="2">
        <v>21538</v>
      </c>
      <c r="S727" s="4">
        <f>SUM($R$2:R727) / SUM($R:$R)</f>
        <v>0.99776405571675297</v>
      </c>
      <c r="T727" s="3" t="str">
        <f t="shared" si="66"/>
        <v>C</v>
      </c>
      <c r="U727" s="2">
        <f t="shared" si="67"/>
        <v>897.41666666666663</v>
      </c>
      <c r="V727" s="2">
        <f t="shared" si="68"/>
        <v>129.64669356183015</v>
      </c>
      <c r="W727" s="2">
        <f t="shared" si="69"/>
        <v>0.14446655425220187</v>
      </c>
      <c r="X727" s="2" t="str">
        <f t="shared" si="70"/>
        <v>X</v>
      </c>
      <c r="Y727" s="2" t="str">
        <f t="shared" si="71"/>
        <v>CX</v>
      </c>
    </row>
    <row r="728" spans="1:25" x14ac:dyDescent="0.3">
      <c r="A728" s="2" t="s">
        <v>1657</v>
      </c>
      <c r="B728" s="2" t="s">
        <v>1658</v>
      </c>
      <c r="C728" s="2" t="s">
        <v>41</v>
      </c>
      <c r="D728" s="2">
        <v>187</v>
      </c>
      <c r="E728" s="2">
        <v>197</v>
      </c>
      <c r="F728" s="2">
        <v>185</v>
      </c>
      <c r="G728" s="2">
        <v>184</v>
      </c>
      <c r="H728" s="2">
        <v>176</v>
      </c>
      <c r="I728" s="2">
        <v>194</v>
      </c>
      <c r="J728" s="2">
        <v>200</v>
      </c>
      <c r="K728" s="2">
        <v>153</v>
      </c>
      <c r="L728" s="2">
        <v>164</v>
      </c>
      <c r="M728" s="2">
        <v>155</v>
      </c>
      <c r="N728" s="2">
        <v>171</v>
      </c>
      <c r="O728" s="2">
        <v>185</v>
      </c>
      <c r="P728" s="2">
        <v>2151</v>
      </c>
      <c r="Q728" s="2">
        <v>10</v>
      </c>
      <c r="R728" s="2">
        <v>21510</v>
      </c>
      <c r="S728" s="4">
        <f>SUM($R$2:R728) / SUM($R:$R)</f>
        <v>0.99778411562790181</v>
      </c>
      <c r="T728" s="3" t="str">
        <f t="shared" si="66"/>
        <v>C</v>
      </c>
      <c r="U728" s="2">
        <f t="shared" si="67"/>
        <v>179.25</v>
      </c>
      <c r="V728" s="2">
        <f t="shared" si="68"/>
        <v>15.667714342790168</v>
      </c>
      <c r="W728" s="2">
        <f t="shared" si="69"/>
        <v>8.7407053516263142E-2</v>
      </c>
      <c r="X728" s="2" t="str">
        <f t="shared" si="70"/>
        <v>X</v>
      </c>
      <c r="Y728" s="2" t="str">
        <f t="shared" si="71"/>
        <v>CX</v>
      </c>
    </row>
    <row r="729" spans="1:25" x14ac:dyDescent="0.3">
      <c r="A729" s="2" t="s">
        <v>749</v>
      </c>
      <c r="B729" s="2" t="s">
        <v>750</v>
      </c>
      <c r="C729" s="2" t="s">
        <v>36</v>
      </c>
      <c r="D729" s="2">
        <v>188</v>
      </c>
      <c r="E729" s="2">
        <v>179</v>
      </c>
      <c r="F729" s="2">
        <v>156</v>
      </c>
      <c r="G729" s="2">
        <v>178</v>
      </c>
      <c r="H729" s="2">
        <v>174</v>
      </c>
      <c r="I729" s="2">
        <v>210</v>
      </c>
      <c r="J729" s="2">
        <v>169</v>
      </c>
      <c r="K729" s="2">
        <v>181</v>
      </c>
      <c r="L729" s="2">
        <v>181</v>
      </c>
      <c r="M729" s="2">
        <v>188</v>
      </c>
      <c r="N729" s="2">
        <v>186</v>
      </c>
      <c r="O729" s="2">
        <v>160</v>
      </c>
      <c r="P729" s="2">
        <v>2150</v>
      </c>
      <c r="Q729" s="2">
        <v>10</v>
      </c>
      <c r="R729" s="2">
        <v>21500</v>
      </c>
      <c r="S729" s="4">
        <f>SUM($R$2:R729) / SUM($R:$R)</f>
        <v>0.99780416621319701</v>
      </c>
      <c r="T729" s="3" t="str">
        <f t="shared" si="66"/>
        <v>C</v>
      </c>
      <c r="U729" s="2">
        <f t="shared" si="67"/>
        <v>179.16666666666666</v>
      </c>
      <c r="V729" s="2">
        <f t="shared" si="68"/>
        <v>14.128200897710245</v>
      </c>
      <c r="W729" s="2">
        <f t="shared" si="69"/>
        <v>7.8855074777917658E-2</v>
      </c>
      <c r="X729" s="2" t="str">
        <f t="shared" si="70"/>
        <v>X</v>
      </c>
      <c r="Y729" s="2" t="str">
        <f t="shared" si="71"/>
        <v>CX</v>
      </c>
    </row>
    <row r="730" spans="1:25" x14ac:dyDescent="0.3">
      <c r="A730" s="2" t="s">
        <v>1917</v>
      </c>
      <c r="B730" s="2" t="s">
        <v>1918</v>
      </c>
      <c r="C730" s="2" t="s">
        <v>25</v>
      </c>
      <c r="D730" s="2">
        <v>678</v>
      </c>
      <c r="E730" s="2">
        <v>1155</v>
      </c>
      <c r="F730" s="2">
        <v>790</v>
      </c>
      <c r="G730" s="2">
        <v>692</v>
      </c>
      <c r="H730" s="2">
        <v>1107</v>
      </c>
      <c r="I730" s="2">
        <v>868</v>
      </c>
      <c r="J730" s="2">
        <v>1123</v>
      </c>
      <c r="K730" s="2">
        <v>683</v>
      </c>
      <c r="L730" s="2">
        <v>647</v>
      </c>
      <c r="M730" s="2">
        <v>1043</v>
      </c>
      <c r="N730" s="2">
        <v>750</v>
      </c>
      <c r="O730" s="2">
        <v>1069</v>
      </c>
      <c r="P730" s="2">
        <v>10605</v>
      </c>
      <c r="Q730" s="2">
        <v>2</v>
      </c>
      <c r="R730" s="2">
        <v>21210</v>
      </c>
      <c r="S730" s="4">
        <f>SUM($R$2:R730) / SUM($R:$R)</f>
        <v>0.99782394634873717</v>
      </c>
      <c r="T730" s="3" t="str">
        <f t="shared" si="66"/>
        <v>C</v>
      </c>
      <c r="U730" s="2">
        <f t="shared" si="67"/>
        <v>883.75</v>
      </c>
      <c r="V730" s="2">
        <f t="shared" si="68"/>
        <v>200.61592658610132</v>
      </c>
      <c r="W730" s="2">
        <f t="shared" si="69"/>
        <v>0.22700529175230702</v>
      </c>
      <c r="X730" s="2" t="str">
        <f t="shared" si="70"/>
        <v>Y</v>
      </c>
      <c r="Y730" s="2" t="str">
        <f t="shared" si="71"/>
        <v>CY</v>
      </c>
    </row>
    <row r="731" spans="1:25" x14ac:dyDescent="0.3">
      <c r="A731" s="2" t="s">
        <v>1507</v>
      </c>
      <c r="B731" s="2" t="s">
        <v>1508</v>
      </c>
      <c r="C731" s="2" t="s">
        <v>25</v>
      </c>
      <c r="D731" s="2">
        <v>522</v>
      </c>
      <c r="E731" s="2">
        <v>730</v>
      </c>
      <c r="F731" s="2">
        <v>894</v>
      </c>
      <c r="G731" s="2">
        <v>1045</v>
      </c>
      <c r="H731" s="2">
        <v>1115</v>
      </c>
      <c r="I731" s="2">
        <v>1081</v>
      </c>
      <c r="J731" s="2">
        <v>553</v>
      </c>
      <c r="K731" s="2">
        <v>937</v>
      </c>
      <c r="L731" s="2">
        <v>953</v>
      </c>
      <c r="M731" s="2">
        <v>871</v>
      </c>
      <c r="N731" s="2">
        <v>637</v>
      </c>
      <c r="O731" s="2">
        <v>787</v>
      </c>
      <c r="P731" s="2">
        <v>10125</v>
      </c>
      <c r="Q731" s="2">
        <v>2</v>
      </c>
      <c r="R731" s="2">
        <v>20250</v>
      </c>
      <c r="S731" s="4">
        <f>SUM($R$2:R731) / SUM($R:$R)</f>
        <v>0.99784283120232919</v>
      </c>
      <c r="T731" s="3" t="str">
        <f t="shared" si="66"/>
        <v>C</v>
      </c>
      <c r="U731" s="2">
        <f t="shared" si="67"/>
        <v>843.75</v>
      </c>
      <c r="V731" s="2">
        <f t="shared" si="68"/>
        <v>200.27895319006709</v>
      </c>
      <c r="W731" s="2">
        <f t="shared" si="69"/>
        <v>0.23736764822526468</v>
      </c>
      <c r="X731" s="2" t="str">
        <f t="shared" si="70"/>
        <v>Y</v>
      </c>
      <c r="Y731" s="2" t="str">
        <f t="shared" si="71"/>
        <v>CY</v>
      </c>
    </row>
    <row r="732" spans="1:25" x14ac:dyDescent="0.3">
      <c r="A732" s="2" t="s">
        <v>1209</v>
      </c>
      <c r="B732" s="2" t="s">
        <v>1210</v>
      </c>
      <c r="C732" s="2" t="s">
        <v>25</v>
      </c>
      <c r="D732" s="2">
        <v>219</v>
      </c>
      <c r="E732" s="2">
        <v>136</v>
      </c>
      <c r="F732" s="2">
        <v>7</v>
      </c>
      <c r="G732" s="2">
        <v>187</v>
      </c>
      <c r="H732" s="2">
        <v>168</v>
      </c>
      <c r="I732" s="2">
        <v>395</v>
      </c>
      <c r="J732" s="2">
        <v>305</v>
      </c>
      <c r="K732" s="2">
        <v>235</v>
      </c>
      <c r="L732" s="2">
        <v>16</v>
      </c>
      <c r="M732" s="2">
        <v>118</v>
      </c>
      <c r="N732" s="2">
        <v>12</v>
      </c>
      <c r="O732" s="2">
        <v>197</v>
      </c>
      <c r="P732" s="2">
        <v>1995</v>
      </c>
      <c r="Q732" s="2">
        <v>10</v>
      </c>
      <c r="R732" s="2">
        <v>19950</v>
      </c>
      <c r="S732" s="4">
        <f>SUM($R$2:R732) / SUM($R:$R)</f>
        <v>0.99786143628031243</v>
      </c>
      <c r="T732" s="3" t="str">
        <f t="shared" si="66"/>
        <v>C</v>
      </c>
      <c r="U732" s="2">
        <f t="shared" si="67"/>
        <v>166.25</v>
      </c>
      <c r="V732" s="2">
        <f t="shared" si="68"/>
        <v>118.87283121049991</v>
      </c>
      <c r="W732" s="2">
        <f t="shared" si="69"/>
        <v>0.71502454863458598</v>
      </c>
      <c r="X732" s="2" t="str">
        <f t="shared" si="70"/>
        <v>Z</v>
      </c>
      <c r="Y732" s="2" t="str">
        <f t="shared" si="71"/>
        <v>CZ</v>
      </c>
    </row>
    <row r="733" spans="1:25" x14ac:dyDescent="0.3">
      <c r="A733" s="2" t="s">
        <v>191</v>
      </c>
      <c r="B733" s="2" t="s">
        <v>192</v>
      </c>
      <c r="C733" s="2" t="s">
        <v>25</v>
      </c>
      <c r="D733" s="2">
        <v>970</v>
      </c>
      <c r="E733" s="2">
        <v>676</v>
      </c>
      <c r="F733" s="2">
        <v>515</v>
      </c>
      <c r="G733" s="2">
        <v>1056</v>
      </c>
      <c r="H733" s="2">
        <v>1046</v>
      </c>
      <c r="I733" s="2">
        <v>728</v>
      </c>
      <c r="J733" s="2">
        <v>560</v>
      </c>
      <c r="K733" s="2">
        <v>929</v>
      </c>
      <c r="L733" s="2">
        <v>947</v>
      </c>
      <c r="M733" s="2">
        <v>859</v>
      </c>
      <c r="N733" s="2">
        <v>844</v>
      </c>
      <c r="O733" s="2">
        <v>812</v>
      </c>
      <c r="P733" s="2">
        <v>9942</v>
      </c>
      <c r="Q733" s="2">
        <v>2</v>
      </c>
      <c r="R733" s="2">
        <v>19884</v>
      </c>
      <c r="S733" s="4">
        <f>SUM($R$2:R733) / SUM($R:$R)</f>
        <v>0.99787997980766174</v>
      </c>
      <c r="T733" s="3" t="str">
        <f t="shared" si="66"/>
        <v>C</v>
      </c>
      <c r="U733" s="2">
        <f t="shared" si="67"/>
        <v>828.5</v>
      </c>
      <c r="V733" s="2">
        <f t="shared" si="68"/>
        <v>177.96858762663197</v>
      </c>
      <c r="W733" s="2">
        <f t="shared" si="69"/>
        <v>0.21480819266944112</v>
      </c>
      <c r="X733" s="2" t="str">
        <f t="shared" si="70"/>
        <v>Y</v>
      </c>
      <c r="Y733" s="2" t="str">
        <f t="shared" si="71"/>
        <v>CY</v>
      </c>
    </row>
    <row r="734" spans="1:25" x14ac:dyDescent="0.3">
      <c r="A734" s="2" t="s">
        <v>1287</v>
      </c>
      <c r="B734" s="2" t="s">
        <v>1288</v>
      </c>
      <c r="C734" s="2" t="s">
        <v>36</v>
      </c>
      <c r="D734" s="2">
        <v>146</v>
      </c>
      <c r="E734" s="2">
        <v>174</v>
      </c>
      <c r="F734" s="2">
        <v>163</v>
      </c>
      <c r="G734" s="2">
        <v>150</v>
      </c>
      <c r="H734" s="2">
        <v>160</v>
      </c>
      <c r="I734" s="2">
        <v>187</v>
      </c>
      <c r="J734" s="2">
        <v>157</v>
      </c>
      <c r="K734" s="2">
        <v>172</v>
      </c>
      <c r="L734" s="2">
        <v>180</v>
      </c>
      <c r="M734" s="2">
        <v>183</v>
      </c>
      <c r="N734" s="2">
        <v>139</v>
      </c>
      <c r="O734" s="2">
        <v>168</v>
      </c>
      <c r="P734" s="2">
        <v>1979</v>
      </c>
      <c r="Q734" s="2">
        <v>10</v>
      </c>
      <c r="R734" s="2">
        <v>19790</v>
      </c>
      <c r="S734" s="4">
        <f>SUM($R$2:R734) / SUM($R:$R)</f>
        <v>0.99789843567198699</v>
      </c>
      <c r="T734" s="3" t="str">
        <f t="shared" si="66"/>
        <v>C</v>
      </c>
      <c r="U734" s="2">
        <f t="shared" si="67"/>
        <v>164.91666666666666</v>
      </c>
      <c r="V734" s="2">
        <f t="shared" si="68"/>
        <v>15.156506753526585</v>
      </c>
      <c r="W734" s="2">
        <f t="shared" si="69"/>
        <v>9.1904032866255203E-2</v>
      </c>
      <c r="X734" s="2" t="str">
        <f t="shared" si="70"/>
        <v>X</v>
      </c>
      <c r="Y734" s="2" t="str">
        <f t="shared" si="71"/>
        <v>CX</v>
      </c>
    </row>
    <row r="735" spans="1:25" x14ac:dyDescent="0.3">
      <c r="A735" s="2" t="s">
        <v>1407</v>
      </c>
      <c r="B735" s="2" t="s">
        <v>1408</v>
      </c>
      <c r="C735" s="2" t="s">
        <v>25</v>
      </c>
      <c r="D735" s="2">
        <v>706</v>
      </c>
      <c r="E735" s="2">
        <v>873</v>
      </c>
      <c r="F735" s="2">
        <v>880</v>
      </c>
      <c r="G735" s="2">
        <v>631</v>
      </c>
      <c r="H735" s="2">
        <v>936</v>
      </c>
      <c r="I735" s="2">
        <v>811</v>
      </c>
      <c r="J735" s="2">
        <v>651</v>
      </c>
      <c r="K735" s="2">
        <v>1033</v>
      </c>
      <c r="L735" s="2">
        <v>763</v>
      </c>
      <c r="M735" s="2">
        <v>1016</v>
      </c>
      <c r="N735" s="2">
        <v>777</v>
      </c>
      <c r="O735" s="2">
        <v>718</v>
      </c>
      <c r="P735" s="2">
        <v>9795</v>
      </c>
      <c r="Q735" s="2">
        <v>2</v>
      </c>
      <c r="R735" s="2">
        <v>19590</v>
      </c>
      <c r="S735" s="4">
        <f>SUM($R$2:R735) / SUM($R:$R)</f>
        <v>0.99791670501923968</v>
      </c>
      <c r="T735" s="3" t="str">
        <f t="shared" si="66"/>
        <v>C</v>
      </c>
      <c r="U735" s="2">
        <f t="shared" si="67"/>
        <v>816.25</v>
      </c>
      <c r="V735" s="2">
        <f t="shared" si="68"/>
        <v>133.60125543775948</v>
      </c>
      <c r="W735" s="2">
        <f t="shared" si="69"/>
        <v>0.1636768826190009</v>
      </c>
      <c r="X735" s="2" t="str">
        <f t="shared" si="70"/>
        <v>X</v>
      </c>
      <c r="Y735" s="2" t="str">
        <f t="shared" si="71"/>
        <v>CX</v>
      </c>
    </row>
    <row r="736" spans="1:25" x14ac:dyDescent="0.3">
      <c r="A736" s="2" t="s">
        <v>54</v>
      </c>
      <c r="B736" s="2" t="s">
        <v>55</v>
      </c>
      <c r="C736" s="2" t="s">
        <v>56</v>
      </c>
      <c r="D736" s="2">
        <v>159</v>
      </c>
      <c r="E736" s="2">
        <v>168</v>
      </c>
      <c r="F736" s="2">
        <v>152</v>
      </c>
      <c r="G736" s="2">
        <v>171</v>
      </c>
      <c r="H736" s="2">
        <v>174</v>
      </c>
      <c r="I736" s="2">
        <v>143</v>
      </c>
      <c r="J736" s="2">
        <v>183</v>
      </c>
      <c r="K736" s="2">
        <v>162</v>
      </c>
      <c r="L736" s="2">
        <v>152</v>
      </c>
      <c r="M736" s="2">
        <v>148</v>
      </c>
      <c r="N736" s="2">
        <v>158</v>
      </c>
      <c r="O736" s="2">
        <v>177</v>
      </c>
      <c r="P736" s="2">
        <v>1947</v>
      </c>
      <c r="Q736" s="2">
        <v>10</v>
      </c>
      <c r="R736" s="2">
        <v>19470</v>
      </c>
      <c r="S736" s="4">
        <f>SUM($R$2:R736) / SUM($R:$R)</f>
        <v>0.99793486245624896</v>
      </c>
      <c r="T736" s="3" t="str">
        <f t="shared" si="66"/>
        <v>C</v>
      </c>
      <c r="U736" s="2">
        <f t="shared" si="67"/>
        <v>162.25</v>
      </c>
      <c r="V736" s="2">
        <f t="shared" si="68"/>
        <v>12.461759688962651</v>
      </c>
      <c r="W736" s="2">
        <f t="shared" si="69"/>
        <v>7.6805914878044071E-2</v>
      </c>
      <c r="X736" s="2" t="str">
        <f t="shared" si="70"/>
        <v>X</v>
      </c>
      <c r="Y736" s="2" t="str">
        <f t="shared" si="71"/>
        <v>CX</v>
      </c>
    </row>
    <row r="737" spans="1:25" x14ac:dyDescent="0.3">
      <c r="A737" s="2" t="s">
        <v>1211</v>
      </c>
      <c r="B737" s="2" t="s">
        <v>1212</v>
      </c>
      <c r="C737" s="2" t="s">
        <v>25</v>
      </c>
      <c r="D737" s="2">
        <v>342</v>
      </c>
      <c r="E737" s="2">
        <v>160</v>
      </c>
      <c r="F737" s="2">
        <v>126</v>
      </c>
      <c r="G737" s="2">
        <v>96</v>
      </c>
      <c r="H737" s="2">
        <v>172</v>
      </c>
      <c r="I737" s="2">
        <v>313</v>
      </c>
      <c r="J737" s="2">
        <v>7</v>
      </c>
      <c r="K737" s="2">
        <v>304</v>
      </c>
      <c r="L737" s="2">
        <v>12</v>
      </c>
      <c r="M737" s="2">
        <v>86</v>
      </c>
      <c r="N737" s="2">
        <v>140</v>
      </c>
      <c r="O737" s="2">
        <v>179</v>
      </c>
      <c r="P737" s="2">
        <v>1937</v>
      </c>
      <c r="Q737" s="2">
        <v>10</v>
      </c>
      <c r="R737" s="2">
        <v>19370</v>
      </c>
      <c r="S737" s="4">
        <f>SUM($R$2:R737) / SUM($R:$R)</f>
        <v>0.9979529266347219</v>
      </c>
      <c r="T737" s="3" t="str">
        <f t="shared" si="66"/>
        <v>C</v>
      </c>
      <c r="U737" s="2">
        <f t="shared" si="67"/>
        <v>161.41666666666666</v>
      </c>
      <c r="V737" s="2">
        <f t="shared" si="68"/>
        <v>110.44987207970973</v>
      </c>
      <c r="W737" s="2">
        <f t="shared" si="69"/>
        <v>0.68425320854750482</v>
      </c>
      <c r="X737" s="2" t="str">
        <f t="shared" si="70"/>
        <v>Z</v>
      </c>
      <c r="Y737" s="2" t="str">
        <f t="shared" si="71"/>
        <v>CZ</v>
      </c>
    </row>
    <row r="738" spans="1:25" x14ac:dyDescent="0.3">
      <c r="A738" s="2" t="s">
        <v>1475</v>
      </c>
      <c r="B738" s="2" t="s">
        <v>1476</v>
      </c>
      <c r="C738" s="2" t="s">
        <v>41</v>
      </c>
      <c r="D738" s="2">
        <v>141</v>
      </c>
      <c r="E738" s="2">
        <v>169</v>
      </c>
      <c r="F738" s="2">
        <v>165</v>
      </c>
      <c r="G738" s="2">
        <v>166</v>
      </c>
      <c r="H738" s="2">
        <v>145</v>
      </c>
      <c r="I738" s="2">
        <v>170</v>
      </c>
      <c r="J738" s="2">
        <v>156</v>
      </c>
      <c r="K738" s="2">
        <v>144</v>
      </c>
      <c r="L738" s="2">
        <v>157</v>
      </c>
      <c r="M738" s="2">
        <v>163</v>
      </c>
      <c r="N738" s="2">
        <v>182</v>
      </c>
      <c r="O738" s="2">
        <v>151</v>
      </c>
      <c r="P738" s="2">
        <v>1909</v>
      </c>
      <c r="Q738" s="2">
        <v>10</v>
      </c>
      <c r="R738" s="2">
        <v>19090</v>
      </c>
      <c r="S738" s="4">
        <f>SUM($R$2:R738) / SUM($R:$R)</f>
        <v>0.99797072968929335</v>
      </c>
      <c r="T738" s="3" t="str">
        <f t="shared" si="66"/>
        <v>C</v>
      </c>
      <c r="U738" s="2">
        <f t="shared" si="67"/>
        <v>159.08333333333334</v>
      </c>
      <c r="V738" s="2">
        <f t="shared" si="68"/>
        <v>12.332207155790616</v>
      </c>
      <c r="W738" s="2">
        <f t="shared" si="69"/>
        <v>7.7520422142214454E-2</v>
      </c>
      <c r="X738" s="2" t="str">
        <f t="shared" si="70"/>
        <v>X</v>
      </c>
      <c r="Y738" s="2" t="str">
        <f t="shared" si="71"/>
        <v>CX</v>
      </c>
    </row>
    <row r="739" spans="1:25" x14ac:dyDescent="0.3">
      <c r="A739" s="2" t="s">
        <v>707</v>
      </c>
      <c r="B739" s="2" t="s">
        <v>708</v>
      </c>
      <c r="C739" s="2" t="s">
        <v>25</v>
      </c>
      <c r="D739" s="2">
        <v>528</v>
      </c>
      <c r="E739" s="2">
        <v>717</v>
      </c>
      <c r="F739" s="2">
        <v>675</v>
      </c>
      <c r="G739" s="2">
        <v>564</v>
      </c>
      <c r="H739" s="2">
        <v>968</v>
      </c>
      <c r="I739" s="2">
        <v>969</v>
      </c>
      <c r="J739" s="2">
        <v>1029</v>
      </c>
      <c r="K739" s="2">
        <v>772</v>
      </c>
      <c r="L739" s="2">
        <v>753</v>
      </c>
      <c r="M739" s="2">
        <v>730</v>
      </c>
      <c r="N739" s="2">
        <v>1048</v>
      </c>
      <c r="O739" s="2">
        <v>729</v>
      </c>
      <c r="P739" s="2">
        <v>9482</v>
      </c>
      <c r="Q739" s="2">
        <v>2</v>
      </c>
      <c r="R739" s="2">
        <v>18964</v>
      </c>
      <c r="S739" s="4">
        <f>SUM($R$2:R739) / SUM($R:$R)</f>
        <v>0.99798841523810911</v>
      </c>
      <c r="T739" s="3" t="str">
        <f t="shared" si="66"/>
        <v>C</v>
      </c>
      <c r="U739" s="2">
        <f t="shared" si="67"/>
        <v>790.16666666666663</v>
      </c>
      <c r="V739" s="2">
        <f t="shared" si="68"/>
        <v>174.43354208999091</v>
      </c>
      <c r="W739" s="2">
        <f t="shared" si="69"/>
        <v>0.2207553791478476</v>
      </c>
      <c r="X739" s="2" t="str">
        <f t="shared" si="70"/>
        <v>Y</v>
      </c>
      <c r="Y739" s="2" t="str">
        <f t="shared" si="71"/>
        <v>CY</v>
      </c>
    </row>
    <row r="740" spans="1:25" x14ac:dyDescent="0.3">
      <c r="A740" s="2" t="s">
        <v>173</v>
      </c>
      <c r="B740" s="2" t="s">
        <v>174</v>
      </c>
      <c r="C740" s="2" t="s">
        <v>25</v>
      </c>
      <c r="D740" s="2">
        <v>786</v>
      </c>
      <c r="E740" s="2">
        <v>542</v>
      </c>
      <c r="F740" s="2">
        <v>622</v>
      </c>
      <c r="G740" s="2">
        <v>532</v>
      </c>
      <c r="H740" s="2">
        <v>693</v>
      </c>
      <c r="I740" s="2">
        <v>1093</v>
      </c>
      <c r="J740" s="2">
        <v>885</v>
      </c>
      <c r="K740" s="2">
        <v>648</v>
      </c>
      <c r="L740" s="2">
        <v>667</v>
      </c>
      <c r="M740" s="2">
        <v>677</v>
      </c>
      <c r="N740" s="2">
        <v>1033</v>
      </c>
      <c r="O740" s="2">
        <v>1101</v>
      </c>
      <c r="P740" s="2">
        <v>9279</v>
      </c>
      <c r="Q740" s="2">
        <v>2</v>
      </c>
      <c r="R740" s="2">
        <v>18558</v>
      </c>
      <c r="S740" s="4">
        <f>SUM($R$2:R740) / SUM($R:$R)</f>
        <v>0.99800572215726768</v>
      </c>
      <c r="T740" s="3" t="str">
        <f t="shared" si="66"/>
        <v>C</v>
      </c>
      <c r="U740" s="2">
        <f t="shared" si="67"/>
        <v>773.25</v>
      </c>
      <c r="V740" s="2">
        <f t="shared" si="68"/>
        <v>206.04859312131381</v>
      </c>
      <c r="W740" s="2">
        <f t="shared" si="69"/>
        <v>0.26647086080997584</v>
      </c>
      <c r="X740" s="2" t="str">
        <f t="shared" si="70"/>
        <v>Y</v>
      </c>
      <c r="Y740" s="2" t="str">
        <f t="shared" si="71"/>
        <v>CY</v>
      </c>
    </row>
    <row r="741" spans="1:25" x14ac:dyDescent="0.3">
      <c r="A741" s="2" t="s">
        <v>1611</v>
      </c>
      <c r="B741" s="2" t="s">
        <v>1612</v>
      </c>
      <c r="C741" s="2" t="s">
        <v>41</v>
      </c>
      <c r="D741" s="2">
        <v>162</v>
      </c>
      <c r="E741" s="2">
        <v>156</v>
      </c>
      <c r="F741" s="2">
        <v>177</v>
      </c>
      <c r="G741" s="2">
        <v>155</v>
      </c>
      <c r="H741" s="2">
        <v>156</v>
      </c>
      <c r="I741" s="2">
        <v>151</v>
      </c>
      <c r="J741" s="2">
        <v>154</v>
      </c>
      <c r="K741" s="2">
        <v>155</v>
      </c>
      <c r="L741" s="2">
        <v>145</v>
      </c>
      <c r="M741" s="2">
        <v>145</v>
      </c>
      <c r="N741" s="2">
        <v>146</v>
      </c>
      <c r="O741" s="2">
        <v>141</v>
      </c>
      <c r="P741" s="2">
        <v>1843</v>
      </c>
      <c r="Q741" s="2">
        <v>10</v>
      </c>
      <c r="R741" s="2">
        <v>18430</v>
      </c>
      <c r="S741" s="4">
        <f>SUM($R$2:R741) / SUM($R:$R)</f>
        <v>0.99802290970549978</v>
      </c>
      <c r="T741" s="3" t="str">
        <f t="shared" si="66"/>
        <v>C</v>
      </c>
      <c r="U741" s="2">
        <f t="shared" si="67"/>
        <v>153.58333333333334</v>
      </c>
      <c r="V741" s="2">
        <f t="shared" si="68"/>
        <v>9.5580364409255427</v>
      </c>
      <c r="W741" s="2">
        <f t="shared" si="69"/>
        <v>6.2233552518234675E-2</v>
      </c>
      <c r="X741" s="2" t="str">
        <f t="shared" si="70"/>
        <v>X</v>
      </c>
      <c r="Y741" s="2" t="str">
        <f t="shared" si="71"/>
        <v>CX</v>
      </c>
    </row>
    <row r="742" spans="1:25" x14ac:dyDescent="0.3">
      <c r="A742" s="2" t="s">
        <v>1185</v>
      </c>
      <c r="B742" s="2" t="s">
        <v>1186</v>
      </c>
      <c r="C742" s="2" t="s">
        <v>25</v>
      </c>
      <c r="D742" s="2">
        <v>820</v>
      </c>
      <c r="E742" s="2">
        <v>554</v>
      </c>
      <c r="F742" s="2">
        <v>777</v>
      </c>
      <c r="G742" s="2">
        <v>779</v>
      </c>
      <c r="H742" s="2">
        <v>796</v>
      </c>
      <c r="I742" s="2">
        <v>833</v>
      </c>
      <c r="J742" s="2">
        <v>592</v>
      </c>
      <c r="K742" s="2">
        <v>877</v>
      </c>
      <c r="L742" s="2">
        <v>617</v>
      </c>
      <c r="M742" s="2">
        <v>863</v>
      </c>
      <c r="N742" s="2">
        <v>942</v>
      </c>
      <c r="O742" s="2">
        <v>730</v>
      </c>
      <c r="P742" s="2">
        <v>9180</v>
      </c>
      <c r="Q742" s="2">
        <v>2</v>
      </c>
      <c r="R742" s="2">
        <v>18360</v>
      </c>
      <c r="S742" s="4">
        <f>SUM($R$2:R742) / SUM($R:$R)</f>
        <v>0.99804003197275659</v>
      </c>
      <c r="T742" s="3" t="str">
        <f t="shared" si="66"/>
        <v>C</v>
      </c>
      <c r="U742" s="2">
        <f t="shared" si="67"/>
        <v>765</v>
      </c>
      <c r="V742" s="2">
        <f t="shared" si="68"/>
        <v>120.60679914499016</v>
      </c>
      <c r="W742" s="2">
        <f t="shared" si="69"/>
        <v>0.15765594659475837</v>
      </c>
      <c r="X742" s="2" t="str">
        <f t="shared" si="70"/>
        <v>X</v>
      </c>
      <c r="Y742" s="2" t="str">
        <f t="shared" si="71"/>
        <v>CX</v>
      </c>
    </row>
    <row r="743" spans="1:25" x14ac:dyDescent="0.3">
      <c r="A743" s="2" t="s">
        <v>61</v>
      </c>
      <c r="B743" s="2" t="s">
        <v>62</v>
      </c>
      <c r="C743" s="2" t="s">
        <v>25</v>
      </c>
      <c r="D743" s="2">
        <v>148</v>
      </c>
      <c r="E743" s="2">
        <v>24</v>
      </c>
      <c r="F743" s="2">
        <v>235</v>
      </c>
      <c r="G743" s="2">
        <v>76</v>
      </c>
      <c r="H743" s="2">
        <v>268</v>
      </c>
      <c r="I743" s="2">
        <v>19</v>
      </c>
      <c r="J743" s="2">
        <v>123</v>
      </c>
      <c r="K743" s="2">
        <v>171</v>
      </c>
      <c r="L743" s="2">
        <v>162</v>
      </c>
      <c r="M743" s="2">
        <v>386</v>
      </c>
      <c r="N743" s="2">
        <v>157</v>
      </c>
      <c r="O743" s="2">
        <v>51</v>
      </c>
      <c r="P743" s="2">
        <v>1820</v>
      </c>
      <c r="Q743" s="2">
        <v>10</v>
      </c>
      <c r="R743" s="2">
        <v>18200</v>
      </c>
      <c r="S743" s="4">
        <f>SUM($R$2:R743) / SUM($R:$R)</f>
        <v>0.9980570050263553</v>
      </c>
      <c r="T743" s="3" t="str">
        <f t="shared" si="66"/>
        <v>C</v>
      </c>
      <c r="U743" s="2">
        <f t="shared" si="67"/>
        <v>151.66666666666666</v>
      </c>
      <c r="V743" s="2">
        <f t="shared" si="68"/>
        <v>107.23494455322545</v>
      </c>
      <c r="W743" s="2">
        <f t="shared" si="69"/>
        <v>0.70704359046082721</v>
      </c>
      <c r="X743" s="2" t="str">
        <f t="shared" si="70"/>
        <v>Z</v>
      </c>
      <c r="Y743" s="2" t="str">
        <f t="shared" si="71"/>
        <v>CZ</v>
      </c>
    </row>
    <row r="744" spans="1:25" x14ac:dyDescent="0.3">
      <c r="A744" s="2" t="s">
        <v>89</v>
      </c>
      <c r="B744" s="2" t="s">
        <v>90</v>
      </c>
      <c r="C744" s="2" t="s">
        <v>25</v>
      </c>
      <c r="D744" s="2">
        <v>981</v>
      </c>
      <c r="E744" s="2">
        <v>728</v>
      </c>
      <c r="F744" s="2">
        <v>654</v>
      </c>
      <c r="G744" s="2">
        <v>842</v>
      </c>
      <c r="H744" s="2">
        <v>638</v>
      </c>
      <c r="I744" s="2">
        <v>722</v>
      </c>
      <c r="J744" s="2">
        <v>691</v>
      </c>
      <c r="K744" s="2">
        <v>731</v>
      </c>
      <c r="L744" s="2">
        <v>717</v>
      </c>
      <c r="M744" s="2">
        <v>643</v>
      </c>
      <c r="N744" s="2">
        <v>788</v>
      </c>
      <c r="O744" s="2">
        <v>932</v>
      </c>
      <c r="P744" s="2">
        <v>9067</v>
      </c>
      <c r="Q744" s="2">
        <v>2</v>
      </c>
      <c r="R744" s="2">
        <v>18134</v>
      </c>
      <c r="S744" s="4">
        <f>SUM($R$2:R744) / SUM($R:$R)</f>
        <v>0.9980739165293202</v>
      </c>
      <c r="T744" s="3" t="str">
        <f t="shared" si="66"/>
        <v>C</v>
      </c>
      <c r="U744" s="2">
        <f t="shared" si="67"/>
        <v>755.58333333333337</v>
      </c>
      <c r="V744" s="2">
        <f t="shared" si="68"/>
        <v>110.95736964612989</v>
      </c>
      <c r="W744" s="2">
        <f t="shared" si="69"/>
        <v>0.14684994328372766</v>
      </c>
      <c r="X744" s="2" t="str">
        <f t="shared" si="70"/>
        <v>X</v>
      </c>
      <c r="Y744" s="2" t="str">
        <f t="shared" si="71"/>
        <v>CX</v>
      </c>
    </row>
    <row r="745" spans="1:25" x14ac:dyDescent="0.3">
      <c r="A745" s="2" t="s">
        <v>395</v>
      </c>
      <c r="B745" s="2" t="s">
        <v>396</v>
      </c>
      <c r="C745" s="2" t="s">
        <v>25</v>
      </c>
      <c r="D745" s="2">
        <v>874</v>
      </c>
      <c r="E745" s="2">
        <v>487</v>
      </c>
      <c r="F745" s="2">
        <v>685</v>
      </c>
      <c r="G745" s="2">
        <v>980</v>
      </c>
      <c r="H745" s="2">
        <v>970</v>
      </c>
      <c r="I745" s="2">
        <v>1018</v>
      </c>
      <c r="J745" s="2">
        <v>863</v>
      </c>
      <c r="K745" s="2">
        <v>468</v>
      </c>
      <c r="L745" s="2">
        <v>487</v>
      </c>
      <c r="M745" s="2">
        <v>704</v>
      </c>
      <c r="N745" s="2">
        <v>670</v>
      </c>
      <c r="O745" s="2">
        <v>791</v>
      </c>
      <c r="P745" s="2">
        <v>8997</v>
      </c>
      <c r="Q745" s="2">
        <v>2</v>
      </c>
      <c r="R745" s="2">
        <v>17994</v>
      </c>
      <c r="S745" s="4">
        <f>SUM($R$2:R745) / SUM($R:$R)</f>
        <v>0.99809069747033419</v>
      </c>
      <c r="T745" s="3" t="str">
        <f t="shared" si="66"/>
        <v>C</v>
      </c>
      <c r="U745" s="2">
        <f t="shared" si="67"/>
        <v>749.75</v>
      </c>
      <c r="V745" s="2">
        <f t="shared" si="68"/>
        <v>198.52919409772184</v>
      </c>
      <c r="W745" s="2">
        <f t="shared" si="69"/>
        <v>0.26479385674921219</v>
      </c>
      <c r="X745" s="2" t="str">
        <f t="shared" si="70"/>
        <v>Y</v>
      </c>
      <c r="Y745" s="2" t="str">
        <f t="shared" si="71"/>
        <v>CY</v>
      </c>
    </row>
    <row r="746" spans="1:25" x14ac:dyDescent="0.3">
      <c r="A746" s="2" t="s">
        <v>1853</v>
      </c>
      <c r="B746" s="2" t="s">
        <v>1854</v>
      </c>
      <c r="C746" s="2" t="s">
        <v>25</v>
      </c>
      <c r="D746" s="2">
        <v>630</v>
      </c>
      <c r="E746" s="2">
        <v>580</v>
      </c>
      <c r="F746" s="2">
        <v>890</v>
      </c>
      <c r="G746" s="2">
        <v>864</v>
      </c>
      <c r="H746" s="2">
        <v>582</v>
      </c>
      <c r="I746" s="2">
        <v>957</v>
      </c>
      <c r="J746" s="2">
        <v>788</v>
      </c>
      <c r="K746" s="2">
        <v>1090</v>
      </c>
      <c r="L746" s="2">
        <v>814</v>
      </c>
      <c r="M746" s="2">
        <v>646</v>
      </c>
      <c r="N746" s="2">
        <v>603</v>
      </c>
      <c r="O746" s="2">
        <v>536</v>
      </c>
      <c r="P746" s="2">
        <v>8980</v>
      </c>
      <c r="Q746" s="2">
        <v>2</v>
      </c>
      <c r="R746" s="2">
        <v>17960</v>
      </c>
      <c r="S746" s="4">
        <f>SUM($R$2:R746) / SUM($R:$R)</f>
        <v>0.99810744670344598</v>
      </c>
      <c r="T746" s="3" t="str">
        <f t="shared" si="66"/>
        <v>C</v>
      </c>
      <c r="U746" s="2">
        <f t="shared" si="67"/>
        <v>748.33333333333337</v>
      </c>
      <c r="V746" s="2">
        <f t="shared" si="68"/>
        <v>177.43031068990209</v>
      </c>
      <c r="W746" s="2">
        <f t="shared" si="69"/>
        <v>0.23710063789296493</v>
      </c>
      <c r="X746" s="2" t="str">
        <f t="shared" si="70"/>
        <v>Y</v>
      </c>
      <c r="Y746" s="2" t="str">
        <f t="shared" si="71"/>
        <v>CY</v>
      </c>
    </row>
    <row r="747" spans="1:25" x14ac:dyDescent="0.3">
      <c r="A747" s="2" t="s">
        <v>805</v>
      </c>
      <c r="B747" s="2" t="s">
        <v>806</v>
      </c>
      <c r="C747" s="2" t="s">
        <v>41</v>
      </c>
      <c r="D747" s="2">
        <v>146</v>
      </c>
      <c r="E747" s="2">
        <v>169</v>
      </c>
      <c r="F747" s="2">
        <v>149</v>
      </c>
      <c r="G747" s="2">
        <v>137</v>
      </c>
      <c r="H747" s="2">
        <v>134</v>
      </c>
      <c r="I747" s="2">
        <v>138</v>
      </c>
      <c r="J747" s="2">
        <v>139</v>
      </c>
      <c r="K747" s="2">
        <v>141</v>
      </c>
      <c r="L747" s="2">
        <v>130</v>
      </c>
      <c r="M747" s="2">
        <v>151</v>
      </c>
      <c r="N747" s="2">
        <v>169</v>
      </c>
      <c r="O747" s="2">
        <v>159</v>
      </c>
      <c r="P747" s="2">
        <v>1762</v>
      </c>
      <c r="Q747" s="2">
        <v>10</v>
      </c>
      <c r="R747" s="2">
        <v>17620</v>
      </c>
      <c r="S747" s="4">
        <f>SUM($R$2:R747) / SUM($R:$R)</f>
        <v>0.9981238788575344</v>
      </c>
      <c r="T747" s="3" t="str">
        <f t="shared" si="66"/>
        <v>C</v>
      </c>
      <c r="U747" s="2">
        <f t="shared" si="67"/>
        <v>146.83333333333334</v>
      </c>
      <c r="V747" s="2">
        <f t="shared" si="68"/>
        <v>13.044213857167291</v>
      </c>
      <c r="W747" s="2">
        <f t="shared" si="69"/>
        <v>8.8836870763908907E-2</v>
      </c>
      <c r="X747" s="2" t="str">
        <f t="shared" si="70"/>
        <v>X</v>
      </c>
      <c r="Y747" s="2" t="str">
        <f t="shared" si="71"/>
        <v>CX</v>
      </c>
    </row>
    <row r="748" spans="1:25" x14ac:dyDescent="0.3">
      <c r="A748" s="2" t="s">
        <v>1223</v>
      </c>
      <c r="B748" s="2" t="s">
        <v>1224</v>
      </c>
      <c r="C748" s="2" t="s">
        <v>41</v>
      </c>
      <c r="D748" s="2">
        <v>116</v>
      </c>
      <c r="E748" s="2">
        <v>138</v>
      </c>
      <c r="F748" s="2">
        <v>154</v>
      </c>
      <c r="G748" s="2">
        <v>157</v>
      </c>
      <c r="H748" s="2">
        <v>170</v>
      </c>
      <c r="I748" s="2">
        <v>139</v>
      </c>
      <c r="J748" s="2">
        <v>122</v>
      </c>
      <c r="K748" s="2">
        <v>145</v>
      </c>
      <c r="L748" s="2">
        <v>139</v>
      </c>
      <c r="M748" s="2">
        <v>133</v>
      </c>
      <c r="N748" s="2">
        <v>167</v>
      </c>
      <c r="O748" s="2">
        <v>146</v>
      </c>
      <c r="P748" s="2">
        <v>1726</v>
      </c>
      <c r="Q748" s="2">
        <v>10</v>
      </c>
      <c r="R748" s="2">
        <v>17260</v>
      </c>
      <c r="S748" s="4">
        <f>SUM($R$2:R748) / SUM($R:$R)</f>
        <v>0.99813997528089238</v>
      </c>
      <c r="T748" s="3" t="str">
        <f t="shared" si="66"/>
        <v>C</v>
      </c>
      <c r="U748" s="2">
        <f t="shared" si="67"/>
        <v>143.83333333333334</v>
      </c>
      <c r="V748" s="2">
        <f t="shared" si="68"/>
        <v>16.386431933619676</v>
      </c>
      <c r="W748" s="2">
        <f t="shared" si="69"/>
        <v>0.11392652561033377</v>
      </c>
      <c r="X748" s="2" t="str">
        <f t="shared" si="70"/>
        <v>X</v>
      </c>
      <c r="Y748" s="2" t="str">
        <f t="shared" si="71"/>
        <v>CX</v>
      </c>
    </row>
    <row r="749" spans="1:25" x14ac:dyDescent="0.3">
      <c r="A749" s="2" t="s">
        <v>1341</v>
      </c>
      <c r="B749" s="2" t="s">
        <v>1342</v>
      </c>
      <c r="C749" s="2" t="s">
        <v>25</v>
      </c>
      <c r="D749" s="2">
        <v>778</v>
      </c>
      <c r="E749" s="2">
        <v>516</v>
      </c>
      <c r="F749" s="2">
        <v>659</v>
      </c>
      <c r="G749" s="2">
        <v>960</v>
      </c>
      <c r="H749" s="2">
        <v>749</v>
      </c>
      <c r="I749" s="2">
        <v>716</v>
      </c>
      <c r="J749" s="2">
        <v>678</v>
      </c>
      <c r="K749" s="2">
        <v>933</v>
      </c>
      <c r="L749" s="2">
        <v>546</v>
      </c>
      <c r="M749" s="2">
        <v>641</v>
      </c>
      <c r="N749" s="2">
        <v>834</v>
      </c>
      <c r="O749" s="2">
        <v>438</v>
      </c>
      <c r="P749" s="2">
        <v>8448</v>
      </c>
      <c r="Q749" s="2">
        <v>2</v>
      </c>
      <c r="R749" s="2">
        <v>16896</v>
      </c>
      <c r="S749" s="4">
        <f>SUM($R$2:R749) / SUM($R:$R)</f>
        <v>0.99815573224317833</v>
      </c>
      <c r="T749" s="3" t="str">
        <f t="shared" si="66"/>
        <v>C</v>
      </c>
      <c r="U749" s="2">
        <f t="shared" si="67"/>
        <v>704</v>
      </c>
      <c r="V749" s="2">
        <f t="shared" si="68"/>
        <v>159.61772514923956</v>
      </c>
      <c r="W749" s="2">
        <f t="shared" si="69"/>
        <v>0.22672972322335164</v>
      </c>
      <c r="X749" s="2" t="str">
        <f t="shared" si="70"/>
        <v>Y</v>
      </c>
      <c r="Y749" s="2" t="str">
        <f t="shared" si="71"/>
        <v>CY</v>
      </c>
    </row>
    <row r="750" spans="1:25" x14ac:dyDescent="0.3">
      <c r="A750" s="2" t="s">
        <v>1955</v>
      </c>
      <c r="B750" s="2" t="s">
        <v>1956</v>
      </c>
      <c r="C750" s="2" t="s">
        <v>25</v>
      </c>
      <c r="D750" s="2">
        <v>899</v>
      </c>
      <c r="E750" s="2">
        <v>720</v>
      </c>
      <c r="F750" s="2">
        <v>760</v>
      </c>
      <c r="G750" s="2">
        <v>469</v>
      </c>
      <c r="H750" s="2">
        <v>488</v>
      </c>
      <c r="I750" s="2">
        <v>799</v>
      </c>
      <c r="J750" s="2">
        <v>540</v>
      </c>
      <c r="K750" s="2">
        <v>563</v>
      </c>
      <c r="L750" s="2">
        <v>536</v>
      </c>
      <c r="M750" s="2">
        <v>979</v>
      </c>
      <c r="N750" s="2">
        <v>722</v>
      </c>
      <c r="O750" s="2">
        <v>956</v>
      </c>
      <c r="P750" s="2">
        <v>8431</v>
      </c>
      <c r="Q750" s="2">
        <v>2</v>
      </c>
      <c r="R750" s="2">
        <v>16862</v>
      </c>
      <c r="S750" s="4">
        <f>SUM($R$2:R750) / SUM($R:$R)</f>
        <v>0.99817145749756198</v>
      </c>
      <c r="T750" s="3" t="str">
        <f t="shared" si="66"/>
        <v>C</v>
      </c>
      <c r="U750" s="2">
        <f t="shared" si="67"/>
        <v>702.58333333333337</v>
      </c>
      <c r="V750" s="2">
        <f t="shared" si="68"/>
        <v>182.59565778633475</v>
      </c>
      <c r="W750" s="2">
        <f t="shared" si="69"/>
        <v>0.2598918151388942</v>
      </c>
      <c r="X750" s="2" t="str">
        <f t="shared" si="70"/>
        <v>Y</v>
      </c>
      <c r="Y750" s="2" t="str">
        <f t="shared" si="71"/>
        <v>CY</v>
      </c>
    </row>
    <row r="751" spans="1:25" x14ac:dyDescent="0.3">
      <c r="A751" s="2" t="s">
        <v>833</v>
      </c>
      <c r="B751" s="2" t="s">
        <v>834</v>
      </c>
      <c r="C751" s="2" t="s">
        <v>41</v>
      </c>
      <c r="D751" s="2">
        <v>131</v>
      </c>
      <c r="E751" s="2">
        <v>158</v>
      </c>
      <c r="F751" s="2">
        <v>118</v>
      </c>
      <c r="G751" s="2">
        <v>163</v>
      </c>
      <c r="H751" s="2">
        <v>148</v>
      </c>
      <c r="I751" s="2">
        <v>141</v>
      </c>
      <c r="J751" s="2">
        <v>126</v>
      </c>
      <c r="K751" s="2">
        <v>132</v>
      </c>
      <c r="L751" s="2">
        <v>152</v>
      </c>
      <c r="M751" s="2">
        <v>126</v>
      </c>
      <c r="N751" s="2">
        <v>138</v>
      </c>
      <c r="O751" s="2">
        <v>131</v>
      </c>
      <c r="P751" s="2">
        <v>1664</v>
      </c>
      <c r="Q751" s="2">
        <v>10</v>
      </c>
      <c r="R751" s="2">
        <v>16640</v>
      </c>
      <c r="S751" s="4">
        <f>SUM($R$2:R751) / SUM($R:$R)</f>
        <v>0.99818697571799508</v>
      </c>
      <c r="T751" s="3" t="str">
        <f t="shared" si="66"/>
        <v>C</v>
      </c>
      <c r="U751" s="2">
        <f t="shared" si="67"/>
        <v>138.66666666666666</v>
      </c>
      <c r="V751" s="2">
        <f t="shared" si="68"/>
        <v>13.96966410303108</v>
      </c>
      <c r="W751" s="2">
        <f t="shared" si="69"/>
        <v>0.10074276997378184</v>
      </c>
      <c r="X751" s="2" t="str">
        <f t="shared" si="70"/>
        <v>X</v>
      </c>
      <c r="Y751" s="2" t="str">
        <f t="shared" si="71"/>
        <v>CX</v>
      </c>
    </row>
    <row r="752" spans="1:25" x14ac:dyDescent="0.3">
      <c r="A752" s="2" t="s">
        <v>545</v>
      </c>
      <c r="B752" s="2" t="s">
        <v>546</v>
      </c>
      <c r="C752" s="2" t="s">
        <v>25</v>
      </c>
      <c r="D752" s="2">
        <v>536</v>
      </c>
      <c r="E752" s="2">
        <v>790</v>
      </c>
      <c r="F752" s="2">
        <v>886</v>
      </c>
      <c r="G752" s="2">
        <v>757</v>
      </c>
      <c r="H752" s="2">
        <v>594</v>
      </c>
      <c r="I752" s="2">
        <v>787</v>
      </c>
      <c r="J752" s="2">
        <v>703</v>
      </c>
      <c r="K752" s="2">
        <v>402</v>
      </c>
      <c r="L752" s="2">
        <v>727</v>
      </c>
      <c r="M752" s="2">
        <v>473</v>
      </c>
      <c r="N752" s="2">
        <v>793</v>
      </c>
      <c r="O752" s="2">
        <v>830</v>
      </c>
      <c r="P752" s="2">
        <v>8278</v>
      </c>
      <c r="Q752" s="2">
        <v>2</v>
      </c>
      <c r="R752" s="2">
        <v>16556</v>
      </c>
      <c r="S752" s="4">
        <f>SUM($R$2:R752) / SUM($R:$R)</f>
        <v>0.99820241560125789</v>
      </c>
      <c r="T752" s="3" t="str">
        <f t="shared" si="66"/>
        <v>C</v>
      </c>
      <c r="U752" s="2">
        <f t="shared" si="67"/>
        <v>689.83333333333337</v>
      </c>
      <c r="V752" s="2">
        <f t="shared" si="68"/>
        <v>152.85931341259428</v>
      </c>
      <c r="W752" s="2">
        <f t="shared" si="69"/>
        <v>0.22158876068508471</v>
      </c>
      <c r="X752" s="2" t="str">
        <f t="shared" si="70"/>
        <v>Y</v>
      </c>
      <c r="Y752" s="2" t="str">
        <f t="shared" si="71"/>
        <v>CY</v>
      </c>
    </row>
    <row r="753" spans="1:25" x14ac:dyDescent="0.3">
      <c r="A753" s="2" t="s">
        <v>369</v>
      </c>
      <c r="B753" s="2" t="s">
        <v>370</v>
      </c>
      <c r="C753" s="2" t="s">
        <v>25</v>
      </c>
      <c r="D753" s="2">
        <v>534</v>
      </c>
      <c r="E753" s="2">
        <v>858</v>
      </c>
      <c r="F753" s="2">
        <v>875</v>
      </c>
      <c r="G753" s="2">
        <v>487</v>
      </c>
      <c r="H753" s="2">
        <v>865</v>
      </c>
      <c r="I753" s="2">
        <v>520</v>
      </c>
      <c r="J753" s="2">
        <v>558</v>
      </c>
      <c r="K753" s="2">
        <v>665</v>
      </c>
      <c r="L753" s="2">
        <v>973</v>
      </c>
      <c r="M753" s="2">
        <v>545</v>
      </c>
      <c r="N753" s="2">
        <v>688</v>
      </c>
      <c r="O753" s="2">
        <v>650</v>
      </c>
      <c r="P753" s="2">
        <v>8218</v>
      </c>
      <c r="Q753" s="2">
        <v>2</v>
      </c>
      <c r="R753" s="2">
        <v>16436</v>
      </c>
      <c r="S753" s="4">
        <f>SUM($R$2:R753) / SUM($R:$R)</f>
        <v>0.99821774357427706</v>
      </c>
      <c r="T753" s="3" t="str">
        <f t="shared" si="66"/>
        <v>C</v>
      </c>
      <c r="U753" s="2">
        <f t="shared" si="67"/>
        <v>684.83333333333337</v>
      </c>
      <c r="V753" s="2">
        <f t="shared" si="68"/>
        <v>167.3226786418351</v>
      </c>
      <c r="W753" s="2">
        <f t="shared" si="69"/>
        <v>0.24432613089584096</v>
      </c>
      <c r="X753" s="2" t="str">
        <f t="shared" si="70"/>
        <v>Y</v>
      </c>
      <c r="Y753" s="2" t="str">
        <f t="shared" si="71"/>
        <v>CY</v>
      </c>
    </row>
    <row r="754" spans="1:25" x14ac:dyDescent="0.3">
      <c r="A754" s="2" t="s">
        <v>32</v>
      </c>
      <c r="B754" s="2" t="s">
        <v>33</v>
      </c>
      <c r="C754" s="2" t="s">
        <v>25</v>
      </c>
      <c r="D754" s="2">
        <v>808</v>
      </c>
      <c r="E754" s="2">
        <v>531</v>
      </c>
      <c r="F754" s="2">
        <v>542</v>
      </c>
      <c r="G754" s="2">
        <v>851</v>
      </c>
      <c r="H754" s="2">
        <v>955</v>
      </c>
      <c r="I754" s="2">
        <v>782</v>
      </c>
      <c r="J754" s="2">
        <v>483</v>
      </c>
      <c r="K754" s="2">
        <v>859</v>
      </c>
      <c r="L754" s="2">
        <v>464</v>
      </c>
      <c r="M754" s="2">
        <v>454</v>
      </c>
      <c r="N754" s="2">
        <v>967</v>
      </c>
      <c r="O754" s="2">
        <v>468</v>
      </c>
      <c r="P754" s="2">
        <v>8164</v>
      </c>
      <c r="Q754" s="2">
        <v>2</v>
      </c>
      <c r="R754" s="2">
        <v>16328</v>
      </c>
      <c r="S754" s="4">
        <f>SUM($R$2:R754) / SUM($R:$R)</f>
        <v>0.99823297082807705</v>
      </c>
      <c r="T754" s="3" t="str">
        <f t="shared" si="66"/>
        <v>C</v>
      </c>
      <c r="U754" s="2">
        <f t="shared" si="67"/>
        <v>680.33333333333337</v>
      </c>
      <c r="V754" s="2">
        <f t="shared" si="68"/>
        <v>206.44010063821219</v>
      </c>
      <c r="W754" s="2">
        <f t="shared" si="69"/>
        <v>0.30343963837071852</v>
      </c>
      <c r="X754" s="2" t="str">
        <f t="shared" si="70"/>
        <v>Y</v>
      </c>
      <c r="Y754" s="2" t="str">
        <f t="shared" si="71"/>
        <v>CY</v>
      </c>
    </row>
    <row r="755" spans="1:25" x14ac:dyDescent="0.3">
      <c r="A755" s="2" t="s">
        <v>1885</v>
      </c>
      <c r="B755" s="2" t="s">
        <v>1886</v>
      </c>
      <c r="C755" s="2" t="s">
        <v>25</v>
      </c>
      <c r="D755" s="2">
        <v>750</v>
      </c>
      <c r="E755" s="2">
        <v>811</v>
      </c>
      <c r="F755" s="2">
        <v>586</v>
      </c>
      <c r="G755" s="2">
        <v>861</v>
      </c>
      <c r="H755" s="2">
        <v>888</v>
      </c>
      <c r="I755" s="2">
        <v>625</v>
      </c>
      <c r="J755" s="2">
        <v>1027</v>
      </c>
      <c r="K755" s="2">
        <v>662</v>
      </c>
      <c r="L755" s="2">
        <v>461</v>
      </c>
      <c r="M755" s="2">
        <v>447</v>
      </c>
      <c r="N755" s="2">
        <v>483</v>
      </c>
      <c r="O755" s="2">
        <v>497</v>
      </c>
      <c r="P755" s="2">
        <v>8098</v>
      </c>
      <c r="Q755" s="2">
        <v>2</v>
      </c>
      <c r="R755" s="2">
        <v>16196</v>
      </c>
      <c r="S755" s="4">
        <f>SUM($R$2:R755) / SUM($R:$R)</f>
        <v>0.99824807498060919</v>
      </c>
      <c r="T755" s="3" t="str">
        <f t="shared" si="66"/>
        <v>C</v>
      </c>
      <c r="U755" s="2">
        <f t="shared" si="67"/>
        <v>674.83333333333337</v>
      </c>
      <c r="V755" s="2">
        <f t="shared" si="68"/>
        <v>191.85877065901343</v>
      </c>
      <c r="W755" s="2">
        <f t="shared" si="69"/>
        <v>0.28430541465894804</v>
      </c>
      <c r="X755" s="2" t="str">
        <f t="shared" si="70"/>
        <v>Y</v>
      </c>
      <c r="Y755" s="2" t="str">
        <f t="shared" si="71"/>
        <v>CY</v>
      </c>
    </row>
    <row r="756" spans="1:25" x14ac:dyDescent="0.3">
      <c r="A756" s="2" t="s">
        <v>397</v>
      </c>
      <c r="B756" s="2" t="s">
        <v>398</v>
      </c>
      <c r="C756" s="2" t="s">
        <v>41</v>
      </c>
      <c r="D756" s="2">
        <v>134</v>
      </c>
      <c r="E756" s="2">
        <v>147</v>
      </c>
      <c r="F756" s="2">
        <v>137</v>
      </c>
      <c r="G756" s="2">
        <v>121</v>
      </c>
      <c r="H756" s="2">
        <v>115</v>
      </c>
      <c r="I756" s="2">
        <v>141</v>
      </c>
      <c r="J756" s="2">
        <v>142</v>
      </c>
      <c r="K756" s="2">
        <v>130</v>
      </c>
      <c r="L756" s="2">
        <v>138</v>
      </c>
      <c r="M756" s="2">
        <v>129</v>
      </c>
      <c r="N756" s="2">
        <v>140</v>
      </c>
      <c r="O756" s="2">
        <v>134</v>
      </c>
      <c r="P756" s="2">
        <v>1608</v>
      </c>
      <c r="Q756" s="2">
        <v>10</v>
      </c>
      <c r="R756" s="2">
        <v>16080</v>
      </c>
      <c r="S756" s="4">
        <f>SUM($R$2:R756) / SUM($R:$R)</f>
        <v>0.9982630709532393</v>
      </c>
      <c r="T756" s="3" t="str">
        <f t="shared" si="66"/>
        <v>C</v>
      </c>
      <c r="U756" s="2">
        <f t="shared" si="67"/>
        <v>134</v>
      </c>
      <c r="V756" s="2">
        <f t="shared" si="68"/>
        <v>9.1154214982582733</v>
      </c>
      <c r="W756" s="2">
        <f t="shared" si="69"/>
        <v>6.8025533569091592E-2</v>
      </c>
      <c r="X756" s="2" t="str">
        <f t="shared" si="70"/>
        <v>X</v>
      </c>
      <c r="Y756" s="2" t="str">
        <f t="shared" si="71"/>
        <v>CX</v>
      </c>
    </row>
    <row r="757" spans="1:25" x14ac:dyDescent="0.3">
      <c r="A757" s="2" t="s">
        <v>1805</v>
      </c>
      <c r="B757" s="2" t="s">
        <v>1806</v>
      </c>
      <c r="C757" s="2" t="s">
        <v>25</v>
      </c>
      <c r="D757" s="2">
        <v>404</v>
      </c>
      <c r="E757" s="2">
        <v>455</v>
      </c>
      <c r="F757" s="2">
        <v>986</v>
      </c>
      <c r="G757" s="2">
        <v>605</v>
      </c>
      <c r="H757" s="2">
        <v>486</v>
      </c>
      <c r="I757" s="2">
        <v>589</v>
      </c>
      <c r="J757" s="2">
        <v>961</v>
      </c>
      <c r="K757" s="2">
        <v>552</v>
      </c>
      <c r="L757" s="2">
        <v>858</v>
      </c>
      <c r="M757" s="2">
        <v>709</v>
      </c>
      <c r="N757" s="2">
        <v>693</v>
      </c>
      <c r="O757" s="2">
        <v>560</v>
      </c>
      <c r="P757" s="2">
        <v>7858</v>
      </c>
      <c r="Q757" s="2">
        <v>2</v>
      </c>
      <c r="R757" s="2">
        <v>15716</v>
      </c>
      <c r="S757" s="4">
        <f>SUM($R$2:R757) / SUM($R:$R)</f>
        <v>0.99827772746479748</v>
      </c>
      <c r="T757" s="3" t="str">
        <f t="shared" si="66"/>
        <v>C</v>
      </c>
      <c r="U757" s="2">
        <f t="shared" si="67"/>
        <v>654.83333333333337</v>
      </c>
      <c r="V757" s="2">
        <f t="shared" si="68"/>
        <v>192.31074915985397</v>
      </c>
      <c r="W757" s="2">
        <f t="shared" si="69"/>
        <v>0.29367892465236034</v>
      </c>
      <c r="X757" s="2" t="str">
        <f t="shared" si="70"/>
        <v>Y</v>
      </c>
      <c r="Y757" s="2" t="str">
        <f t="shared" si="71"/>
        <v>CY</v>
      </c>
    </row>
    <row r="758" spans="1:25" x14ac:dyDescent="0.3">
      <c r="A758" s="2" t="s">
        <v>647</v>
      </c>
      <c r="B758" s="2" t="s">
        <v>648</v>
      </c>
      <c r="C758" s="2" t="s">
        <v>25</v>
      </c>
      <c r="D758" s="2">
        <v>467</v>
      </c>
      <c r="E758" s="2">
        <v>899</v>
      </c>
      <c r="F758" s="2">
        <v>650</v>
      </c>
      <c r="G758" s="2">
        <v>373</v>
      </c>
      <c r="H758" s="2">
        <v>426</v>
      </c>
      <c r="I758" s="2">
        <v>956</v>
      </c>
      <c r="J758" s="2">
        <v>468</v>
      </c>
      <c r="K758" s="2">
        <v>876</v>
      </c>
      <c r="L758" s="2">
        <v>554</v>
      </c>
      <c r="M758" s="2">
        <v>962</v>
      </c>
      <c r="N758" s="2">
        <v>511</v>
      </c>
      <c r="O758" s="2">
        <v>693</v>
      </c>
      <c r="P758" s="2">
        <v>7835</v>
      </c>
      <c r="Q758" s="2">
        <v>2</v>
      </c>
      <c r="R758" s="2">
        <v>15670</v>
      </c>
      <c r="S758" s="4">
        <f>SUM($R$2:R758) / SUM($R:$R)</f>
        <v>0.99829234107742892</v>
      </c>
      <c r="T758" s="3" t="str">
        <f t="shared" si="66"/>
        <v>C</v>
      </c>
      <c r="U758" s="2">
        <f t="shared" si="67"/>
        <v>652.91666666666663</v>
      </c>
      <c r="V758" s="2">
        <f t="shared" si="68"/>
        <v>219.05975039341268</v>
      </c>
      <c r="W758" s="2">
        <f t="shared" si="69"/>
        <v>0.33550950921773481</v>
      </c>
      <c r="X758" s="2" t="str">
        <f t="shared" si="70"/>
        <v>Y</v>
      </c>
      <c r="Y758" s="2" t="str">
        <f t="shared" si="71"/>
        <v>CY</v>
      </c>
    </row>
    <row r="759" spans="1:25" x14ac:dyDescent="0.3">
      <c r="A759" s="2" t="s">
        <v>163</v>
      </c>
      <c r="B759" s="2" t="s">
        <v>164</v>
      </c>
      <c r="C759" s="2" t="s">
        <v>25</v>
      </c>
      <c r="D759" s="2">
        <v>870</v>
      </c>
      <c r="E759" s="2">
        <v>660</v>
      </c>
      <c r="F759" s="2">
        <v>796</v>
      </c>
      <c r="G759" s="2">
        <v>491</v>
      </c>
      <c r="H759" s="2">
        <v>629</v>
      </c>
      <c r="I759" s="2">
        <v>624</v>
      </c>
      <c r="J759" s="2">
        <v>706</v>
      </c>
      <c r="K759" s="2">
        <v>456</v>
      </c>
      <c r="L759" s="2">
        <v>920</v>
      </c>
      <c r="M759" s="2">
        <v>683</v>
      </c>
      <c r="N759" s="2">
        <v>451</v>
      </c>
      <c r="O759" s="2">
        <v>474</v>
      </c>
      <c r="P759" s="2">
        <v>7760</v>
      </c>
      <c r="Q759" s="2">
        <v>2</v>
      </c>
      <c r="R759" s="2">
        <v>15520</v>
      </c>
      <c r="S759" s="4">
        <f>SUM($R$2:R759) / SUM($R:$R)</f>
        <v>0.99830681480225603</v>
      </c>
      <c r="T759" s="3" t="str">
        <f t="shared" si="66"/>
        <v>C</v>
      </c>
      <c r="U759" s="2">
        <f t="shared" si="67"/>
        <v>646.66666666666663</v>
      </c>
      <c r="V759" s="2">
        <f t="shared" si="68"/>
        <v>159.94847655265485</v>
      </c>
      <c r="W759" s="2">
        <f t="shared" si="69"/>
        <v>0.24734300497833225</v>
      </c>
      <c r="X759" s="2" t="str">
        <f t="shared" si="70"/>
        <v>Y</v>
      </c>
      <c r="Y759" s="2" t="str">
        <f t="shared" si="71"/>
        <v>CY</v>
      </c>
    </row>
    <row r="760" spans="1:25" x14ac:dyDescent="0.3">
      <c r="A760" s="2" t="s">
        <v>69</v>
      </c>
      <c r="B760" s="2" t="s">
        <v>70</v>
      </c>
      <c r="C760" s="2" t="s">
        <v>41</v>
      </c>
      <c r="D760" s="2">
        <v>123</v>
      </c>
      <c r="E760" s="2">
        <v>109</v>
      </c>
      <c r="F760" s="2">
        <v>123</v>
      </c>
      <c r="G760" s="2">
        <v>124</v>
      </c>
      <c r="H760" s="2">
        <v>139</v>
      </c>
      <c r="I760" s="2">
        <v>143</v>
      </c>
      <c r="J760" s="2">
        <v>140</v>
      </c>
      <c r="K760" s="2">
        <v>122</v>
      </c>
      <c r="L760" s="2">
        <v>110</v>
      </c>
      <c r="M760" s="2">
        <v>126</v>
      </c>
      <c r="N760" s="2">
        <v>136</v>
      </c>
      <c r="O760" s="2">
        <v>140</v>
      </c>
      <c r="P760" s="2">
        <v>1535</v>
      </c>
      <c r="Q760" s="2">
        <v>10</v>
      </c>
      <c r="R760" s="2">
        <v>15350</v>
      </c>
      <c r="S760" s="4">
        <f>SUM($R$2:R760) / SUM($R:$R)</f>
        <v>0.99832112998757139</v>
      </c>
      <c r="T760" s="3" t="str">
        <f t="shared" si="66"/>
        <v>C</v>
      </c>
      <c r="U760" s="2">
        <f t="shared" si="67"/>
        <v>127.91666666666667</v>
      </c>
      <c r="V760" s="2">
        <f t="shared" si="68"/>
        <v>11.634262357625454</v>
      </c>
      <c r="W760" s="2">
        <f t="shared" si="69"/>
        <v>9.0951888137788567E-2</v>
      </c>
      <c r="X760" s="2" t="str">
        <f t="shared" si="70"/>
        <v>X</v>
      </c>
      <c r="Y760" s="2" t="str">
        <f t="shared" si="71"/>
        <v>CX</v>
      </c>
    </row>
    <row r="761" spans="1:25" x14ac:dyDescent="0.3">
      <c r="A761" s="2" t="s">
        <v>739</v>
      </c>
      <c r="B761" s="2" t="s">
        <v>740</v>
      </c>
      <c r="C761" s="2" t="s">
        <v>56</v>
      </c>
      <c r="D761" s="2">
        <v>126</v>
      </c>
      <c r="E761" s="2">
        <v>124</v>
      </c>
      <c r="F761" s="2">
        <v>135</v>
      </c>
      <c r="G761" s="2">
        <v>120</v>
      </c>
      <c r="H761" s="2">
        <v>125</v>
      </c>
      <c r="I761" s="2">
        <v>121</v>
      </c>
      <c r="J761" s="2">
        <v>112</v>
      </c>
      <c r="K761" s="2">
        <v>126</v>
      </c>
      <c r="L761" s="2">
        <v>135</v>
      </c>
      <c r="M761" s="2">
        <v>137</v>
      </c>
      <c r="N761" s="2">
        <v>128</v>
      </c>
      <c r="O761" s="2">
        <v>107</v>
      </c>
      <c r="P761" s="2">
        <v>1496</v>
      </c>
      <c r="Q761" s="2">
        <v>10</v>
      </c>
      <c r="R761" s="2">
        <v>14960</v>
      </c>
      <c r="S761" s="4">
        <f>SUM($R$2:R761) / SUM($R:$R)</f>
        <v>0.99833508146459549</v>
      </c>
      <c r="T761" s="3" t="str">
        <f t="shared" si="66"/>
        <v>C</v>
      </c>
      <c r="U761" s="2">
        <f t="shared" si="67"/>
        <v>124.66666666666667</v>
      </c>
      <c r="V761" s="2">
        <f t="shared" si="68"/>
        <v>8.9882077628345236</v>
      </c>
      <c r="W761" s="2">
        <f t="shared" si="69"/>
        <v>7.2097923231292965E-2</v>
      </c>
      <c r="X761" s="2" t="str">
        <f t="shared" si="70"/>
        <v>X</v>
      </c>
      <c r="Y761" s="2" t="str">
        <f t="shared" si="71"/>
        <v>CX</v>
      </c>
    </row>
    <row r="762" spans="1:25" x14ac:dyDescent="0.3">
      <c r="A762" s="2" t="s">
        <v>1461</v>
      </c>
      <c r="B762" s="2" t="s">
        <v>1462</v>
      </c>
      <c r="C762" s="2" t="s">
        <v>25</v>
      </c>
      <c r="D762" s="2">
        <v>317</v>
      </c>
      <c r="E762" s="2">
        <v>488</v>
      </c>
      <c r="F762" s="2">
        <v>530</v>
      </c>
      <c r="G762" s="2">
        <v>323</v>
      </c>
      <c r="H762" s="2">
        <v>754</v>
      </c>
      <c r="I762" s="2">
        <v>658</v>
      </c>
      <c r="J762" s="2">
        <v>699</v>
      </c>
      <c r="K762" s="2">
        <v>825</v>
      </c>
      <c r="L762" s="2">
        <v>823</v>
      </c>
      <c r="M762" s="2">
        <v>386</v>
      </c>
      <c r="N762" s="2">
        <v>706</v>
      </c>
      <c r="O762" s="2">
        <v>797</v>
      </c>
      <c r="P762" s="2">
        <v>7306</v>
      </c>
      <c r="Q762" s="2">
        <v>2</v>
      </c>
      <c r="R762" s="2">
        <v>14612</v>
      </c>
      <c r="S762" s="4">
        <f>SUM($R$2:R762) / SUM($R:$R)</f>
        <v>0.99834870840191337</v>
      </c>
      <c r="T762" s="3" t="str">
        <f t="shared" si="66"/>
        <v>C</v>
      </c>
      <c r="U762" s="2">
        <f t="shared" si="67"/>
        <v>608.83333333333337</v>
      </c>
      <c r="V762" s="2">
        <f t="shared" si="68"/>
        <v>192.21239830095791</v>
      </c>
      <c r="W762" s="2">
        <f t="shared" si="69"/>
        <v>0.31570610178093278</v>
      </c>
      <c r="X762" s="2" t="str">
        <f t="shared" si="70"/>
        <v>Y</v>
      </c>
      <c r="Y762" s="2" t="str">
        <f t="shared" si="71"/>
        <v>CY</v>
      </c>
    </row>
    <row r="763" spans="1:25" x14ac:dyDescent="0.3">
      <c r="A763" s="2" t="s">
        <v>1897</v>
      </c>
      <c r="B763" s="2" t="s">
        <v>1898</v>
      </c>
      <c r="C763" s="2" t="s">
        <v>56</v>
      </c>
      <c r="D763" s="2">
        <v>134</v>
      </c>
      <c r="E763" s="2">
        <v>124</v>
      </c>
      <c r="F763" s="2">
        <v>108</v>
      </c>
      <c r="G763" s="2">
        <v>106</v>
      </c>
      <c r="H763" s="2">
        <v>133</v>
      </c>
      <c r="I763" s="2">
        <v>125</v>
      </c>
      <c r="J763" s="2">
        <v>119</v>
      </c>
      <c r="K763" s="2">
        <v>97</v>
      </c>
      <c r="L763" s="2">
        <v>116</v>
      </c>
      <c r="M763" s="2">
        <v>109</v>
      </c>
      <c r="N763" s="2">
        <v>125</v>
      </c>
      <c r="O763" s="2">
        <v>124</v>
      </c>
      <c r="P763" s="2">
        <v>1420</v>
      </c>
      <c r="Q763" s="2">
        <v>10</v>
      </c>
      <c r="R763" s="2">
        <v>14200</v>
      </c>
      <c r="S763" s="4">
        <f>SUM($R$2:R763) / SUM($R:$R)</f>
        <v>0.99836195111406179</v>
      </c>
      <c r="T763" s="3" t="str">
        <f t="shared" si="66"/>
        <v>C</v>
      </c>
      <c r="U763" s="2">
        <f t="shared" si="67"/>
        <v>118.33333333333333</v>
      </c>
      <c r="V763" s="2">
        <f t="shared" si="68"/>
        <v>11.364484816810444</v>
      </c>
      <c r="W763" s="2">
        <f t="shared" si="69"/>
        <v>9.6037899860369952E-2</v>
      </c>
      <c r="X763" s="2" t="str">
        <f t="shared" si="70"/>
        <v>X</v>
      </c>
      <c r="Y763" s="2" t="str">
        <f t="shared" si="71"/>
        <v>CX</v>
      </c>
    </row>
    <row r="764" spans="1:25" x14ac:dyDescent="0.3">
      <c r="A764" s="2" t="s">
        <v>1299</v>
      </c>
      <c r="B764" s="2" t="s">
        <v>1300</v>
      </c>
      <c r="C764" s="2" t="s">
        <v>25</v>
      </c>
      <c r="D764" s="2">
        <v>419</v>
      </c>
      <c r="E764" s="2">
        <v>643</v>
      </c>
      <c r="F764" s="2">
        <v>257</v>
      </c>
      <c r="G764" s="2">
        <v>683</v>
      </c>
      <c r="H764" s="2">
        <v>327</v>
      </c>
      <c r="I764" s="2">
        <v>771</v>
      </c>
      <c r="J764" s="2">
        <v>608</v>
      </c>
      <c r="K764" s="2">
        <v>488</v>
      </c>
      <c r="L764" s="2">
        <v>704</v>
      </c>
      <c r="M764" s="2">
        <v>818</v>
      </c>
      <c r="N764" s="2">
        <v>684</v>
      </c>
      <c r="O764" s="2">
        <v>633</v>
      </c>
      <c r="P764" s="2">
        <v>7035</v>
      </c>
      <c r="Q764" s="2">
        <v>2</v>
      </c>
      <c r="R764" s="2">
        <v>14070</v>
      </c>
      <c r="S764" s="4">
        <f>SUM($R$2:R764) / SUM($R:$R)</f>
        <v>0.99837507259011316</v>
      </c>
      <c r="T764" s="3" t="str">
        <f t="shared" si="66"/>
        <v>C</v>
      </c>
      <c r="U764" s="2">
        <f t="shared" si="67"/>
        <v>586.25</v>
      </c>
      <c r="V764" s="2">
        <f t="shared" si="68"/>
        <v>175.74316228778034</v>
      </c>
      <c r="W764" s="2">
        <f t="shared" si="69"/>
        <v>0.29977511690879377</v>
      </c>
      <c r="X764" s="2" t="str">
        <f t="shared" si="70"/>
        <v>Y</v>
      </c>
      <c r="Y764" s="2" t="str">
        <f t="shared" si="71"/>
        <v>CY</v>
      </c>
    </row>
    <row r="765" spans="1:25" x14ac:dyDescent="0.3">
      <c r="A765" s="2" t="s">
        <v>1397</v>
      </c>
      <c r="B765" s="2" t="s">
        <v>1398</v>
      </c>
      <c r="C765" s="2" t="s">
        <v>25</v>
      </c>
      <c r="D765" s="2">
        <v>344</v>
      </c>
      <c r="E765" s="2">
        <v>424</v>
      </c>
      <c r="F765" s="2">
        <v>406</v>
      </c>
      <c r="G765" s="2">
        <v>767</v>
      </c>
      <c r="H765" s="2">
        <v>543</v>
      </c>
      <c r="I765" s="2">
        <v>913</v>
      </c>
      <c r="J765" s="2">
        <v>331</v>
      </c>
      <c r="K765" s="2">
        <v>457</v>
      </c>
      <c r="L765" s="2">
        <v>485</v>
      </c>
      <c r="M765" s="2">
        <v>925</v>
      </c>
      <c r="N765" s="2">
        <v>558</v>
      </c>
      <c r="O765" s="2">
        <v>719</v>
      </c>
      <c r="P765" s="2">
        <v>6872</v>
      </c>
      <c r="Q765" s="2">
        <v>2</v>
      </c>
      <c r="R765" s="2">
        <v>13744</v>
      </c>
      <c r="S765" s="4">
        <f>SUM($R$2:R765) / SUM($R:$R)</f>
        <v>0.99838789004333628</v>
      </c>
      <c r="T765" s="3" t="str">
        <f t="shared" si="66"/>
        <v>C</v>
      </c>
      <c r="U765" s="2">
        <f t="shared" si="67"/>
        <v>572.66666666666663</v>
      </c>
      <c r="V765" s="2">
        <f t="shared" si="68"/>
        <v>209.30071160602361</v>
      </c>
      <c r="W765" s="2">
        <f t="shared" si="69"/>
        <v>0.36548436252507038</v>
      </c>
      <c r="X765" s="2" t="str">
        <f t="shared" si="70"/>
        <v>Y</v>
      </c>
      <c r="Y765" s="2" t="str">
        <f t="shared" si="71"/>
        <v>CY</v>
      </c>
    </row>
    <row r="766" spans="1:25" x14ac:dyDescent="0.3">
      <c r="A766" s="2" t="s">
        <v>393</v>
      </c>
      <c r="B766" s="2" t="s">
        <v>394</v>
      </c>
      <c r="C766" s="2" t="s">
        <v>25</v>
      </c>
      <c r="D766" s="2">
        <v>798</v>
      </c>
      <c r="E766" s="2">
        <v>402</v>
      </c>
      <c r="F766" s="2">
        <v>595</v>
      </c>
      <c r="G766" s="2">
        <v>709</v>
      </c>
      <c r="H766" s="2">
        <v>347</v>
      </c>
      <c r="I766" s="2">
        <v>597</v>
      </c>
      <c r="J766" s="2">
        <v>555</v>
      </c>
      <c r="K766" s="2">
        <v>622</v>
      </c>
      <c r="L766" s="2">
        <v>849</v>
      </c>
      <c r="M766" s="2">
        <v>451</v>
      </c>
      <c r="N766" s="2">
        <v>581</v>
      </c>
      <c r="O766" s="2">
        <v>342</v>
      </c>
      <c r="P766" s="2">
        <v>6848</v>
      </c>
      <c r="Q766" s="2">
        <v>2</v>
      </c>
      <c r="R766" s="2">
        <v>13696</v>
      </c>
      <c r="S766" s="4">
        <f>SUM($R$2:R766) / SUM($R:$R)</f>
        <v>0.99840066273246209</v>
      </c>
      <c r="T766" s="3" t="str">
        <f t="shared" si="66"/>
        <v>C</v>
      </c>
      <c r="U766" s="2">
        <f t="shared" si="67"/>
        <v>570.66666666666663</v>
      </c>
      <c r="V766" s="2">
        <f t="shared" si="68"/>
        <v>164.49445049126803</v>
      </c>
      <c r="W766" s="2">
        <f t="shared" si="69"/>
        <v>0.28824962118796971</v>
      </c>
      <c r="X766" s="2" t="str">
        <f t="shared" si="70"/>
        <v>Y</v>
      </c>
      <c r="Y766" s="2" t="str">
        <f t="shared" si="71"/>
        <v>CY</v>
      </c>
    </row>
    <row r="767" spans="1:25" x14ac:dyDescent="0.3">
      <c r="A767" s="2" t="s">
        <v>407</v>
      </c>
      <c r="B767" s="2" t="s">
        <v>408</v>
      </c>
      <c r="C767" s="2" t="s">
        <v>41</v>
      </c>
      <c r="D767" s="2">
        <v>116</v>
      </c>
      <c r="E767" s="2">
        <v>130</v>
      </c>
      <c r="F767" s="2">
        <v>111</v>
      </c>
      <c r="G767" s="2">
        <v>109</v>
      </c>
      <c r="H767" s="2">
        <v>84</v>
      </c>
      <c r="I767" s="2">
        <v>101</v>
      </c>
      <c r="J767" s="2">
        <v>134</v>
      </c>
      <c r="K767" s="2">
        <v>105</v>
      </c>
      <c r="L767" s="2">
        <v>120</v>
      </c>
      <c r="M767" s="2">
        <v>100</v>
      </c>
      <c r="N767" s="2">
        <v>128</v>
      </c>
      <c r="O767" s="2">
        <v>130</v>
      </c>
      <c r="P767" s="2">
        <v>1368</v>
      </c>
      <c r="Q767" s="2">
        <v>10</v>
      </c>
      <c r="R767" s="2">
        <v>13680</v>
      </c>
      <c r="S767" s="4">
        <f>SUM($R$2:R767) / SUM($R:$R)</f>
        <v>0.99841342050022197</v>
      </c>
      <c r="T767" s="3" t="str">
        <f t="shared" si="66"/>
        <v>C</v>
      </c>
      <c r="U767" s="2">
        <f t="shared" si="67"/>
        <v>114</v>
      </c>
      <c r="V767" s="2">
        <f t="shared" si="68"/>
        <v>15.159755335036968</v>
      </c>
      <c r="W767" s="2">
        <f t="shared" si="69"/>
        <v>0.13298030995646462</v>
      </c>
      <c r="X767" s="2" t="str">
        <f t="shared" si="70"/>
        <v>X</v>
      </c>
      <c r="Y767" s="2" t="str">
        <f t="shared" si="71"/>
        <v>CX</v>
      </c>
    </row>
    <row r="768" spans="1:25" x14ac:dyDescent="0.3">
      <c r="A768" s="2" t="s">
        <v>1083</v>
      </c>
      <c r="B768" s="2" t="s">
        <v>1084</v>
      </c>
      <c r="C768" s="2" t="s">
        <v>25</v>
      </c>
      <c r="D768" s="2">
        <v>797</v>
      </c>
      <c r="E768" s="2">
        <v>361</v>
      </c>
      <c r="F768" s="2">
        <v>426</v>
      </c>
      <c r="G768" s="2">
        <v>468</v>
      </c>
      <c r="H768" s="2">
        <v>375</v>
      </c>
      <c r="I768" s="2">
        <v>505</v>
      </c>
      <c r="J768" s="2">
        <v>728</v>
      </c>
      <c r="K768" s="2">
        <v>617</v>
      </c>
      <c r="L768" s="2">
        <v>466</v>
      </c>
      <c r="M768" s="2">
        <v>573</v>
      </c>
      <c r="N768" s="2">
        <v>724</v>
      </c>
      <c r="O768" s="2">
        <v>774</v>
      </c>
      <c r="P768" s="2">
        <v>6814</v>
      </c>
      <c r="Q768" s="2">
        <v>2</v>
      </c>
      <c r="R768" s="2">
        <v>13628</v>
      </c>
      <c r="S768" s="4">
        <f>SUM($R$2:R768) / SUM($R:$R)</f>
        <v>0.99842612977354306</v>
      </c>
      <c r="T768" s="3" t="str">
        <f t="shared" si="66"/>
        <v>C</v>
      </c>
      <c r="U768" s="2">
        <f t="shared" si="67"/>
        <v>567.83333333333337</v>
      </c>
      <c r="V768" s="2">
        <f t="shared" si="68"/>
        <v>157.21255636490321</v>
      </c>
      <c r="W768" s="2">
        <f t="shared" si="69"/>
        <v>0.27686390906645708</v>
      </c>
      <c r="X768" s="2" t="str">
        <f t="shared" si="70"/>
        <v>Y</v>
      </c>
      <c r="Y768" s="2" t="str">
        <f t="shared" si="71"/>
        <v>CY</v>
      </c>
    </row>
    <row r="769" spans="1:25" x14ac:dyDescent="0.3">
      <c r="A769" s="2" t="s">
        <v>1557</v>
      </c>
      <c r="B769" s="2" t="s">
        <v>1558</v>
      </c>
      <c r="C769" s="2" t="s">
        <v>25</v>
      </c>
      <c r="D769" s="2">
        <v>543</v>
      </c>
      <c r="E769" s="2">
        <v>505</v>
      </c>
      <c r="F769" s="2">
        <v>500</v>
      </c>
      <c r="G769" s="2">
        <v>539</v>
      </c>
      <c r="H769" s="2">
        <v>408</v>
      </c>
      <c r="I769" s="2">
        <v>627</v>
      </c>
      <c r="J769" s="2">
        <v>502</v>
      </c>
      <c r="K769" s="2">
        <v>560</v>
      </c>
      <c r="L769" s="2">
        <v>684</v>
      </c>
      <c r="M769" s="2">
        <v>778</v>
      </c>
      <c r="N769" s="2">
        <v>564</v>
      </c>
      <c r="O769" s="2">
        <v>545</v>
      </c>
      <c r="P769" s="2">
        <v>6755</v>
      </c>
      <c r="Q769" s="2">
        <v>2</v>
      </c>
      <c r="R769" s="2">
        <v>13510</v>
      </c>
      <c r="S769" s="4">
        <f>SUM($R$2:R769) / SUM($R:$R)</f>
        <v>0.99843872900179143</v>
      </c>
      <c r="T769" s="3" t="str">
        <f t="shared" si="66"/>
        <v>C</v>
      </c>
      <c r="U769" s="2">
        <f t="shared" si="67"/>
        <v>562.91666666666663</v>
      </c>
      <c r="V769" s="2">
        <f t="shared" si="68"/>
        <v>95.988122686974577</v>
      </c>
      <c r="W769" s="2">
        <f t="shared" si="69"/>
        <v>0.17051924089469947</v>
      </c>
      <c r="X769" s="2" t="str">
        <f t="shared" si="70"/>
        <v>X</v>
      </c>
      <c r="Y769" s="2" t="str">
        <f t="shared" si="71"/>
        <v>CX</v>
      </c>
    </row>
    <row r="770" spans="1:25" x14ac:dyDescent="0.3">
      <c r="A770" s="2" t="s">
        <v>1767</v>
      </c>
      <c r="B770" s="2" t="s">
        <v>1768</v>
      </c>
      <c r="C770" s="2" t="s">
        <v>25</v>
      </c>
      <c r="D770" s="2">
        <v>611</v>
      </c>
      <c r="E770" s="2">
        <v>656</v>
      </c>
      <c r="F770" s="2">
        <v>686</v>
      </c>
      <c r="G770" s="2">
        <v>577</v>
      </c>
      <c r="H770" s="2">
        <v>477</v>
      </c>
      <c r="I770" s="2">
        <v>382</v>
      </c>
      <c r="J770" s="2">
        <v>678</v>
      </c>
      <c r="K770" s="2">
        <v>624</v>
      </c>
      <c r="L770" s="2">
        <v>530</v>
      </c>
      <c r="M770" s="2">
        <v>357</v>
      </c>
      <c r="N770" s="2">
        <v>564</v>
      </c>
      <c r="O770" s="2">
        <v>603</v>
      </c>
      <c r="P770" s="2">
        <v>6745</v>
      </c>
      <c r="Q770" s="2">
        <v>2</v>
      </c>
      <c r="R770" s="2">
        <v>13490</v>
      </c>
      <c r="S770" s="4">
        <f>SUM($R$2:R770) / SUM($R:$R)</f>
        <v>0.9984513095783325</v>
      </c>
      <c r="T770" s="3" t="str">
        <f t="shared" si="66"/>
        <v>C</v>
      </c>
      <c r="U770" s="2">
        <f t="shared" si="67"/>
        <v>562.08333333333337</v>
      </c>
      <c r="V770" s="2">
        <f t="shared" si="68"/>
        <v>108.08116338561436</v>
      </c>
      <c r="W770" s="2">
        <f t="shared" si="69"/>
        <v>0.19228672507448069</v>
      </c>
      <c r="X770" s="2" t="str">
        <f t="shared" si="70"/>
        <v>X</v>
      </c>
      <c r="Y770" s="2" t="str">
        <f t="shared" si="71"/>
        <v>CX</v>
      </c>
    </row>
    <row r="771" spans="1:25" x14ac:dyDescent="0.3">
      <c r="A771" s="2" t="s">
        <v>1637</v>
      </c>
      <c r="B771" s="2" t="s">
        <v>1638</v>
      </c>
      <c r="C771" s="2" t="s">
        <v>25</v>
      </c>
      <c r="D771" s="2">
        <v>340</v>
      </c>
      <c r="E771" s="2">
        <v>649</v>
      </c>
      <c r="F771" s="2">
        <v>553</v>
      </c>
      <c r="G771" s="2">
        <v>595</v>
      </c>
      <c r="H771" s="2">
        <v>513</v>
      </c>
      <c r="I771" s="2">
        <v>724</v>
      </c>
      <c r="J771" s="2">
        <v>486</v>
      </c>
      <c r="K771" s="2">
        <v>629</v>
      </c>
      <c r="L771" s="2">
        <v>722</v>
      </c>
      <c r="M771" s="2">
        <v>318</v>
      </c>
      <c r="N771" s="2">
        <v>507</v>
      </c>
      <c r="O771" s="2">
        <v>705</v>
      </c>
      <c r="P771" s="2">
        <v>6741</v>
      </c>
      <c r="Q771" s="2">
        <v>2</v>
      </c>
      <c r="R771" s="2">
        <v>13482</v>
      </c>
      <c r="S771" s="4">
        <f>SUM($R$2:R771) / SUM($R:$R)</f>
        <v>0.99846388269419062</v>
      </c>
      <c r="T771" s="3" t="str">
        <f t="shared" ref="T771:T834" si="72">IF(S771&lt;=0.7, "A", IF(S771&lt;=0.9, "B", "C"))</f>
        <v>C</v>
      </c>
      <c r="U771" s="2">
        <f t="shared" ref="U771:U834" si="73">AVERAGE(D771:O771)</f>
        <v>561.75</v>
      </c>
      <c r="V771" s="2">
        <f t="shared" ref="V771:V834" si="74">_xlfn.STDEV.S(D771:O771)</f>
        <v>136.6954976980189</v>
      </c>
      <c r="W771" s="2">
        <f t="shared" ref="W771:W834" si="75">IF(U771=0,0,V771/U771)</f>
        <v>0.24333866968939724</v>
      </c>
      <c r="X771" s="2" t="str">
        <f t="shared" ref="X771:X834" si="76">(IF(W771&lt;=0.2, "X", IF(W771&lt;=0.5, "Y", "Z")))</f>
        <v>Y</v>
      </c>
      <c r="Y771" s="2" t="str">
        <f t="shared" ref="Y771:Y834" si="77">T771&amp;X771</f>
        <v>CY</v>
      </c>
    </row>
    <row r="772" spans="1:25" x14ac:dyDescent="0.3">
      <c r="A772" s="2" t="s">
        <v>969</v>
      </c>
      <c r="B772" s="2" t="s">
        <v>970</v>
      </c>
      <c r="C772" s="2" t="s">
        <v>41</v>
      </c>
      <c r="D772" s="2">
        <v>100</v>
      </c>
      <c r="E772" s="2">
        <v>117</v>
      </c>
      <c r="F772" s="2">
        <v>127</v>
      </c>
      <c r="G772" s="2">
        <v>109</v>
      </c>
      <c r="H772" s="2">
        <v>105</v>
      </c>
      <c r="I772" s="2">
        <v>108</v>
      </c>
      <c r="J772" s="2">
        <v>114</v>
      </c>
      <c r="K772" s="2">
        <v>109</v>
      </c>
      <c r="L772" s="2">
        <v>109</v>
      </c>
      <c r="M772" s="2">
        <v>108</v>
      </c>
      <c r="N772" s="2">
        <v>122</v>
      </c>
      <c r="O772" s="2">
        <v>119</v>
      </c>
      <c r="P772" s="2">
        <v>1347</v>
      </c>
      <c r="Q772" s="2">
        <v>10</v>
      </c>
      <c r="R772" s="2">
        <v>13470</v>
      </c>
      <c r="S772" s="4">
        <f>SUM($R$2:R772) / SUM($R:$R)</f>
        <v>0.99847644461902441</v>
      </c>
      <c r="T772" s="3" t="str">
        <f t="shared" si="72"/>
        <v>C</v>
      </c>
      <c r="U772" s="2">
        <f t="shared" si="73"/>
        <v>112.25</v>
      </c>
      <c r="V772" s="2">
        <f t="shared" si="74"/>
        <v>7.7121509792841012</v>
      </c>
      <c r="W772" s="2">
        <f t="shared" si="75"/>
        <v>6.8705131218566598E-2</v>
      </c>
      <c r="X772" s="2" t="str">
        <f t="shared" si="76"/>
        <v>X</v>
      </c>
      <c r="Y772" s="2" t="str">
        <f t="shared" si="77"/>
        <v>CX</v>
      </c>
    </row>
    <row r="773" spans="1:25" x14ac:dyDescent="0.3">
      <c r="A773" s="2" t="s">
        <v>595</v>
      </c>
      <c r="B773" s="2" t="s">
        <v>596</v>
      </c>
      <c r="C773" s="2" t="s">
        <v>41</v>
      </c>
      <c r="D773" s="2">
        <v>114</v>
      </c>
      <c r="E773" s="2">
        <v>115</v>
      </c>
      <c r="F773" s="2">
        <v>123</v>
      </c>
      <c r="G773" s="2">
        <v>87</v>
      </c>
      <c r="H773" s="2">
        <v>105</v>
      </c>
      <c r="I773" s="2">
        <v>103</v>
      </c>
      <c r="J773" s="2">
        <v>116</v>
      </c>
      <c r="K773" s="2">
        <v>111</v>
      </c>
      <c r="L773" s="2">
        <v>121</v>
      </c>
      <c r="M773" s="2">
        <v>120</v>
      </c>
      <c r="N773" s="2">
        <v>105</v>
      </c>
      <c r="O773" s="2">
        <v>119</v>
      </c>
      <c r="P773" s="2">
        <v>1339</v>
      </c>
      <c r="Q773" s="2">
        <v>10</v>
      </c>
      <c r="R773" s="2">
        <v>13390</v>
      </c>
      <c r="S773" s="4">
        <f>SUM($R$2:R773) / SUM($R:$R)</f>
        <v>0.99848893193702926</v>
      </c>
      <c r="T773" s="3" t="str">
        <f t="shared" si="72"/>
        <v>C</v>
      </c>
      <c r="U773" s="2">
        <f t="shared" si="73"/>
        <v>111.58333333333333</v>
      </c>
      <c r="V773" s="2">
        <f t="shared" si="74"/>
        <v>10.211030874262967</v>
      </c>
      <c r="W773" s="2">
        <f t="shared" si="75"/>
        <v>9.1510358843282749E-2</v>
      </c>
      <c r="X773" s="2" t="str">
        <f t="shared" si="76"/>
        <v>X</v>
      </c>
      <c r="Y773" s="2" t="str">
        <f t="shared" si="77"/>
        <v>CX</v>
      </c>
    </row>
    <row r="774" spans="1:25" x14ac:dyDescent="0.3">
      <c r="A774" s="2" t="s">
        <v>1609</v>
      </c>
      <c r="B774" s="2" t="s">
        <v>1610</v>
      </c>
      <c r="C774" s="2" t="s">
        <v>25</v>
      </c>
      <c r="D774" s="2">
        <v>431</v>
      </c>
      <c r="E774" s="2">
        <v>595</v>
      </c>
      <c r="F774" s="2">
        <v>786</v>
      </c>
      <c r="G774" s="2">
        <v>791</v>
      </c>
      <c r="H774" s="2">
        <v>624</v>
      </c>
      <c r="I774" s="2">
        <v>730</v>
      </c>
      <c r="J774" s="2">
        <v>557</v>
      </c>
      <c r="K774" s="2">
        <v>546</v>
      </c>
      <c r="L774" s="2">
        <v>713</v>
      </c>
      <c r="M774" s="2">
        <v>229</v>
      </c>
      <c r="N774" s="2">
        <v>455</v>
      </c>
      <c r="O774" s="2">
        <v>228</v>
      </c>
      <c r="P774" s="2">
        <v>6685</v>
      </c>
      <c r="Q774" s="2">
        <v>2</v>
      </c>
      <c r="R774" s="2">
        <v>13370</v>
      </c>
      <c r="S774" s="4">
        <f>SUM($R$2:R774) / SUM($R:$R)</f>
        <v>0.99850140060332682</v>
      </c>
      <c r="T774" s="3" t="str">
        <f t="shared" si="72"/>
        <v>C</v>
      </c>
      <c r="U774" s="2">
        <f t="shared" si="73"/>
        <v>557.08333333333337</v>
      </c>
      <c r="V774" s="2">
        <f t="shared" si="74"/>
        <v>192.97218750772126</v>
      </c>
      <c r="W774" s="2">
        <f t="shared" si="75"/>
        <v>0.34639734481565521</v>
      </c>
      <c r="X774" s="2" t="str">
        <f t="shared" si="76"/>
        <v>Y</v>
      </c>
      <c r="Y774" s="2" t="str">
        <f t="shared" si="77"/>
        <v>CY</v>
      </c>
    </row>
    <row r="775" spans="1:25" x14ac:dyDescent="0.3">
      <c r="A775" s="2" t="s">
        <v>1707</v>
      </c>
      <c r="B775" s="2" t="s">
        <v>1708</v>
      </c>
      <c r="C775" s="2" t="s">
        <v>25</v>
      </c>
      <c r="D775" s="2">
        <v>262</v>
      </c>
      <c r="E775" s="2">
        <v>297</v>
      </c>
      <c r="F775" s="2">
        <v>737</v>
      </c>
      <c r="G775" s="2">
        <v>617</v>
      </c>
      <c r="H775" s="2">
        <v>571</v>
      </c>
      <c r="I775" s="2">
        <v>387</v>
      </c>
      <c r="J775" s="2">
        <v>669</v>
      </c>
      <c r="K775" s="2">
        <v>294</v>
      </c>
      <c r="L775" s="2">
        <v>818</v>
      </c>
      <c r="M775" s="2">
        <v>722</v>
      </c>
      <c r="N775" s="2">
        <v>615</v>
      </c>
      <c r="O775" s="2">
        <v>629</v>
      </c>
      <c r="P775" s="2">
        <v>6618</v>
      </c>
      <c r="Q775" s="2">
        <v>2</v>
      </c>
      <c r="R775" s="2">
        <v>13236</v>
      </c>
      <c r="S775" s="4">
        <f>SUM($R$2:R775) / SUM($R:$R)</f>
        <v>0.99851374430318574</v>
      </c>
      <c r="T775" s="3" t="str">
        <f t="shared" si="72"/>
        <v>C</v>
      </c>
      <c r="U775" s="2">
        <f t="shared" si="73"/>
        <v>551.5</v>
      </c>
      <c r="V775" s="2">
        <f t="shared" si="74"/>
        <v>191.87235340194272</v>
      </c>
      <c r="W775" s="2">
        <f t="shared" si="75"/>
        <v>0.34790997896997772</v>
      </c>
      <c r="X775" s="2" t="str">
        <f t="shared" si="76"/>
        <v>Y</v>
      </c>
      <c r="Y775" s="2" t="str">
        <f t="shared" si="77"/>
        <v>CY</v>
      </c>
    </row>
    <row r="776" spans="1:25" x14ac:dyDescent="0.3">
      <c r="A776" s="2" t="s">
        <v>1521</v>
      </c>
      <c r="B776" s="2" t="s">
        <v>1522</v>
      </c>
      <c r="C776" s="2" t="s">
        <v>56</v>
      </c>
      <c r="D776" s="2">
        <v>107</v>
      </c>
      <c r="E776" s="2">
        <v>93</v>
      </c>
      <c r="F776" s="2">
        <v>128</v>
      </c>
      <c r="G776" s="2">
        <v>116</v>
      </c>
      <c r="H776" s="2">
        <v>137</v>
      </c>
      <c r="I776" s="2">
        <v>109</v>
      </c>
      <c r="J776" s="2">
        <v>112</v>
      </c>
      <c r="K776" s="2">
        <v>105</v>
      </c>
      <c r="L776" s="2">
        <v>84</v>
      </c>
      <c r="M776" s="2">
        <v>109</v>
      </c>
      <c r="N776" s="2">
        <v>104</v>
      </c>
      <c r="O776" s="2">
        <v>116</v>
      </c>
      <c r="P776" s="2">
        <v>1320</v>
      </c>
      <c r="Q776" s="2">
        <v>10</v>
      </c>
      <c r="R776" s="2">
        <v>13200</v>
      </c>
      <c r="S776" s="4">
        <f>SUM($R$2:R776) / SUM($R:$R)</f>
        <v>0.99852605442997167</v>
      </c>
      <c r="T776" s="3" t="str">
        <f t="shared" si="72"/>
        <v>C</v>
      </c>
      <c r="U776" s="2">
        <f t="shared" si="73"/>
        <v>110</v>
      </c>
      <c r="V776" s="2">
        <f t="shared" si="74"/>
        <v>14.032429971643932</v>
      </c>
      <c r="W776" s="2">
        <f t="shared" si="75"/>
        <v>0.12756754519676303</v>
      </c>
      <c r="X776" s="2" t="str">
        <f t="shared" si="76"/>
        <v>X</v>
      </c>
      <c r="Y776" s="2" t="str">
        <f t="shared" si="77"/>
        <v>CX</v>
      </c>
    </row>
    <row r="777" spans="1:25" x14ac:dyDescent="0.3">
      <c r="A777" s="2" t="s">
        <v>209</v>
      </c>
      <c r="B777" s="2" t="s">
        <v>210</v>
      </c>
      <c r="C777" s="2" t="s">
        <v>25</v>
      </c>
      <c r="D777" s="2">
        <v>529</v>
      </c>
      <c r="E777" s="2">
        <v>725</v>
      </c>
      <c r="F777" s="2">
        <v>222</v>
      </c>
      <c r="G777" s="2">
        <v>211</v>
      </c>
      <c r="H777" s="2">
        <v>744</v>
      </c>
      <c r="I777" s="2">
        <v>695</v>
      </c>
      <c r="J777" s="2">
        <v>544</v>
      </c>
      <c r="K777" s="2">
        <v>404</v>
      </c>
      <c r="L777" s="2">
        <v>549</v>
      </c>
      <c r="M777" s="2">
        <v>764</v>
      </c>
      <c r="N777" s="2">
        <v>646</v>
      </c>
      <c r="O777" s="2">
        <v>534</v>
      </c>
      <c r="P777" s="2">
        <v>6567</v>
      </c>
      <c r="Q777" s="2">
        <v>2</v>
      </c>
      <c r="R777" s="2">
        <v>13134</v>
      </c>
      <c r="S777" s="4">
        <f>SUM($R$2:R777) / SUM($R:$R)</f>
        <v>0.99853830300612367</v>
      </c>
      <c r="T777" s="3" t="str">
        <f t="shared" si="72"/>
        <v>C</v>
      </c>
      <c r="U777" s="2">
        <f t="shared" si="73"/>
        <v>547.25</v>
      </c>
      <c r="V777" s="2">
        <f t="shared" si="74"/>
        <v>187.99474122238826</v>
      </c>
      <c r="W777" s="2">
        <f t="shared" si="75"/>
        <v>0.34352625166265555</v>
      </c>
      <c r="X777" s="2" t="str">
        <f t="shared" si="76"/>
        <v>Y</v>
      </c>
      <c r="Y777" s="2" t="str">
        <f t="shared" si="77"/>
        <v>CY</v>
      </c>
    </row>
    <row r="778" spans="1:25" x14ac:dyDescent="0.3">
      <c r="A778" s="2" t="s">
        <v>291</v>
      </c>
      <c r="B778" s="2" t="s">
        <v>292</v>
      </c>
      <c r="C778" s="2" t="s">
        <v>36</v>
      </c>
      <c r="D778" s="2">
        <v>100</v>
      </c>
      <c r="E778" s="2">
        <v>105</v>
      </c>
      <c r="F778" s="2">
        <v>111</v>
      </c>
      <c r="G778" s="2">
        <v>113</v>
      </c>
      <c r="H778" s="2">
        <v>115</v>
      </c>
      <c r="I778" s="2">
        <v>109</v>
      </c>
      <c r="J778" s="2">
        <v>114</v>
      </c>
      <c r="K778" s="2">
        <v>108</v>
      </c>
      <c r="L778" s="2">
        <v>105</v>
      </c>
      <c r="M778" s="2">
        <v>95</v>
      </c>
      <c r="N778" s="2">
        <v>117</v>
      </c>
      <c r="O778" s="2">
        <v>117</v>
      </c>
      <c r="P778" s="2">
        <v>1309</v>
      </c>
      <c r="Q778" s="2">
        <v>10</v>
      </c>
      <c r="R778" s="2">
        <v>13090</v>
      </c>
      <c r="S778" s="4">
        <f>SUM($R$2:R778) / SUM($R:$R)</f>
        <v>0.99855051054851962</v>
      </c>
      <c r="T778" s="3" t="str">
        <f t="shared" si="72"/>
        <v>C</v>
      </c>
      <c r="U778" s="2">
        <f t="shared" si="73"/>
        <v>109.08333333333333</v>
      </c>
      <c r="V778" s="2">
        <f t="shared" si="74"/>
        <v>6.8683507790620615</v>
      </c>
      <c r="W778" s="2">
        <f t="shared" si="75"/>
        <v>6.2964254659086893E-2</v>
      </c>
      <c r="X778" s="2" t="str">
        <f t="shared" si="76"/>
        <v>X</v>
      </c>
      <c r="Y778" s="2" t="str">
        <f t="shared" si="77"/>
        <v>CX</v>
      </c>
    </row>
    <row r="779" spans="1:25" x14ac:dyDescent="0.3">
      <c r="A779" s="2" t="s">
        <v>313</v>
      </c>
      <c r="B779" s="2" t="s">
        <v>314</v>
      </c>
      <c r="C779" s="2" t="s">
        <v>25</v>
      </c>
      <c r="D779" s="2">
        <v>356</v>
      </c>
      <c r="E779" s="2">
        <v>476</v>
      </c>
      <c r="F779" s="2">
        <v>548</v>
      </c>
      <c r="G779" s="2">
        <v>248</v>
      </c>
      <c r="H779" s="2">
        <v>636</v>
      </c>
      <c r="I779" s="2">
        <v>267</v>
      </c>
      <c r="J779" s="2">
        <v>768</v>
      </c>
      <c r="K779" s="2">
        <v>460</v>
      </c>
      <c r="L779" s="2">
        <v>509</v>
      </c>
      <c r="M779" s="2">
        <v>719</v>
      </c>
      <c r="N779" s="2">
        <v>840</v>
      </c>
      <c r="O779" s="2">
        <v>644</v>
      </c>
      <c r="P779" s="2">
        <v>6471</v>
      </c>
      <c r="Q779" s="2">
        <v>2</v>
      </c>
      <c r="R779" s="2">
        <v>12942</v>
      </c>
      <c r="S779" s="4">
        <f>SUM($R$2:R779) / SUM($R:$R)</f>
        <v>0.99856258006828202</v>
      </c>
      <c r="T779" s="3" t="str">
        <f t="shared" si="72"/>
        <v>C</v>
      </c>
      <c r="U779" s="2">
        <f t="shared" si="73"/>
        <v>539.25</v>
      </c>
      <c r="V779" s="2">
        <f t="shared" si="74"/>
        <v>190.50656156678698</v>
      </c>
      <c r="W779" s="2">
        <f t="shared" si="75"/>
        <v>0.35328059632227538</v>
      </c>
      <c r="X779" s="2" t="str">
        <f t="shared" si="76"/>
        <v>Y</v>
      </c>
      <c r="Y779" s="2" t="str">
        <f t="shared" si="77"/>
        <v>CY</v>
      </c>
    </row>
    <row r="780" spans="1:25" x14ac:dyDescent="0.3">
      <c r="A780" s="2" t="s">
        <v>583</v>
      </c>
      <c r="B780" s="2" t="s">
        <v>584</v>
      </c>
      <c r="C780" s="2" t="s">
        <v>25</v>
      </c>
      <c r="D780" s="2">
        <v>758</v>
      </c>
      <c r="E780" s="2">
        <v>477</v>
      </c>
      <c r="F780" s="2">
        <v>694</v>
      </c>
      <c r="G780" s="2">
        <v>745</v>
      </c>
      <c r="H780" s="2">
        <v>728</v>
      </c>
      <c r="I780" s="2">
        <v>272</v>
      </c>
      <c r="J780" s="2">
        <v>451</v>
      </c>
      <c r="K780" s="2">
        <v>473</v>
      </c>
      <c r="L780" s="2">
        <v>528</v>
      </c>
      <c r="M780" s="2">
        <v>329</v>
      </c>
      <c r="N780" s="2">
        <v>572</v>
      </c>
      <c r="O780" s="2">
        <v>438</v>
      </c>
      <c r="P780" s="2">
        <v>6465</v>
      </c>
      <c r="Q780" s="2">
        <v>2</v>
      </c>
      <c r="R780" s="2">
        <v>12930</v>
      </c>
      <c r="S780" s="4">
        <f>SUM($R$2:R780) / SUM($R:$R)</f>
        <v>0.9985746383970201</v>
      </c>
      <c r="T780" s="3" t="str">
        <f t="shared" si="72"/>
        <v>C</v>
      </c>
      <c r="U780" s="2">
        <f t="shared" si="73"/>
        <v>538.75</v>
      </c>
      <c r="V780" s="2">
        <f t="shared" si="74"/>
        <v>163.17482258998393</v>
      </c>
      <c r="W780" s="2">
        <f t="shared" si="75"/>
        <v>0.30287670086307922</v>
      </c>
      <c r="X780" s="2" t="str">
        <f t="shared" si="76"/>
        <v>Y</v>
      </c>
      <c r="Y780" s="2" t="str">
        <f t="shared" si="77"/>
        <v>CY</v>
      </c>
    </row>
    <row r="781" spans="1:25" x14ac:dyDescent="0.3">
      <c r="A781" s="2" t="s">
        <v>1391</v>
      </c>
      <c r="B781" s="2" t="s">
        <v>1392</v>
      </c>
      <c r="C781" s="2" t="s">
        <v>41</v>
      </c>
      <c r="D781" s="2">
        <v>106</v>
      </c>
      <c r="E781" s="2">
        <v>116</v>
      </c>
      <c r="F781" s="2">
        <v>100</v>
      </c>
      <c r="G781" s="2">
        <v>117</v>
      </c>
      <c r="H781" s="2">
        <v>114</v>
      </c>
      <c r="I781" s="2">
        <v>114</v>
      </c>
      <c r="J781" s="2">
        <v>92</v>
      </c>
      <c r="K781" s="2">
        <v>94</v>
      </c>
      <c r="L781" s="2">
        <v>116</v>
      </c>
      <c r="M781" s="2">
        <v>112</v>
      </c>
      <c r="N781" s="2">
        <v>91</v>
      </c>
      <c r="O781" s="2">
        <v>91</v>
      </c>
      <c r="P781" s="2">
        <v>1263</v>
      </c>
      <c r="Q781" s="2">
        <v>10</v>
      </c>
      <c r="R781" s="2">
        <v>12630</v>
      </c>
      <c r="S781" s="4">
        <f>SUM($R$2:R781) / SUM($R:$R)</f>
        <v>0.99858641695014927</v>
      </c>
      <c r="T781" s="3" t="str">
        <f t="shared" si="72"/>
        <v>C</v>
      </c>
      <c r="U781" s="2">
        <f t="shared" si="73"/>
        <v>105.25</v>
      </c>
      <c r="V781" s="2">
        <f t="shared" si="74"/>
        <v>10.888901772822722</v>
      </c>
      <c r="W781" s="2">
        <f t="shared" si="75"/>
        <v>0.1034574990291945</v>
      </c>
      <c r="X781" s="2" t="str">
        <f t="shared" si="76"/>
        <v>X</v>
      </c>
      <c r="Y781" s="2" t="str">
        <f t="shared" si="77"/>
        <v>CX</v>
      </c>
    </row>
    <row r="782" spans="1:25" x14ac:dyDescent="0.3">
      <c r="A782" s="2" t="s">
        <v>611</v>
      </c>
      <c r="B782" s="2" t="s">
        <v>612</v>
      </c>
      <c r="C782" s="2" t="s">
        <v>36</v>
      </c>
      <c r="D782" s="2">
        <v>110</v>
      </c>
      <c r="E782" s="2">
        <v>105</v>
      </c>
      <c r="F782" s="2">
        <v>97</v>
      </c>
      <c r="G782" s="2">
        <v>106</v>
      </c>
      <c r="H782" s="2">
        <v>103</v>
      </c>
      <c r="I782" s="2">
        <v>105</v>
      </c>
      <c r="J782" s="2">
        <v>121</v>
      </c>
      <c r="K782" s="2">
        <v>101</v>
      </c>
      <c r="L782" s="2">
        <v>98</v>
      </c>
      <c r="M782" s="2">
        <v>100</v>
      </c>
      <c r="N782" s="2">
        <v>89</v>
      </c>
      <c r="O782" s="2">
        <v>96</v>
      </c>
      <c r="P782" s="2">
        <v>1231</v>
      </c>
      <c r="Q782" s="2">
        <v>10</v>
      </c>
      <c r="R782" s="2">
        <v>12310</v>
      </c>
      <c r="S782" s="4">
        <f>SUM($R$2:R782) / SUM($R:$R)</f>
        <v>0.99859789707596258</v>
      </c>
      <c r="T782" s="3" t="str">
        <f t="shared" si="72"/>
        <v>C</v>
      </c>
      <c r="U782" s="2">
        <f t="shared" si="73"/>
        <v>102.58333333333333</v>
      </c>
      <c r="V782" s="2">
        <f t="shared" si="74"/>
        <v>8.0165548407749014</v>
      </c>
      <c r="W782" s="2">
        <f t="shared" si="75"/>
        <v>7.8146757180583934E-2</v>
      </c>
      <c r="X782" s="2" t="str">
        <f t="shared" si="76"/>
        <v>X</v>
      </c>
      <c r="Y782" s="2" t="str">
        <f t="shared" si="77"/>
        <v>CX</v>
      </c>
    </row>
    <row r="783" spans="1:25" x14ac:dyDescent="0.3">
      <c r="A783" s="2" t="s">
        <v>117</v>
      </c>
      <c r="B783" s="2" t="s">
        <v>118</v>
      </c>
      <c r="C783" s="2" t="s">
        <v>25</v>
      </c>
      <c r="D783" s="2">
        <v>505</v>
      </c>
      <c r="E783" s="2">
        <v>723</v>
      </c>
      <c r="F783" s="2">
        <v>214</v>
      </c>
      <c r="G783" s="2">
        <v>694</v>
      </c>
      <c r="H783" s="2">
        <v>422</v>
      </c>
      <c r="I783" s="2">
        <v>439</v>
      </c>
      <c r="J783" s="2">
        <v>743</v>
      </c>
      <c r="K783" s="2">
        <v>254</v>
      </c>
      <c r="L783" s="2">
        <v>231</v>
      </c>
      <c r="M783" s="2">
        <v>486</v>
      </c>
      <c r="N783" s="2">
        <v>660</v>
      </c>
      <c r="O783" s="2">
        <v>749</v>
      </c>
      <c r="P783" s="2">
        <v>6120</v>
      </c>
      <c r="Q783" s="2">
        <v>2</v>
      </c>
      <c r="R783" s="2">
        <v>12240</v>
      </c>
      <c r="S783" s="4">
        <f>SUM($R$2:R783) / SUM($R:$R)</f>
        <v>0.99860931192080038</v>
      </c>
      <c r="T783" s="3" t="str">
        <f t="shared" si="72"/>
        <v>C</v>
      </c>
      <c r="U783" s="2">
        <f t="shared" si="73"/>
        <v>510</v>
      </c>
      <c r="V783" s="2">
        <f t="shared" si="74"/>
        <v>203.94161374810639</v>
      </c>
      <c r="W783" s="2">
        <f t="shared" si="75"/>
        <v>0.39988551715314979</v>
      </c>
      <c r="X783" s="2" t="str">
        <f t="shared" si="76"/>
        <v>Y</v>
      </c>
      <c r="Y783" s="2" t="str">
        <f t="shared" si="77"/>
        <v>CY</v>
      </c>
    </row>
    <row r="784" spans="1:25" x14ac:dyDescent="0.3">
      <c r="A784" s="2" t="s">
        <v>385</v>
      </c>
      <c r="B784" s="2" t="s">
        <v>386</v>
      </c>
      <c r="C784" s="2" t="s">
        <v>36</v>
      </c>
      <c r="D784" s="2">
        <v>493</v>
      </c>
      <c r="E784" s="2">
        <v>515</v>
      </c>
      <c r="F784" s="2">
        <v>509</v>
      </c>
      <c r="G784" s="2">
        <v>493</v>
      </c>
      <c r="H784" s="2">
        <v>501</v>
      </c>
      <c r="I784" s="2">
        <v>436</v>
      </c>
      <c r="J784" s="2">
        <v>526</v>
      </c>
      <c r="K784" s="2">
        <v>504</v>
      </c>
      <c r="L784" s="2">
        <v>508</v>
      </c>
      <c r="M784" s="2">
        <v>509</v>
      </c>
      <c r="N784" s="2">
        <v>525</v>
      </c>
      <c r="O784" s="2">
        <v>528</v>
      </c>
      <c r="P784" s="2">
        <v>6047</v>
      </c>
      <c r="Q784" s="2">
        <v>2</v>
      </c>
      <c r="R784" s="2">
        <v>12094</v>
      </c>
      <c r="S784" s="4">
        <f>SUM($R$2:R784) / SUM($R:$R)</f>
        <v>0.99862059060817532</v>
      </c>
      <c r="T784" s="3" t="str">
        <f t="shared" si="72"/>
        <v>C</v>
      </c>
      <c r="U784" s="2">
        <f t="shared" si="73"/>
        <v>503.91666666666669</v>
      </c>
      <c r="V784" s="2">
        <f t="shared" si="74"/>
        <v>24.425985914160925</v>
      </c>
      <c r="W784" s="2">
        <f t="shared" si="75"/>
        <v>4.8472272361490175E-2</v>
      </c>
      <c r="X784" s="2" t="str">
        <f t="shared" si="76"/>
        <v>X</v>
      </c>
      <c r="Y784" s="2" t="str">
        <f t="shared" si="77"/>
        <v>CX</v>
      </c>
    </row>
    <row r="785" spans="1:25" x14ac:dyDescent="0.3">
      <c r="A785" s="2" t="s">
        <v>693</v>
      </c>
      <c r="B785" s="2" t="s">
        <v>694</v>
      </c>
      <c r="C785" s="2" t="s">
        <v>25</v>
      </c>
      <c r="D785" s="2">
        <v>645</v>
      </c>
      <c r="E785" s="2">
        <v>774</v>
      </c>
      <c r="F785" s="2">
        <v>364</v>
      </c>
      <c r="G785" s="2">
        <v>398</v>
      </c>
      <c r="H785" s="2">
        <v>374</v>
      </c>
      <c r="I785" s="2">
        <v>438</v>
      </c>
      <c r="J785" s="2">
        <v>707</v>
      </c>
      <c r="K785" s="2">
        <v>580</v>
      </c>
      <c r="L785" s="2">
        <v>477</v>
      </c>
      <c r="M785" s="2">
        <v>277</v>
      </c>
      <c r="N785" s="2">
        <v>646</v>
      </c>
      <c r="O785" s="2">
        <v>337</v>
      </c>
      <c r="P785" s="2">
        <v>6017</v>
      </c>
      <c r="Q785" s="2">
        <v>2</v>
      </c>
      <c r="R785" s="2">
        <v>12034</v>
      </c>
      <c r="S785" s="4">
        <f>SUM($R$2:R785) / SUM($R:$R)</f>
        <v>0.9986318133404285</v>
      </c>
      <c r="T785" s="3" t="str">
        <f t="shared" si="72"/>
        <v>C</v>
      </c>
      <c r="U785" s="2">
        <f t="shared" si="73"/>
        <v>501.41666666666669</v>
      </c>
      <c r="V785" s="2">
        <f t="shared" si="74"/>
        <v>162.95256327774615</v>
      </c>
      <c r="W785" s="2">
        <f t="shared" si="75"/>
        <v>0.32498433759896189</v>
      </c>
      <c r="X785" s="2" t="str">
        <f t="shared" si="76"/>
        <v>Y</v>
      </c>
      <c r="Y785" s="2" t="str">
        <f t="shared" si="77"/>
        <v>CY</v>
      </c>
    </row>
    <row r="786" spans="1:25" x14ac:dyDescent="0.3">
      <c r="A786" s="2" t="s">
        <v>171</v>
      </c>
      <c r="B786" s="2" t="s">
        <v>172</v>
      </c>
      <c r="C786" s="2" t="s">
        <v>41</v>
      </c>
      <c r="D786" s="2">
        <v>485</v>
      </c>
      <c r="E786" s="2">
        <v>507</v>
      </c>
      <c r="F786" s="2">
        <v>536</v>
      </c>
      <c r="G786" s="2">
        <v>524</v>
      </c>
      <c r="H786" s="2">
        <v>504</v>
      </c>
      <c r="I786" s="2">
        <v>485</v>
      </c>
      <c r="J786" s="2">
        <v>492</v>
      </c>
      <c r="K786" s="2">
        <v>529</v>
      </c>
      <c r="L786" s="2">
        <v>493</v>
      </c>
      <c r="M786" s="2">
        <v>488</v>
      </c>
      <c r="N786" s="2">
        <v>481</v>
      </c>
      <c r="O786" s="2">
        <v>468</v>
      </c>
      <c r="P786" s="2">
        <v>5992</v>
      </c>
      <c r="Q786" s="2">
        <v>2</v>
      </c>
      <c r="R786" s="2">
        <v>11984</v>
      </c>
      <c r="S786" s="4">
        <f>SUM($R$2:R786) / SUM($R:$R)</f>
        <v>0.99864298944341345</v>
      </c>
      <c r="T786" s="3" t="str">
        <f t="shared" si="72"/>
        <v>C</v>
      </c>
      <c r="U786" s="2">
        <f t="shared" si="73"/>
        <v>499.33333333333331</v>
      </c>
      <c r="V786" s="2">
        <f t="shared" si="74"/>
        <v>21.029560723952944</v>
      </c>
      <c r="W786" s="2">
        <f t="shared" si="75"/>
        <v>4.2115275148103364E-2</v>
      </c>
      <c r="X786" s="2" t="str">
        <f t="shared" si="76"/>
        <v>X</v>
      </c>
      <c r="Y786" s="2" t="str">
        <f t="shared" si="77"/>
        <v>CX</v>
      </c>
    </row>
    <row r="787" spans="1:25" x14ac:dyDescent="0.3">
      <c r="A787" s="2" t="s">
        <v>1683</v>
      </c>
      <c r="B787" s="2" t="s">
        <v>1684</v>
      </c>
      <c r="C787" s="2" t="s">
        <v>25</v>
      </c>
      <c r="D787" s="2">
        <v>375</v>
      </c>
      <c r="E787" s="2">
        <v>392</v>
      </c>
      <c r="F787" s="2">
        <v>748</v>
      </c>
      <c r="G787" s="2">
        <v>365</v>
      </c>
      <c r="H787" s="2">
        <v>252</v>
      </c>
      <c r="I787" s="2">
        <v>273</v>
      </c>
      <c r="J787" s="2">
        <v>749</v>
      </c>
      <c r="K787" s="2">
        <v>571</v>
      </c>
      <c r="L787" s="2">
        <v>622</v>
      </c>
      <c r="M787" s="2">
        <v>304</v>
      </c>
      <c r="N787" s="2">
        <v>518</v>
      </c>
      <c r="O787" s="2">
        <v>800</v>
      </c>
      <c r="P787" s="2">
        <v>5969</v>
      </c>
      <c r="Q787" s="2">
        <v>2</v>
      </c>
      <c r="R787" s="2">
        <v>11938</v>
      </c>
      <c r="S787" s="4">
        <f>SUM($R$2:R787) / SUM($R:$R)</f>
        <v>0.99865412264747178</v>
      </c>
      <c r="T787" s="3" t="str">
        <f t="shared" si="72"/>
        <v>C</v>
      </c>
      <c r="U787" s="2">
        <f t="shared" si="73"/>
        <v>497.41666666666669</v>
      </c>
      <c r="V787" s="2">
        <f t="shared" si="74"/>
        <v>197.86058376053728</v>
      </c>
      <c r="W787" s="2">
        <f t="shared" si="75"/>
        <v>0.39777634530515116</v>
      </c>
      <c r="X787" s="2" t="str">
        <f t="shared" si="76"/>
        <v>Y</v>
      </c>
      <c r="Y787" s="2" t="str">
        <f t="shared" si="77"/>
        <v>CY</v>
      </c>
    </row>
    <row r="788" spans="1:25" x14ac:dyDescent="0.3">
      <c r="A788" s="2" t="s">
        <v>429</v>
      </c>
      <c r="B788" s="2" t="s">
        <v>430</v>
      </c>
      <c r="C788" s="2" t="s">
        <v>36</v>
      </c>
      <c r="D788" s="2">
        <v>487</v>
      </c>
      <c r="E788" s="2">
        <v>507</v>
      </c>
      <c r="F788" s="2">
        <v>499</v>
      </c>
      <c r="G788" s="2">
        <v>497</v>
      </c>
      <c r="H788" s="2">
        <v>502</v>
      </c>
      <c r="I788" s="2">
        <v>503</v>
      </c>
      <c r="J788" s="2">
        <v>463</v>
      </c>
      <c r="K788" s="2">
        <v>496</v>
      </c>
      <c r="L788" s="2">
        <v>485</v>
      </c>
      <c r="M788" s="2">
        <v>480</v>
      </c>
      <c r="N788" s="2">
        <v>510</v>
      </c>
      <c r="O788" s="2">
        <v>479</v>
      </c>
      <c r="P788" s="2">
        <v>5908</v>
      </c>
      <c r="Q788" s="2">
        <v>2</v>
      </c>
      <c r="R788" s="2">
        <v>11816</v>
      </c>
      <c r="S788" s="4">
        <f>SUM($R$2:R788) / SUM($R:$R)</f>
        <v>0.9986651420761159</v>
      </c>
      <c r="T788" s="3" t="str">
        <f t="shared" si="72"/>
        <v>C</v>
      </c>
      <c r="U788" s="2">
        <f t="shared" si="73"/>
        <v>492.33333333333331</v>
      </c>
      <c r="V788" s="2">
        <f t="shared" si="74"/>
        <v>13.773052301395275</v>
      </c>
      <c r="W788" s="2">
        <f t="shared" si="75"/>
        <v>2.7975055453070972E-2</v>
      </c>
      <c r="X788" s="2" t="str">
        <f t="shared" si="76"/>
        <v>X</v>
      </c>
      <c r="Y788" s="2" t="str">
        <f t="shared" si="77"/>
        <v>CX</v>
      </c>
    </row>
    <row r="789" spans="1:25" x14ac:dyDescent="0.3">
      <c r="A789" s="2" t="s">
        <v>1523</v>
      </c>
      <c r="B789" s="2" t="s">
        <v>1524</v>
      </c>
      <c r="C789" s="2" t="s">
        <v>25</v>
      </c>
      <c r="D789" s="2">
        <v>455</v>
      </c>
      <c r="E789" s="2">
        <v>772</v>
      </c>
      <c r="F789" s="2">
        <v>661</v>
      </c>
      <c r="G789" s="2">
        <v>689</v>
      </c>
      <c r="H789" s="2">
        <v>309</v>
      </c>
      <c r="I789" s="2">
        <v>212</v>
      </c>
      <c r="J789" s="2">
        <v>318</v>
      </c>
      <c r="K789" s="2">
        <v>584</v>
      </c>
      <c r="L789" s="2">
        <v>502</v>
      </c>
      <c r="M789" s="2">
        <v>547</v>
      </c>
      <c r="N789" s="2">
        <v>331</v>
      </c>
      <c r="O789" s="2">
        <v>447</v>
      </c>
      <c r="P789" s="2">
        <v>5827</v>
      </c>
      <c r="Q789" s="2">
        <v>2</v>
      </c>
      <c r="R789" s="2">
        <v>11654</v>
      </c>
      <c r="S789" s="4">
        <f>SUM($R$2:R789) / SUM($R:$R)</f>
        <v>0.99867601042593135</v>
      </c>
      <c r="T789" s="3" t="str">
        <f t="shared" si="72"/>
        <v>C</v>
      </c>
      <c r="U789" s="2">
        <f t="shared" si="73"/>
        <v>485.58333333333331</v>
      </c>
      <c r="V789" s="2">
        <f t="shared" si="74"/>
        <v>172.77018804987122</v>
      </c>
      <c r="W789" s="2">
        <f t="shared" si="75"/>
        <v>0.35579925460759476</v>
      </c>
      <c r="X789" s="2" t="str">
        <f t="shared" si="76"/>
        <v>Y</v>
      </c>
      <c r="Y789" s="2" t="str">
        <f t="shared" si="77"/>
        <v>CY</v>
      </c>
    </row>
    <row r="790" spans="1:25" x14ac:dyDescent="0.3">
      <c r="A790" s="2" t="s">
        <v>951</v>
      </c>
      <c r="B790" s="2" t="s">
        <v>952</v>
      </c>
      <c r="C790" s="2" t="s">
        <v>25</v>
      </c>
      <c r="D790" s="2">
        <v>591</v>
      </c>
      <c r="E790" s="2">
        <v>665</v>
      </c>
      <c r="F790" s="2">
        <v>628</v>
      </c>
      <c r="G790" s="2">
        <v>552</v>
      </c>
      <c r="H790" s="2">
        <v>177</v>
      </c>
      <c r="I790" s="2">
        <v>463</v>
      </c>
      <c r="J790" s="2">
        <v>598</v>
      </c>
      <c r="K790" s="2">
        <v>644</v>
      </c>
      <c r="L790" s="2">
        <v>302</v>
      </c>
      <c r="M790" s="2">
        <v>207</v>
      </c>
      <c r="N790" s="2">
        <v>651</v>
      </c>
      <c r="O790" s="2">
        <v>328</v>
      </c>
      <c r="P790" s="2">
        <v>5806</v>
      </c>
      <c r="Q790" s="2">
        <v>2</v>
      </c>
      <c r="R790" s="2">
        <v>11612</v>
      </c>
      <c r="S790" s="4">
        <f>SUM($R$2:R790) / SUM($R:$R)</f>
        <v>0.99868683960716143</v>
      </c>
      <c r="T790" s="3" t="str">
        <f t="shared" si="72"/>
        <v>C</v>
      </c>
      <c r="U790" s="2">
        <f t="shared" si="73"/>
        <v>483.83333333333331</v>
      </c>
      <c r="V790" s="2">
        <f t="shared" si="74"/>
        <v>182.1422188258062</v>
      </c>
      <c r="W790" s="2">
        <f t="shared" si="75"/>
        <v>0.37645653219250336</v>
      </c>
      <c r="X790" s="2" t="str">
        <f t="shared" si="76"/>
        <v>Y</v>
      </c>
      <c r="Y790" s="2" t="str">
        <f t="shared" si="77"/>
        <v>CY</v>
      </c>
    </row>
    <row r="791" spans="1:25" x14ac:dyDescent="0.3">
      <c r="A791" s="2" t="s">
        <v>1933</v>
      </c>
      <c r="B791" s="2" t="s">
        <v>1934</v>
      </c>
      <c r="C791" s="2" t="s">
        <v>41</v>
      </c>
      <c r="D791" s="2">
        <v>489</v>
      </c>
      <c r="E791" s="2">
        <v>447</v>
      </c>
      <c r="F791" s="2">
        <v>525</v>
      </c>
      <c r="G791" s="2">
        <v>436</v>
      </c>
      <c r="H791" s="2">
        <v>498</v>
      </c>
      <c r="I791" s="2">
        <v>460</v>
      </c>
      <c r="J791" s="2">
        <v>468</v>
      </c>
      <c r="K791" s="2">
        <v>464</v>
      </c>
      <c r="L791" s="2">
        <v>493</v>
      </c>
      <c r="M791" s="2">
        <v>468</v>
      </c>
      <c r="N791" s="2">
        <v>503</v>
      </c>
      <c r="O791" s="2">
        <v>486</v>
      </c>
      <c r="P791" s="2">
        <v>5737</v>
      </c>
      <c r="Q791" s="2">
        <v>2</v>
      </c>
      <c r="R791" s="2">
        <v>11474</v>
      </c>
      <c r="S791" s="4">
        <f>SUM($R$2:R791) / SUM($R:$R)</f>
        <v>0.9986975400916116</v>
      </c>
      <c r="T791" s="3" t="str">
        <f t="shared" si="72"/>
        <v>C</v>
      </c>
      <c r="U791" s="2">
        <f t="shared" si="73"/>
        <v>478.08333333333331</v>
      </c>
      <c r="V791" s="2">
        <f t="shared" si="74"/>
        <v>25.385960090116143</v>
      </c>
      <c r="W791" s="2">
        <f t="shared" si="75"/>
        <v>5.3099445891823902E-2</v>
      </c>
      <c r="X791" s="2" t="str">
        <f t="shared" si="76"/>
        <v>X</v>
      </c>
      <c r="Y791" s="2" t="str">
        <f t="shared" si="77"/>
        <v>CX</v>
      </c>
    </row>
    <row r="792" spans="1:25" x14ac:dyDescent="0.3">
      <c r="A792" s="2" t="s">
        <v>523</v>
      </c>
      <c r="B792" s="2" t="s">
        <v>524</v>
      </c>
      <c r="C792" s="2" t="s">
        <v>36</v>
      </c>
      <c r="D792" s="2">
        <v>505</v>
      </c>
      <c r="E792" s="2">
        <v>532</v>
      </c>
      <c r="F792" s="2">
        <v>455</v>
      </c>
      <c r="G792" s="2">
        <v>492</v>
      </c>
      <c r="H792" s="2">
        <v>472</v>
      </c>
      <c r="I792" s="2">
        <v>437</v>
      </c>
      <c r="J792" s="2">
        <v>474</v>
      </c>
      <c r="K792" s="2">
        <v>479</v>
      </c>
      <c r="L792" s="2">
        <v>465</v>
      </c>
      <c r="M792" s="2">
        <v>475</v>
      </c>
      <c r="N792" s="2">
        <v>481</v>
      </c>
      <c r="O792" s="2">
        <v>466</v>
      </c>
      <c r="P792" s="2">
        <v>5733</v>
      </c>
      <c r="Q792" s="2">
        <v>2</v>
      </c>
      <c r="R792" s="2">
        <v>11466</v>
      </c>
      <c r="S792" s="4">
        <f>SUM($R$2:R792) / SUM($R:$R)</f>
        <v>0.99870823311537882</v>
      </c>
      <c r="T792" s="3" t="str">
        <f t="shared" si="72"/>
        <v>C</v>
      </c>
      <c r="U792" s="2">
        <f t="shared" si="73"/>
        <v>477.75</v>
      </c>
      <c r="V792" s="2">
        <f t="shared" si="74"/>
        <v>24.185363718203995</v>
      </c>
      <c r="W792" s="2">
        <f t="shared" si="75"/>
        <v>5.0623471937632641E-2</v>
      </c>
      <c r="X792" s="2" t="str">
        <f t="shared" si="76"/>
        <v>X</v>
      </c>
      <c r="Y792" s="2" t="str">
        <f t="shared" si="77"/>
        <v>CX</v>
      </c>
    </row>
    <row r="793" spans="1:25" x14ac:dyDescent="0.3">
      <c r="A793" s="2" t="s">
        <v>207</v>
      </c>
      <c r="B793" s="2" t="s">
        <v>208</v>
      </c>
      <c r="C793" s="2" t="s">
        <v>36</v>
      </c>
      <c r="D793" s="2">
        <v>468</v>
      </c>
      <c r="E793" s="2">
        <v>479</v>
      </c>
      <c r="F793" s="2">
        <v>480</v>
      </c>
      <c r="G793" s="2">
        <v>433</v>
      </c>
      <c r="H793" s="2">
        <v>477</v>
      </c>
      <c r="I793" s="2">
        <v>459</v>
      </c>
      <c r="J793" s="2">
        <v>511</v>
      </c>
      <c r="K793" s="2">
        <v>486</v>
      </c>
      <c r="L793" s="2">
        <v>462</v>
      </c>
      <c r="M793" s="2">
        <v>506</v>
      </c>
      <c r="N793" s="2">
        <v>463</v>
      </c>
      <c r="O793" s="2">
        <v>459</v>
      </c>
      <c r="P793" s="2">
        <v>5683</v>
      </c>
      <c r="Q793" s="2">
        <v>2</v>
      </c>
      <c r="R793" s="2">
        <v>11366</v>
      </c>
      <c r="S793" s="4">
        <f>SUM($R$2:R793) / SUM($R:$R)</f>
        <v>0.99871883288060981</v>
      </c>
      <c r="T793" s="3" t="str">
        <f t="shared" si="72"/>
        <v>C</v>
      </c>
      <c r="U793" s="2">
        <f t="shared" si="73"/>
        <v>473.58333333333331</v>
      </c>
      <c r="V793" s="2">
        <f t="shared" si="74"/>
        <v>21.398633487947667</v>
      </c>
      <c r="W793" s="2">
        <f t="shared" si="75"/>
        <v>4.5184515547311635E-2</v>
      </c>
      <c r="X793" s="2" t="str">
        <f t="shared" si="76"/>
        <v>X</v>
      </c>
      <c r="Y793" s="2" t="str">
        <f t="shared" si="77"/>
        <v>CX</v>
      </c>
    </row>
    <row r="794" spans="1:25" x14ac:dyDescent="0.3">
      <c r="A794" s="2" t="s">
        <v>621</v>
      </c>
      <c r="B794" s="2" t="s">
        <v>622</v>
      </c>
      <c r="C794" s="2" t="s">
        <v>41</v>
      </c>
      <c r="D794" s="2">
        <v>512</v>
      </c>
      <c r="E794" s="2">
        <v>451</v>
      </c>
      <c r="F794" s="2">
        <v>455</v>
      </c>
      <c r="G794" s="2">
        <v>467</v>
      </c>
      <c r="H794" s="2">
        <v>479</v>
      </c>
      <c r="I794" s="2">
        <v>455</v>
      </c>
      <c r="J794" s="2">
        <v>524</v>
      </c>
      <c r="K794" s="2">
        <v>471</v>
      </c>
      <c r="L794" s="2">
        <v>471</v>
      </c>
      <c r="M794" s="2">
        <v>466</v>
      </c>
      <c r="N794" s="2">
        <v>477</v>
      </c>
      <c r="O794" s="2">
        <v>447</v>
      </c>
      <c r="P794" s="2">
        <v>5675</v>
      </c>
      <c r="Q794" s="2">
        <v>2</v>
      </c>
      <c r="R794" s="2">
        <v>11350</v>
      </c>
      <c r="S794" s="4">
        <f>SUM($R$2:R794) / SUM($R:$R)</f>
        <v>0.99872941772447488</v>
      </c>
      <c r="T794" s="3" t="str">
        <f t="shared" si="72"/>
        <v>C</v>
      </c>
      <c r="U794" s="2">
        <f t="shared" si="73"/>
        <v>472.91666666666669</v>
      </c>
      <c r="V794" s="2">
        <f t="shared" si="74"/>
        <v>23.500322370451681</v>
      </c>
      <c r="W794" s="2">
        <f t="shared" si="75"/>
        <v>4.9692311620338353E-2</v>
      </c>
      <c r="X794" s="2" t="str">
        <f t="shared" si="76"/>
        <v>X</v>
      </c>
      <c r="Y794" s="2" t="str">
        <f t="shared" si="77"/>
        <v>CX</v>
      </c>
    </row>
    <row r="795" spans="1:25" x14ac:dyDescent="0.3">
      <c r="A795" s="2" t="s">
        <v>1921</v>
      </c>
      <c r="B795" s="2" t="s">
        <v>1922</v>
      </c>
      <c r="C795" s="2" t="s">
        <v>36</v>
      </c>
      <c r="D795" s="2">
        <v>504</v>
      </c>
      <c r="E795" s="2">
        <v>493</v>
      </c>
      <c r="F795" s="2">
        <v>469</v>
      </c>
      <c r="G795" s="2">
        <v>478</v>
      </c>
      <c r="H795" s="2">
        <v>466</v>
      </c>
      <c r="I795" s="2">
        <v>440</v>
      </c>
      <c r="J795" s="2">
        <v>458</v>
      </c>
      <c r="K795" s="2">
        <v>458</v>
      </c>
      <c r="L795" s="2">
        <v>483</v>
      </c>
      <c r="M795" s="2">
        <v>489</v>
      </c>
      <c r="N795" s="2">
        <v>487</v>
      </c>
      <c r="O795" s="2">
        <v>444</v>
      </c>
      <c r="P795" s="2">
        <v>5669</v>
      </c>
      <c r="Q795" s="2">
        <v>2</v>
      </c>
      <c r="R795" s="2">
        <v>11338</v>
      </c>
      <c r="S795" s="4">
        <f>SUM($R$2:R795) / SUM($R:$R)</f>
        <v>0.99873999137731573</v>
      </c>
      <c r="T795" s="3" t="str">
        <f t="shared" si="72"/>
        <v>C</v>
      </c>
      <c r="U795" s="2">
        <f t="shared" si="73"/>
        <v>472.41666666666669</v>
      </c>
      <c r="V795" s="2">
        <f t="shared" si="74"/>
        <v>19.952025795225236</v>
      </c>
      <c r="W795" s="2">
        <f t="shared" si="75"/>
        <v>4.2233958289416618E-2</v>
      </c>
      <c r="X795" s="2" t="str">
        <f t="shared" si="76"/>
        <v>X</v>
      </c>
      <c r="Y795" s="2" t="str">
        <f t="shared" si="77"/>
        <v>CX</v>
      </c>
    </row>
    <row r="796" spans="1:25" x14ac:dyDescent="0.3">
      <c r="A796" s="2" t="s">
        <v>1429</v>
      </c>
      <c r="B796" s="2" t="s">
        <v>1430</v>
      </c>
      <c r="C796" s="2" t="s">
        <v>56</v>
      </c>
      <c r="D796" s="2">
        <v>446</v>
      </c>
      <c r="E796" s="2">
        <v>455</v>
      </c>
      <c r="F796" s="2">
        <v>473</v>
      </c>
      <c r="G796" s="2">
        <v>466</v>
      </c>
      <c r="H796" s="2">
        <v>476</v>
      </c>
      <c r="I796" s="2">
        <v>458</v>
      </c>
      <c r="J796" s="2">
        <v>462</v>
      </c>
      <c r="K796" s="2">
        <v>467</v>
      </c>
      <c r="L796" s="2">
        <v>514</v>
      </c>
      <c r="M796" s="2">
        <v>467</v>
      </c>
      <c r="N796" s="2">
        <v>499</v>
      </c>
      <c r="O796" s="2">
        <v>482</v>
      </c>
      <c r="P796" s="2">
        <v>5665</v>
      </c>
      <c r="Q796" s="2">
        <v>2</v>
      </c>
      <c r="R796" s="2">
        <v>11330</v>
      </c>
      <c r="S796" s="4">
        <f>SUM($R$2:R796) / SUM($R:$R)</f>
        <v>0.99875055756947362</v>
      </c>
      <c r="T796" s="3" t="str">
        <f t="shared" si="72"/>
        <v>C</v>
      </c>
      <c r="U796" s="2">
        <f t="shared" si="73"/>
        <v>472.08333333333331</v>
      </c>
      <c r="V796" s="2">
        <f t="shared" si="74"/>
        <v>18.966277889182603</v>
      </c>
      <c r="W796" s="2">
        <f t="shared" si="75"/>
        <v>4.0175698970907545E-2</v>
      </c>
      <c r="X796" s="2" t="str">
        <f t="shared" si="76"/>
        <v>X</v>
      </c>
      <c r="Y796" s="2" t="str">
        <f t="shared" si="77"/>
        <v>CX</v>
      </c>
    </row>
    <row r="797" spans="1:25" x14ac:dyDescent="0.3">
      <c r="A797" s="2" t="s">
        <v>389</v>
      </c>
      <c r="B797" s="2" t="s">
        <v>390</v>
      </c>
      <c r="C797" s="2" t="s">
        <v>41</v>
      </c>
      <c r="D797" s="2">
        <v>483</v>
      </c>
      <c r="E797" s="2">
        <v>441</v>
      </c>
      <c r="F797" s="2">
        <v>473</v>
      </c>
      <c r="G797" s="2">
        <v>484</v>
      </c>
      <c r="H797" s="2">
        <v>476</v>
      </c>
      <c r="I797" s="2">
        <v>469</v>
      </c>
      <c r="J797" s="2">
        <v>433</v>
      </c>
      <c r="K797" s="2">
        <v>463</v>
      </c>
      <c r="L797" s="2">
        <v>477</v>
      </c>
      <c r="M797" s="2">
        <v>464</v>
      </c>
      <c r="N797" s="2">
        <v>519</v>
      </c>
      <c r="O797" s="2">
        <v>459</v>
      </c>
      <c r="P797" s="2">
        <v>5641</v>
      </c>
      <c r="Q797" s="2">
        <v>2</v>
      </c>
      <c r="R797" s="2">
        <v>11282</v>
      </c>
      <c r="S797" s="4">
        <f>SUM($R$2:R797) / SUM($R:$R)</f>
        <v>0.99876107899753419</v>
      </c>
      <c r="T797" s="3" t="str">
        <f t="shared" si="72"/>
        <v>C</v>
      </c>
      <c r="U797" s="2">
        <f t="shared" si="73"/>
        <v>470.08333333333331</v>
      </c>
      <c r="V797" s="2">
        <f t="shared" si="74"/>
        <v>21.902504353833535</v>
      </c>
      <c r="W797" s="2">
        <f t="shared" si="75"/>
        <v>4.6592811956391145E-2</v>
      </c>
      <c r="X797" s="2" t="str">
        <f t="shared" si="76"/>
        <v>X</v>
      </c>
      <c r="Y797" s="2" t="str">
        <f t="shared" si="77"/>
        <v>CX</v>
      </c>
    </row>
    <row r="798" spans="1:25" x14ac:dyDescent="0.3">
      <c r="A798" s="2" t="s">
        <v>481</v>
      </c>
      <c r="B798" s="2" t="s">
        <v>482</v>
      </c>
      <c r="C798" s="2" t="s">
        <v>25</v>
      </c>
      <c r="D798" s="2">
        <v>478</v>
      </c>
      <c r="E798" s="2">
        <v>539</v>
      </c>
      <c r="F798" s="2">
        <v>454</v>
      </c>
      <c r="G798" s="2">
        <v>394</v>
      </c>
      <c r="H798" s="2">
        <v>300</v>
      </c>
      <c r="I798" s="2">
        <v>570</v>
      </c>
      <c r="J798" s="2">
        <v>566</v>
      </c>
      <c r="K798" s="2">
        <v>329</v>
      </c>
      <c r="L798" s="2">
        <v>137</v>
      </c>
      <c r="M798" s="2">
        <v>652</v>
      </c>
      <c r="N798" s="2">
        <v>655</v>
      </c>
      <c r="O798" s="2">
        <v>552</v>
      </c>
      <c r="P798" s="2">
        <v>5626</v>
      </c>
      <c r="Q798" s="2">
        <v>2</v>
      </c>
      <c r="R798" s="2">
        <v>11252</v>
      </c>
      <c r="S798" s="4">
        <f>SUM($R$2:R798) / SUM($R:$R)</f>
        <v>0.99877157244803383</v>
      </c>
      <c r="T798" s="3" t="str">
        <f t="shared" si="72"/>
        <v>C</v>
      </c>
      <c r="U798" s="2">
        <f t="shared" si="73"/>
        <v>468.83333333333331</v>
      </c>
      <c r="V798" s="2">
        <f t="shared" si="74"/>
        <v>154.8605433245921</v>
      </c>
      <c r="W798" s="2">
        <f t="shared" si="75"/>
        <v>0.33031043723695436</v>
      </c>
      <c r="X798" s="2" t="str">
        <f t="shared" si="76"/>
        <v>Y</v>
      </c>
      <c r="Y798" s="2" t="str">
        <f t="shared" si="77"/>
        <v>CY</v>
      </c>
    </row>
    <row r="799" spans="1:25" x14ac:dyDescent="0.3">
      <c r="A799" s="2" t="s">
        <v>1691</v>
      </c>
      <c r="B799" s="2" t="s">
        <v>1692</v>
      </c>
      <c r="C799" s="2" t="s">
        <v>36</v>
      </c>
      <c r="D799" s="2">
        <v>97</v>
      </c>
      <c r="E799" s="2">
        <v>90</v>
      </c>
      <c r="F799" s="2">
        <v>101</v>
      </c>
      <c r="G799" s="2">
        <v>86</v>
      </c>
      <c r="H799" s="2">
        <v>118</v>
      </c>
      <c r="I799" s="2">
        <v>91</v>
      </c>
      <c r="J799" s="2">
        <v>76</v>
      </c>
      <c r="K799" s="2">
        <v>91</v>
      </c>
      <c r="L799" s="2">
        <v>96</v>
      </c>
      <c r="M799" s="2">
        <v>84</v>
      </c>
      <c r="N799" s="2">
        <v>97</v>
      </c>
      <c r="O799" s="2">
        <v>90</v>
      </c>
      <c r="P799" s="2">
        <v>1117</v>
      </c>
      <c r="Q799" s="2">
        <v>10</v>
      </c>
      <c r="R799" s="2">
        <v>11170</v>
      </c>
      <c r="S799" s="4">
        <f>SUM($R$2:R799) / SUM($R:$R)</f>
        <v>0.99878198942653362</v>
      </c>
      <c r="T799" s="3" t="str">
        <f t="shared" si="72"/>
        <v>C</v>
      </c>
      <c r="U799" s="2">
        <f t="shared" si="73"/>
        <v>93.083333333333329</v>
      </c>
      <c r="V799" s="2">
        <f t="shared" si="74"/>
        <v>10.334921676558874</v>
      </c>
      <c r="W799" s="2">
        <f t="shared" si="75"/>
        <v>0.11102870198630842</v>
      </c>
      <c r="X799" s="2" t="str">
        <f t="shared" si="76"/>
        <v>X</v>
      </c>
      <c r="Y799" s="2" t="str">
        <f t="shared" si="77"/>
        <v>CX</v>
      </c>
    </row>
    <row r="800" spans="1:25" x14ac:dyDescent="0.3">
      <c r="A800" s="2" t="s">
        <v>503</v>
      </c>
      <c r="B800" s="2" t="s">
        <v>504</v>
      </c>
      <c r="C800" s="2" t="s">
        <v>25</v>
      </c>
      <c r="D800" s="2">
        <v>574</v>
      </c>
      <c r="E800" s="2">
        <v>541</v>
      </c>
      <c r="F800" s="2">
        <v>645</v>
      </c>
      <c r="G800" s="2">
        <v>80</v>
      </c>
      <c r="H800" s="2">
        <v>398</v>
      </c>
      <c r="I800" s="2">
        <v>596</v>
      </c>
      <c r="J800" s="2">
        <v>323</v>
      </c>
      <c r="K800" s="2">
        <v>645</v>
      </c>
      <c r="L800" s="2">
        <v>478</v>
      </c>
      <c r="M800" s="2">
        <v>438</v>
      </c>
      <c r="N800" s="2">
        <v>310</v>
      </c>
      <c r="O800" s="2">
        <v>554</v>
      </c>
      <c r="P800" s="2">
        <v>5582</v>
      </c>
      <c r="Q800" s="2">
        <v>2</v>
      </c>
      <c r="R800" s="2">
        <v>11164</v>
      </c>
      <c r="S800" s="4">
        <f>SUM($R$2:R800) / SUM($R:$R)</f>
        <v>0.99879240080952136</v>
      </c>
      <c r="T800" s="3" t="str">
        <f t="shared" si="72"/>
        <v>C</v>
      </c>
      <c r="U800" s="2">
        <f t="shared" si="73"/>
        <v>465.16666666666669</v>
      </c>
      <c r="V800" s="2">
        <f t="shared" si="74"/>
        <v>166.60777747497715</v>
      </c>
      <c r="W800" s="2">
        <f t="shared" si="75"/>
        <v>0.35816792004652914</v>
      </c>
      <c r="X800" s="2" t="str">
        <f t="shared" si="76"/>
        <v>Y</v>
      </c>
      <c r="Y800" s="2" t="str">
        <f t="shared" si="77"/>
        <v>CY</v>
      </c>
    </row>
    <row r="801" spans="1:25" x14ac:dyDescent="0.3">
      <c r="A801" s="2" t="s">
        <v>1247</v>
      </c>
      <c r="B801" s="2" t="s">
        <v>1248</v>
      </c>
      <c r="C801" s="2" t="s">
        <v>41</v>
      </c>
      <c r="D801" s="2">
        <v>110</v>
      </c>
      <c r="E801" s="2">
        <v>100</v>
      </c>
      <c r="F801" s="2">
        <v>87</v>
      </c>
      <c r="G801" s="2">
        <v>79</v>
      </c>
      <c r="H801" s="2">
        <v>95</v>
      </c>
      <c r="I801" s="2">
        <v>96</v>
      </c>
      <c r="J801" s="2">
        <v>80</v>
      </c>
      <c r="K801" s="2">
        <v>95</v>
      </c>
      <c r="L801" s="2">
        <v>105</v>
      </c>
      <c r="M801" s="2">
        <v>95</v>
      </c>
      <c r="N801" s="2">
        <v>88</v>
      </c>
      <c r="O801" s="2">
        <v>86</v>
      </c>
      <c r="P801" s="2">
        <v>1116</v>
      </c>
      <c r="Q801" s="2">
        <v>10</v>
      </c>
      <c r="R801" s="2">
        <v>11160</v>
      </c>
      <c r="S801" s="4">
        <f>SUM($R$2:R801) / SUM($R:$R)</f>
        <v>0.99880280846216762</v>
      </c>
      <c r="T801" s="3" t="str">
        <f t="shared" si="72"/>
        <v>C</v>
      </c>
      <c r="U801" s="2">
        <f t="shared" si="73"/>
        <v>93</v>
      </c>
      <c r="V801" s="2">
        <f t="shared" si="74"/>
        <v>9.429161728864921</v>
      </c>
      <c r="W801" s="2">
        <f t="shared" si="75"/>
        <v>0.10138883579424646</v>
      </c>
      <c r="X801" s="2" t="str">
        <f t="shared" si="76"/>
        <v>X</v>
      </c>
      <c r="Y801" s="2" t="str">
        <f t="shared" si="77"/>
        <v>CX</v>
      </c>
    </row>
    <row r="802" spans="1:25" x14ac:dyDescent="0.3">
      <c r="A802" s="2" t="s">
        <v>1893</v>
      </c>
      <c r="B802" s="2" t="s">
        <v>1894</v>
      </c>
      <c r="C802" s="2" t="s">
        <v>41</v>
      </c>
      <c r="D802" s="2">
        <v>477</v>
      </c>
      <c r="E802" s="2">
        <v>467</v>
      </c>
      <c r="F802" s="2">
        <v>476</v>
      </c>
      <c r="G802" s="2">
        <v>450</v>
      </c>
      <c r="H802" s="2">
        <v>453</v>
      </c>
      <c r="I802" s="2">
        <v>483</v>
      </c>
      <c r="J802" s="2">
        <v>451</v>
      </c>
      <c r="K802" s="2">
        <v>482</v>
      </c>
      <c r="L802" s="2">
        <v>437</v>
      </c>
      <c r="M802" s="2">
        <v>434</v>
      </c>
      <c r="N802" s="2">
        <v>462</v>
      </c>
      <c r="O802" s="2">
        <v>471</v>
      </c>
      <c r="P802" s="2">
        <v>5543</v>
      </c>
      <c r="Q802" s="2">
        <v>2</v>
      </c>
      <c r="R802" s="2">
        <v>11086</v>
      </c>
      <c r="S802" s="4">
        <f>SUM($R$2:R802) / SUM($R:$R)</f>
        <v>0.99881314710349711</v>
      </c>
      <c r="T802" s="3" t="str">
        <f t="shared" si="72"/>
        <v>C</v>
      </c>
      <c r="U802" s="2">
        <f t="shared" si="73"/>
        <v>461.91666666666669</v>
      </c>
      <c r="V802" s="2">
        <f t="shared" si="74"/>
        <v>16.8493772926929</v>
      </c>
      <c r="W802" s="2">
        <f t="shared" si="75"/>
        <v>3.6477093182809811E-2</v>
      </c>
      <c r="X802" s="2" t="str">
        <f t="shared" si="76"/>
        <v>X</v>
      </c>
      <c r="Y802" s="2" t="str">
        <f t="shared" si="77"/>
        <v>CX</v>
      </c>
    </row>
    <row r="803" spans="1:25" x14ac:dyDescent="0.3">
      <c r="A803" s="2" t="s">
        <v>1935</v>
      </c>
      <c r="B803" s="2" t="s">
        <v>1936</v>
      </c>
      <c r="C803" s="2" t="s">
        <v>56</v>
      </c>
      <c r="D803" s="2">
        <v>92</v>
      </c>
      <c r="E803" s="2">
        <v>96</v>
      </c>
      <c r="F803" s="2">
        <v>93</v>
      </c>
      <c r="G803" s="2">
        <v>80</v>
      </c>
      <c r="H803" s="2">
        <v>89</v>
      </c>
      <c r="I803" s="2">
        <v>102</v>
      </c>
      <c r="J803" s="2">
        <v>87</v>
      </c>
      <c r="K803" s="2">
        <v>86</v>
      </c>
      <c r="L803" s="2">
        <v>94</v>
      </c>
      <c r="M803" s="2">
        <v>96</v>
      </c>
      <c r="N803" s="2">
        <v>99</v>
      </c>
      <c r="O803" s="2">
        <v>92</v>
      </c>
      <c r="P803" s="2">
        <v>1106</v>
      </c>
      <c r="Q803" s="2">
        <v>10</v>
      </c>
      <c r="R803" s="2">
        <v>11060</v>
      </c>
      <c r="S803" s="4">
        <f>SUM($R$2:R803) / SUM($R:$R)</f>
        <v>0.99882346149760715</v>
      </c>
      <c r="T803" s="3" t="str">
        <f t="shared" si="72"/>
        <v>C</v>
      </c>
      <c r="U803" s="2">
        <f t="shared" si="73"/>
        <v>92.166666666666671</v>
      </c>
      <c r="V803" s="2">
        <f t="shared" si="74"/>
        <v>6.0277137733417083</v>
      </c>
      <c r="W803" s="2">
        <f t="shared" si="75"/>
        <v>6.5400149439512209E-2</v>
      </c>
      <c r="X803" s="2" t="str">
        <f t="shared" si="76"/>
        <v>X</v>
      </c>
      <c r="Y803" s="2" t="str">
        <f t="shared" si="77"/>
        <v>CX</v>
      </c>
    </row>
    <row r="804" spans="1:25" x14ac:dyDescent="0.3">
      <c r="A804" s="2" t="s">
        <v>919</v>
      </c>
      <c r="B804" s="2" t="s">
        <v>920</v>
      </c>
      <c r="C804" s="2" t="s">
        <v>41</v>
      </c>
      <c r="D804" s="2">
        <v>451</v>
      </c>
      <c r="E804" s="2">
        <v>435</v>
      </c>
      <c r="F804" s="2">
        <v>453</v>
      </c>
      <c r="G804" s="2">
        <v>465</v>
      </c>
      <c r="H804" s="2">
        <v>444</v>
      </c>
      <c r="I804" s="2">
        <v>472</v>
      </c>
      <c r="J804" s="2">
        <v>472</v>
      </c>
      <c r="K804" s="2">
        <v>441</v>
      </c>
      <c r="L804" s="2">
        <v>479</v>
      </c>
      <c r="M804" s="2">
        <v>444</v>
      </c>
      <c r="N804" s="2">
        <v>507</v>
      </c>
      <c r="O804" s="2">
        <v>451</v>
      </c>
      <c r="P804" s="2">
        <v>5514</v>
      </c>
      <c r="Q804" s="2">
        <v>2</v>
      </c>
      <c r="R804" s="2">
        <v>11028</v>
      </c>
      <c r="S804" s="4">
        <f>SUM($R$2:R804) / SUM($R:$R)</f>
        <v>0.99883374604898556</v>
      </c>
      <c r="T804" s="3" t="str">
        <f t="shared" si="72"/>
        <v>C</v>
      </c>
      <c r="U804" s="2">
        <f t="shared" si="73"/>
        <v>459.5</v>
      </c>
      <c r="V804" s="2">
        <f t="shared" si="74"/>
        <v>20.425029208836353</v>
      </c>
      <c r="W804" s="2">
        <f t="shared" si="75"/>
        <v>4.4450553229241248E-2</v>
      </c>
      <c r="X804" s="2" t="str">
        <f t="shared" si="76"/>
        <v>X</v>
      </c>
      <c r="Y804" s="2" t="str">
        <f t="shared" si="77"/>
        <v>CX</v>
      </c>
    </row>
    <row r="805" spans="1:25" x14ac:dyDescent="0.3">
      <c r="A805" s="2" t="s">
        <v>1023</v>
      </c>
      <c r="B805" s="2" t="s">
        <v>1024</v>
      </c>
      <c r="C805" s="2" t="s">
        <v>41</v>
      </c>
      <c r="D805" s="2">
        <v>412</v>
      </c>
      <c r="E805" s="2">
        <v>512</v>
      </c>
      <c r="F805" s="2">
        <v>480</v>
      </c>
      <c r="G805" s="2">
        <v>495</v>
      </c>
      <c r="H805" s="2">
        <v>485</v>
      </c>
      <c r="I805" s="2">
        <v>449</v>
      </c>
      <c r="J805" s="2">
        <v>443</v>
      </c>
      <c r="K805" s="2">
        <v>403</v>
      </c>
      <c r="L805" s="2">
        <v>444</v>
      </c>
      <c r="M805" s="2">
        <v>424</v>
      </c>
      <c r="N805" s="2">
        <v>479</v>
      </c>
      <c r="O805" s="2">
        <v>474</v>
      </c>
      <c r="P805" s="2">
        <v>5500</v>
      </c>
      <c r="Q805" s="2">
        <v>2</v>
      </c>
      <c r="R805" s="2">
        <v>11000</v>
      </c>
      <c r="S805" s="4">
        <f>SUM($R$2:R805) / SUM($R:$R)</f>
        <v>0.99884400448797384</v>
      </c>
      <c r="T805" s="3" t="str">
        <f t="shared" si="72"/>
        <v>C</v>
      </c>
      <c r="U805" s="2">
        <f t="shared" si="73"/>
        <v>458.33333333333331</v>
      </c>
      <c r="V805" s="2">
        <f t="shared" si="74"/>
        <v>34.367884938580595</v>
      </c>
      <c r="W805" s="2">
        <f t="shared" si="75"/>
        <v>7.4984476229630392E-2</v>
      </c>
      <c r="X805" s="2" t="str">
        <f t="shared" si="76"/>
        <v>X</v>
      </c>
      <c r="Y805" s="2" t="str">
        <f t="shared" si="77"/>
        <v>CX</v>
      </c>
    </row>
    <row r="806" spans="1:25" x14ac:dyDescent="0.3">
      <c r="A806" s="2" t="s">
        <v>921</v>
      </c>
      <c r="B806" s="2" t="s">
        <v>922</v>
      </c>
      <c r="C806" s="2" t="s">
        <v>36</v>
      </c>
      <c r="D806" s="2">
        <v>94</v>
      </c>
      <c r="E806" s="2">
        <v>86</v>
      </c>
      <c r="F806" s="2">
        <v>100</v>
      </c>
      <c r="G806" s="2">
        <v>86</v>
      </c>
      <c r="H806" s="2">
        <v>106</v>
      </c>
      <c r="I806" s="2">
        <v>92</v>
      </c>
      <c r="J806" s="2">
        <v>83</v>
      </c>
      <c r="K806" s="2">
        <v>94</v>
      </c>
      <c r="L806" s="2">
        <v>95</v>
      </c>
      <c r="M806" s="2">
        <v>80</v>
      </c>
      <c r="N806" s="2">
        <v>80</v>
      </c>
      <c r="O806" s="2">
        <v>101</v>
      </c>
      <c r="P806" s="2">
        <v>1097</v>
      </c>
      <c r="Q806" s="2">
        <v>10</v>
      </c>
      <c r="R806" s="2">
        <v>10970</v>
      </c>
      <c r="S806" s="4">
        <f>SUM($R$2:R806) / SUM($R:$R)</f>
        <v>0.99885423494940118</v>
      </c>
      <c r="T806" s="3" t="str">
        <f t="shared" si="72"/>
        <v>C</v>
      </c>
      <c r="U806" s="2">
        <f t="shared" si="73"/>
        <v>91.416666666666671</v>
      </c>
      <c r="V806" s="2">
        <f t="shared" si="74"/>
        <v>8.500891218875319</v>
      </c>
      <c r="W806" s="2">
        <f t="shared" si="75"/>
        <v>9.299060585825325E-2</v>
      </c>
      <c r="X806" s="2" t="str">
        <f t="shared" si="76"/>
        <v>X</v>
      </c>
      <c r="Y806" s="2" t="str">
        <f t="shared" si="77"/>
        <v>CX</v>
      </c>
    </row>
    <row r="807" spans="1:25" x14ac:dyDescent="0.3">
      <c r="A807" s="2" t="s">
        <v>543</v>
      </c>
      <c r="B807" s="2" t="s">
        <v>544</v>
      </c>
      <c r="C807" s="2" t="s">
        <v>41</v>
      </c>
      <c r="D807" s="2">
        <v>416</v>
      </c>
      <c r="E807" s="2">
        <v>456</v>
      </c>
      <c r="F807" s="2">
        <v>450</v>
      </c>
      <c r="G807" s="2">
        <v>451</v>
      </c>
      <c r="H807" s="2">
        <v>489</v>
      </c>
      <c r="I807" s="2">
        <v>456</v>
      </c>
      <c r="J807" s="2">
        <v>462</v>
      </c>
      <c r="K807" s="2">
        <v>444</v>
      </c>
      <c r="L807" s="2">
        <v>440</v>
      </c>
      <c r="M807" s="2">
        <v>447</v>
      </c>
      <c r="N807" s="2">
        <v>465</v>
      </c>
      <c r="O807" s="2">
        <v>479</v>
      </c>
      <c r="P807" s="2">
        <v>5455</v>
      </c>
      <c r="Q807" s="2">
        <v>2</v>
      </c>
      <c r="R807" s="2">
        <v>10910</v>
      </c>
      <c r="S807" s="4">
        <f>SUM($R$2:R807) / SUM($R:$R)</f>
        <v>0.99886440945570676</v>
      </c>
      <c r="T807" s="3" t="str">
        <f t="shared" si="72"/>
        <v>C</v>
      </c>
      <c r="U807" s="2">
        <f t="shared" si="73"/>
        <v>454.58333333333331</v>
      </c>
      <c r="V807" s="2">
        <f t="shared" si="74"/>
        <v>18.715372064566374</v>
      </c>
      <c r="W807" s="2">
        <f t="shared" si="75"/>
        <v>4.1170387676406323E-2</v>
      </c>
      <c r="X807" s="2" t="str">
        <f t="shared" si="76"/>
        <v>X</v>
      </c>
      <c r="Y807" s="2" t="str">
        <f t="shared" si="77"/>
        <v>CX</v>
      </c>
    </row>
    <row r="808" spans="1:25" x14ac:dyDescent="0.3">
      <c r="A808" s="2" t="s">
        <v>1513</v>
      </c>
      <c r="B808" s="2" t="s">
        <v>1514</v>
      </c>
      <c r="C808" s="2" t="s">
        <v>41</v>
      </c>
      <c r="D808" s="2">
        <v>434</v>
      </c>
      <c r="E808" s="2">
        <v>496</v>
      </c>
      <c r="F808" s="2">
        <v>490</v>
      </c>
      <c r="G808" s="2">
        <v>449</v>
      </c>
      <c r="H808" s="2">
        <v>429</v>
      </c>
      <c r="I808" s="2">
        <v>430</v>
      </c>
      <c r="J808" s="2">
        <v>448</v>
      </c>
      <c r="K808" s="2">
        <v>462</v>
      </c>
      <c r="L808" s="2">
        <v>448</v>
      </c>
      <c r="M808" s="2">
        <v>453</v>
      </c>
      <c r="N808" s="2">
        <v>463</v>
      </c>
      <c r="O808" s="2">
        <v>431</v>
      </c>
      <c r="P808" s="2">
        <v>5433</v>
      </c>
      <c r="Q808" s="2">
        <v>2</v>
      </c>
      <c r="R808" s="2">
        <v>10866</v>
      </c>
      <c r="S808" s="4">
        <f>SUM($R$2:R808) / SUM($R:$R)</f>
        <v>0.9988745429282565</v>
      </c>
      <c r="T808" s="3" t="str">
        <f t="shared" si="72"/>
        <v>C</v>
      </c>
      <c r="U808" s="2">
        <f t="shared" si="73"/>
        <v>452.75</v>
      </c>
      <c r="V808" s="2">
        <f t="shared" si="74"/>
        <v>22.185683344322424</v>
      </c>
      <c r="W808" s="2">
        <f t="shared" si="75"/>
        <v>4.9002061500436053E-2</v>
      </c>
      <c r="X808" s="2" t="str">
        <f t="shared" si="76"/>
        <v>X</v>
      </c>
      <c r="Y808" s="2" t="str">
        <f t="shared" si="77"/>
        <v>CX</v>
      </c>
    </row>
    <row r="809" spans="1:25" x14ac:dyDescent="0.3">
      <c r="A809" s="2" t="s">
        <v>763</v>
      </c>
      <c r="B809" s="2" t="s">
        <v>764</v>
      </c>
      <c r="C809" s="2" t="s">
        <v>41</v>
      </c>
      <c r="D809" s="2">
        <v>445</v>
      </c>
      <c r="E809" s="2">
        <v>456</v>
      </c>
      <c r="F809" s="2">
        <v>430</v>
      </c>
      <c r="G809" s="2">
        <v>444</v>
      </c>
      <c r="H809" s="2">
        <v>412</v>
      </c>
      <c r="I809" s="2">
        <v>444</v>
      </c>
      <c r="J809" s="2">
        <v>466</v>
      </c>
      <c r="K809" s="2">
        <v>477</v>
      </c>
      <c r="L809" s="2">
        <v>465</v>
      </c>
      <c r="M809" s="2">
        <v>455</v>
      </c>
      <c r="N809" s="2">
        <v>445</v>
      </c>
      <c r="O809" s="2">
        <v>414</v>
      </c>
      <c r="P809" s="2">
        <v>5353</v>
      </c>
      <c r="Q809" s="2">
        <v>2</v>
      </c>
      <c r="R809" s="2">
        <v>10706</v>
      </c>
      <c r="S809" s="4">
        <f>SUM($R$2:R809) / SUM($R:$R)</f>
        <v>0.99888452718714815</v>
      </c>
      <c r="T809" s="3" t="str">
        <f t="shared" si="72"/>
        <v>C</v>
      </c>
      <c r="U809" s="2">
        <f t="shared" si="73"/>
        <v>446.08333333333331</v>
      </c>
      <c r="V809" s="2">
        <f t="shared" si="74"/>
        <v>19.883562573293062</v>
      </c>
      <c r="W809" s="2">
        <f t="shared" si="75"/>
        <v>4.4573650453860782E-2</v>
      </c>
      <c r="X809" s="2" t="str">
        <f t="shared" si="76"/>
        <v>X</v>
      </c>
      <c r="Y809" s="2" t="str">
        <f t="shared" si="77"/>
        <v>CX</v>
      </c>
    </row>
    <row r="810" spans="1:25" x14ac:dyDescent="0.3">
      <c r="A810" s="2" t="s">
        <v>1563</v>
      </c>
      <c r="B810" s="2" t="s">
        <v>1564</v>
      </c>
      <c r="C810" s="2" t="s">
        <v>36</v>
      </c>
      <c r="D810" s="2">
        <v>436</v>
      </c>
      <c r="E810" s="2">
        <v>435</v>
      </c>
      <c r="F810" s="2">
        <v>437</v>
      </c>
      <c r="G810" s="2">
        <v>452</v>
      </c>
      <c r="H810" s="2">
        <v>463</v>
      </c>
      <c r="I810" s="2">
        <v>431</v>
      </c>
      <c r="J810" s="2">
        <v>441</v>
      </c>
      <c r="K810" s="2">
        <v>458</v>
      </c>
      <c r="L810" s="2">
        <v>455</v>
      </c>
      <c r="M810" s="2">
        <v>430</v>
      </c>
      <c r="N810" s="2">
        <v>457</v>
      </c>
      <c r="O810" s="2">
        <v>425</v>
      </c>
      <c r="P810" s="2">
        <v>5320</v>
      </c>
      <c r="Q810" s="2">
        <v>2</v>
      </c>
      <c r="R810" s="2">
        <v>10640</v>
      </c>
      <c r="S810" s="4">
        <f>SUM($R$2:R810) / SUM($R:$R)</f>
        <v>0.99889444989540588</v>
      </c>
      <c r="T810" s="3" t="str">
        <f t="shared" si="72"/>
        <v>C</v>
      </c>
      <c r="U810" s="2">
        <f t="shared" si="73"/>
        <v>443.33333333333331</v>
      </c>
      <c r="V810" s="2">
        <f t="shared" si="74"/>
        <v>12.914638159386378</v>
      </c>
      <c r="W810" s="2">
        <f t="shared" si="75"/>
        <v>2.9130762765533183E-2</v>
      </c>
      <c r="X810" s="2" t="str">
        <f t="shared" si="76"/>
        <v>X</v>
      </c>
      <c r="Y810" s="2" t="str">
        <f t="shared" si="77"/>
        <v>CX</v>
      </c>
    </row>
    <row r="811" spans="1:25" x14ac:dyDescent="0.3">
      <c r="A811" s="2" t="s">
        <v>1847</v>
      </c>
      <c r="B811" s="2" t="s">
        <v>1848</v>
      </c>
      <c r="C811" s="2" t="s">
        <v>56</v>
      </c>
      <c r="D811" s="2">
        <v>448</v>
      </c>
      <c r="E811" s="2">
        <v>450</v>
      </c>
      <c r="F811" s="2">
        <v>451</v>
      </c>
      <c r="G811" s="2">
        <v>461</v>
      </c>
      <c r="H811" s="2">
        <v>434</v>
      </c>
      <c r="I811" s="2">
        <v>439</v>
      </c>
      <c r="J811" s="2">
        <v>458</v>
      </c>
      <c r="K811" s="2">
        <v>420</v>
      </c>
      <c r="L811" s="2">
        <v>454</v>
      </c>
      <c r="M811" s="2">
        <v>413</v>
      </c>
      <c r="N811" s="2">
        <v>409</v>
      </c>
      <c r="O811" s="2">
        <v>466</v>
      </c>
      <c r="P811" s="2">
        <v>5303</v>
      </c>
      <c r="Q811" s="2">
        <v>2</v>
      </c>
      <c r="R811" s="2">
        <v>10606</v>
      </c>
      <c r="S811" s="4">
        <f>SUM($R$2:R811) / SUM($R:$R)</f>
        <v>0.9989043408957613</v>
      </c>
      <c r="T811" s="3" t="str">
        <f t="shared" si="72"/>
        <v>C</v>
      </c>
      <c r="U811" s="2">
        <f t="shared" si="73"/>
        <v>441.91666666666669</v>
      </c>
      <c r="V811" s="2">
        <f t="shared" si="74"/>
        <v>19.080967830100583</v>
      </c>
      <c r="W811" s="2">
        <f t="shared" si="75"/>
        <v>4.3177751076976613E-2</v>
      </c>
      <c r="X811" s="2" t="str">
        <f t="shared" si="76"/>
        <v>X</v>
      </c>
      <c r="Y811" s="2" t="str">
        <f t="shared" si="77"/>
        <v>CX</v>
      </c>
    </row>
    <row r="812" spans="1:25" x14ac:dyDescent="0.3">
      <c r="A812" s="2" t="s">
        <v>1907</v>
      </c>
      <c r="B812" s="2" t="s">
        <v>1908</v>
      </c>
      <c r="C812" s="2" t="s">
        <v>41</v>
      </c>
      <c r="D812" s="2">
        <v>395</v>
      </c>
      <c r="E812" s="2">
        <v>451</v>
      </c>
      <c r="F812" s="2">
        <v>432</v>
      </c>
      <c r="G812" s="2">
        <v>450</v>
      </c>
      <c r="H812" s="2">
        <v>450</v>
      </c>
      <c r="I812" s="2">
        <v>417</v>
      </c>
      <c r="J812" s="2">
        <v>434</v>
      </c>
      <c r="K812" s="2">
        <v>440</v>
      </c>
      <c r="L812" s="2">
        <v>456</v>
      </c>
      <c r="M812" s="2">
        <v>435</v>
      </c>
      <c r="N812" s="2">
        <v>451</v>
      </c>
      <c r="O812" s="2">
        <v>444</v>
      </c>
      <c r="P812" s="2">
        <v>5255</v>
      </c>
      <c r="Q812" s="2">
        <v>2</v>
      </c>
      <c r="R812" s="2">
        <v>10510</v>
      </c>
      <c r="S812" s="4">
        <f>SUM($R$2:R812) / SUM($R:$R)</f>
        <v>0.99891414236792186</v>
      </c>
      <c r="T812" s="3" t="str">
        <f t="shared" si="72"/>
        <v>C</v>
      </c>
      <c r="U812" s="2">
        <f t="shared" si="73"/>
        <v>437.91666666666669</v>
      </c>
      <c r="V812" s="2">
        <f t="shared" si="74"/>
        <v>17.42755567971874</v>
      </c>
      <c r="W812" s="2">
        <f t="shared" si="75"/>
        <v>3.9796511542649834E-2</v>
      </c>
      <c r="X812" s="2" t="str">
        <f t="shared" si="76"/>
        <v>X</v>
      </c>
      <c r="Y812" s="2" t="str">
        <f t="shared" si="77"/>
        <v>CX</v>
      </c>
    </row>
    <row r="813" spans="1:25" x14ac:dyDescent="0.3">
      <c r="A813" s="2" t="s">
        <v>719</v>
      </c>
      <c r="B813" s="2" t="s">
        <v>720</v>
      </c>
      <c r="C813" s="2" t="s">
        <v>41</v>
      </c>
      <c r="D813" s="2">
        <v>431</v>
      </c>
      <c r="E813" s="2">
        <v>414</v>
      </c>
      <c r="F813" s="2">
        <v>454</v>
      </c>
      <c r="G813" s="2">
        <v>434</v>
      </c>
      <c r="H813" s="2">
        <v>434</v>
      </c>
      <c r="I813" s="2">
        <v>464</v>
      </c>
      <c r="J813" s="2">
        <v>422</v>
      </c>
      <c r="K813" s="2">
        <v>462</v>
      </c>
      <c r="L813" s="2">
        <v>435</v>
      </c>
      <c r="M813" s="2">
        <v>403</v>
      </c>
      <c r="N813" s="2">
        <v>434</v>
      </c>
      <c r="O813" s="2">
        <v>442</v>
      </c>
      <c r="P813" s="2">
        <v>5229</v>
      </c>
      <c r="Q813" s="2">
        <v>2</v>
      </c>
      <c r="R813" s="2">
        <v>10458</v>
      </c>
      <c r="S813" s="4">
        <f>SUM($R$2:R813) / SUM($R:$R)</f>
        <v>0.99892389534564363</v>
      </c>
      <c r="T813" s="3" t="str">
        <f t="shared" si="72"/>
        <v>C</v>
      </c>
      <c r="U813" s="2">
        <f t="shared" si="73"/>
        <v>435.75</v>
      </c>
      <c r="V813" s="2">
        <f t="shared" si="74"/>
        <v>18.156516486074384</v>
      </c>
      <c r="W813" s="2">
        <f t="shared" si="75"/>
        <v>4.1667278223922855E-2</v>
      </c>
      <c r="X813" s="2" t="str">
        <f t="shared" si="76"/>
        <v>X</v>
      </c>
      <c r="Y813" s="2" t="str">
        <f t="shared" si="77"/>
        <v>CX</v>
      </c>
    </row>
    <row r="814" spans="1:25" x14ac:dyDescent="0.3">
      <c r="A814" s="2" t="s">
        <v>1819</v>
      </c>
      <c r="B814" s="2" t="s">
        <v>1820</v>
      </c>
      <c r="C814" s="2" t="s">
        <v>36</v>
      </c>
      <c r="D814" s="2">
        <v>460</v>
      </c>
      <c r="E814" s="2">
        <v>415</v>
      </c>
      <c r="F814" s="2">
        <v>425</v>
      </c>
      <c r="G814" s="2">
        <v>449</v>
      </c>
      <c r="H814" s="2">
        <v>434</v>
      </c>
      <c r="I814" s="2">
        <v>428</v>
      </c>
      <c r="J814" s="2">
        <v>409</v>
      </c>
      <c r="K814" s="2">
        <v>446</v>
      </c>
      <c r="L814" s="2">
        <v>417</v>
      </c>
      <c r="M814" s="2">
        <v>448</v>
      </c>
      <c r="N814" s="2">
        <v>446</v>
      </c>
      <c r="O814" s="2">
        <v>419</v>
      </c>
      <c r="P814" s="2">
        <v>5196</v>
      </c>
      <c r="Q814" s="2">
        <v>2</v>
      </c>
      <c r="R814" s="2">
        <v>10392</v>
      </c>
      <c r="S814" s="4">
        <f>SUM($R$2:R814) / SUM($R:$R)</f>
        <v>0.99893358677273147</v>
      </c>
      <c r="T814" s="3" t="str">
        <f t="shared" si="72"/>
        <v>C</v>
      </c>
      <c r="U814" s="2">
        <f t="shared" si="73"/>
        <v>433</v>
      </c>
      <c r="V814" s="2">
        <f t="shared" si="74"/>
        <v>16.486909407714407</v>
      </c>
      <c r="W814" s="2">
        <f t="shared" si="75"/>
        <v>3.8076003251072535E-2</v>
      </c>
      <c r="X814" s="2" t="str">
        <f t="shared" si="76"/>
        <v>X</v>
      </c>
      <c r="Y814" s="2" t="str">
        <f t="shared" si="77"/>
        <v>CX</v>
      </c>
    </row>
    <row r="815" spans="1:25" x14ac:dyDescent="0.3">
      <c r="A815" s="2" t="s">
        <v>1003</v>
      </c>
      <c r="B815" s="2" t="s">
        <v>1004</v>
      </c>
      <c r="C815" s="2" t="s">
        <v>25</v>
      </c>
      <c r="D815" s="2">
        <v>401</v>
      </c>
      <c r="E815" s="2">
        <v>636</v>
      </c>
      <c r="F815" s="2">
        <v>351</v>
      </c>
      <c r="G815" s="2">
        <v>239</v>
      </c>
      <c r="H815" s="2">
        <v>230</v>
      </c>
      <c r="I815" s="2">
        <v>200</v>
      </c>
      <c r="J815" s="2">
        <v>235</v>
      </c>
      <c r="K815" s="2">
        <v>259</v>
      </c>
      <c r="L815" s="2">
        <v>606</v>
      </c>
      <c r="M815" s="2">
        <v>660</v>
      </c>
      <c r="N815" s="2">
        <v>725</v>
      </c>
      <c r="O815" s="2">
        <v>613</v>
      </c>
      <c r="P815" s="2">
        <v>5155</v>
      </c>
      <c r="Q815" s="2">
        <v>2</v>
      </c>
      <c r="R815" s="2">
        <v>10310</v>
      </c>
      <c r="S815" s="4">
        <f>SUM($R$2:R815) / SUM($R:$R)</f>
        <v>0.99894320172781959</v>
      </c>
      <c r="T815" s="3" t="str">
        <f t="shared" si="72"/>
        <v>C</v>
      </c>
      <c r="U815" s="2">
        <f t="shared" si="73"/>
        <v>429.58333333333331</v>
      </c>
      <c r="V815" s="2">
        <f t="shared" si="74"/>
        <v>202.3841793733049</v>
      </c>
      <c r="W815" s="2">
        <f t="shared" si="75"/>
        <v>0.47111739136365838</v>
      </c>
      <c r="X815" s="2" t="str">
        <f t="shared" si="76"/>
        <v>Y</v>
      </c>
      <c r="Y815" s="2" t="str">
        <f t="shared" si="77"/>
        <v>CY</v>
      </c>
    </row>
    <row r="816" spans="1:25" x14ac:dyDescent="0.3">
      <c r="A816" s="2" t="s">
        <v>993</v>
      </c>
      <c r="B816" s="2" t="s">
        <v>994</v>
      </c>
      <c r="C816" s="2" t="s">
        <v>36</v>
      </c>
      <c r="D816" s="2">
        <v>424</v>
      </c>
      <c r="E816" s="2">
        <v>447</v>
      </c>
      <c r="F816" s="2">
        <v>384</v>
      </c>
      <c r="G816" s="2">
        <v>438</v>
      </c>
      <c r="H816" s="2">
        <v>386</v>
      </c>
      <c r="I816" s="2">
        <v>432</v>
      </c>
      <c r="J816" s="2">
        <v>435</v>
      </c>
      <c r="K816" s="2">
        <v>458</v>
      </c>
      <c r="L816" s="2">
        <v>451</v>
      </c>
      <c r="M816" s="2">
        <v>431</v>
      </c>
      <c r="N816" s="2">
        <v>409</v>
      </c>
      <c r="O816" s="2">
        <v>427</v>
      </c>
      <c r="P816" s="2">
        <v>5122</v>
      </c>
      <c r="Q816" s="2">
        <v>2</v>
      </c>
      <c r="R816" s="2">
        <v>10244</v>
      </c>
      <c r="S816" s="4">
        <f>SUM($R$2:R816) / SUM($R:$R)</f>
        <v>0.99895275513227366</v>
      </c>
      <c r="T816" s="3" t="str">
        <f t="shared" si="72"/>
        <v>C</v>
      </c>
      <c r="U816" s="2">
        <f t="shared" si="73"/>
        <v>426.83333333333331</v>
      </c>
      <c r="V816" s="2">
        <f t="shared" si="74"/>
        <v>23.404868698368695</v>
      </c>
      <c r="W816" s="2">
        <f t="shared" si="75"/>
        <v>5.4833741581496356E-2</v>
      </c>
      <c r="X816" s="2" t="str">
        <f t="shared" si="76"/>
        <v>X</v>
      </c>
      <c r="Y816" s="2" t="str">
        <f t="shared" si="77"/>
        <v>CX</v>
      </c>
    </row>
    <row r="817" spans="1:25" x14ac:dyDescent="0.3">
      <c r="A817" s="2" t="s">
        <v>1565</v>
      </c>
      <c r="B817" s="2" t="s">
        <v>1566</v>
      </c>
      <c r="C817" s="2" t="s">
        <v>56</v>
      </c>
      <c r="D817" s="2">
        <v>419</v>
      </c>
      <c r="E817" s="2">
        <v>419</v>
      </c>
      <c r="F817" s="2">
        <v>399</v>
      </c>
      <c r="G817" s="2">
        <v>426</v>
      </c>
      <c r="H817" s="2">
        <v>452</v>
      </c>
      <c r="I817" s="2">
        <v>439</v>
      </c>
      <c r="J817" s="2">
        <v>426</v>
      </c>
      <c r="K817" s="2">
        <v>427</v>
      </c>
      <c r="L817" s="2">
        <v>406</v>
      </c>
      <c r="M817" s="2">
        <v>422</v>
      </c>
      <c r="N817" s="2">
        <v>412</v>
      </c>
      <c r="O817" s="2">
        <v>437</v>
      </c>
      <c r="P817" s="2">
        <v>5084</v>
      </c>
      <c r="Q817" s="2">
        <v>2</v>
      </c>
      <c r="R817" s="2">
        <v>10168</v>
      </c>
      <c r="S817" s="4">
        <f>SUM($R$2:R817) / SUM($R:$R)</f>
        <v>0.99896223766024028</v>
      </c>
      <c r="T817" s="3" t="str">
        <f t="shared" si="72"/>
        <v>C</v>
      </c>
      <c r="U817" s="2">
        <f t="shared" si="73"/>
        <v>423.66666666666669</v>
      </c>
      <c r="V817" s="2">
        <f t="shared" si="74"/>
        <v>14.587250556149325</v>
      </c>
      <c r="W817" s="2">
        <f t="shared" si="75"/>
        <v>3.4430961186819806E-2</v>
      </c>
      <c r="X817" s="2" t="str">
        <f t="shared" si="76"/>
        <v>X</v>
      </c>
      <c r="Y817" s="2" t="str">
        <f t="shared" si="77"/>
        <v>CX</v>
      </c>
    </row>
    <row r="818" spans="1:25" x14ac:dyDescent="0.3">
      <c r="A818" s="2" t="s">
        <v>1671</v>
      </c>
      <c r="B818" s="2" t="s">
        <v>1672</v>
      </c>
      <c r="C818" s="2" t="s">
        <v>41</v>
      </c>
      <c r="D818" s="2">
        <v>92</v>
      </c>
      <c r="E818" s="2">
        <v>79</v>
      </c>
      <c r="F818" s="2">
        <v>116</v>
      </c>
      <c r="G818" s="2">
        <v>80</v>
      </c>
      <c r="H818" s="2">
        <v>68</v>
      </c>
      <c r="I818" s="2">
        <v>100</v>
      </c>
      <c r="J818" s="2">
        <v>83</v>
      </c>
      <c r="K818" s="2">
        <v>73</v>
      </c>
      <c r="L818" s="2">
        <v>80</v>
      </c>
      <c r="M818" s="2">
        <v>84</v>
      </c>
      <c r="N818" s="2">
        <v>93</v>
      </c>
      <c r="O818" s="2">
        <v>68</v>
      </c>
      <c r="P818" s="2">
        <v>1016</v>
      </c>
      <c r="Q818" s="2">
        <v>10</v>
      </c>
      <c r="R818" s="2">
        <v>10160</v>
      </c>
      <c r="S818" s="4">
        <f>SUM($R$2:R818) / SUM($R:$R)</f>
        <v>0.99897171272752405</v>
      </c>
      <c r="T818" s="3" t="str">
        <f t="shared" si="72"/>
        <v>C</v>
      </c>
      <c r="U818" s="2">
        <f t="shared" si="73"/>
        <v>84.666666666666671</v>
      </c>
      <c r="V818" s="2">
        <f t="shared" si="74"/>
        <v>13.852031904337657</v>
      </c>
      <c r="W818" s="2">
        <f t="shared" si="75"/>
        <v>0.16360667603548412</v>
      </c>
      <c r="X818" s="2" t="str">
        <f t="shared" si="76"/>
        <v>X</v>
      </c>
      <c r="Y818" s="2" t="str">
        <f t="shared" si="77"/>
        <v>CX</v>
      </c>
    </row>
    <row r="819" spans="1:25" x14ac:dyDescent="0.3">
      <c r="A819" s="2" t="s">
        <v>787</v>
      </c>
      <c r="B819" s="2" t="s">
        <v>788</v>
      </c>
      <c r="C819" s="2" t="s">
        <v>41</v>
      </c>
      <c r="D819" s="2">
        <v>72</v>
      </c>
      <c r="E819" s="2">
        <v>100</v>
      </c>
      <c r="F819" s="2">
        <v>83</v>
      </c>
      <c r="G819" s="2">
        <v>82</v>
      </c>
      <c r="H819" s="2">
        <v>76</v>
      </c>
      <c r="I819" s="2">
        <v>84</v>
      </c>
      <c r="J819" s="2">
        <v>84</v>
      </c>
      <c r="K819" s="2">
        <v>93</v>
      </c>
      <c r="L819" s="2">
        <v>86</v>
      </c>
      <c r="M819" s="2">
        <v>74</v>
      </c>
      <c r="N819" s="2">
        <v>96</v>
      </c>
      <c r="O819" s="2">
        <v>81</v>
      </c>
      <c r="P819" s="2">
        <v>1011</v>
      </c>
      <c r="Q819" s="2">
        <v>10</v>
      </c>
      <c r="R819" s="2">
        <v>10110</v>
      </c>
      <c r="S819" s="4">
        <f>SUM($R$2:R819) / SUM($R:$R)</f>
        <v>0.9989811411655396</v>
      </c>
      <c r="T819" s="3" t="str">
        <f t="shared" si="72"/>
        <v>C</v>
      </c>
      <c r="U819" s="2">
        <f t="shared" si="73"/>
        <v>84.25</v>
      </c>
      <c r="V819" s="2">
        <f t="shared" si="74"/>
        <v>8.5612764553806198</v>
      </c>
      <c r="W819" s="2">
        <f t="shared" si="75"/>
        <v>0.10161752469294504</v>
      </c>
      <c r="X819" s="2" t="str">
        <f t="shared" si="76"/>
        <v>X</v>
      </c>
      <c r="Y819" s="2" t="str">
        <f t="shared" si="77"/>
        <v>CX</v>
      </c>
    </row>
    <row r="820" spans="1:25" x14ac:dyDescent="0.3">
      <c r="A820" s="2" t="s">
        <v>1527</v>
      </c>
      <c r="B820" s="2" t="s">
        <v>1528</v>
      </c>
      <c r="C820" s="2" t="s">
        <v>41</v>
      </c>
      <c r="D820" s="2">
        <v>400</v>
      </c>
      <c r="E820" s="2">
        <v>421</v>
      </c>
      <c r="F820" s="2">
        <v>438</v>
      </c>
      <c r="G820" s="2">
        <v>407</v>
      </c>
      <c r="H820" s="2">
        <v>433</v>
      </c>
      <c r="I820" s="2">
        <v>406</v>
      </c>
      <c r="J820" s="2">
        <v>440</v>
      </c>
      <c r="K820" s="2">
        <v>402</v>
      </c>
      <c r="L820" s="2">
        <v>432</v>
      </c>
      <c r="M820" s="2">
        <v>388</v>
      </c>
      <c r="N820" s="2">
        <v>461</v>
      </c>
      <c r="O820" s="2">
        <v>424</v>
      </c>
      <c r="P820" s="2">
        <v>5052</v>
      </c>
      <c r="Q820" s="2">
        <v>2</v>
      </c>
      <c r="R820" s="2">
        <v>10104</v>
      </c>
      <c r="S820" s="4">
        <f>SUM($R$2:R820) / SUM($R:$R)</f>
        <v>0.99899056400804298</v>
      </c>
      <c r="T820" s="3" t="str">
        <f t="shared" si="72"/>
        <v>C</v>
      </c>
      <c r="U820" s="2">
        <f t="shared" si="73"/>
        <v>421</v>
      </c>
      <c r="V820" s="2">
        <f t="shared" si="74"/>
        <v>20.967507330065814</v>
      </c>
      <c r="W820" s="2">
        <f t="shared" si="75"/>
        <v>4.9804055415833284E-2</v>
      </c>
      <c r="X820" s="2" t="str">
        <f t="shared" si="76"/>
        <v>X</v>
      </c>
      <c r="Y820" s="2" t="str">
        <f t="shared" si="77"/>
        <v>CX</v>
      </c>
    </row>
    <row r="821" spans="1:25" x14ac:dyDescent="0.3">
      <c r="A821" s="2" t="s">
        <v>1959</v>
      </c>
      <c r="B821" s="2" t="s">
        <v>1960</v>
      </c>
      <c r="C821" s="2" t="s">
        <v>41</v>
      </c>
      <c r="D821" s="2">
        <v>442</v>
      </c>
      <c r="E821" s="2">
        <v>416</v>
      </c>
      <c r="F821" s="2">
        <v>405</v>
      </c>
      <c r="G821" s="2">
        <v>438</v>
      </c>
      <c r="H821" s="2">
        <v>448</v>
      </c>
      <c r="I821" s="2">
        <v>408</v>
      </c>
      <c r="J821" s="2">
        <v>418</v>
      </c>
      <c r="K821" s="2">
        <v>388</v>
      </c>
      <c r="L821" s="2">
        <v>427</v>
      </c>
      <c r="M821" s="2">
        <v>422</v>
      </c>
      <c r="N821" s="2">
        <v>423</v>
      </c>
      <c r="O821" s="2">
        <v>399</v>
      </c>
      <c r="P821" s="2">
        <v>5034</v>
      </c>
      <c r="Q821" s="2">
        <v>2</v>
      </c>
      <c r="R821" s="2">
        <v>10068</v>
      </c>
      <c r="S821" s="4">
        <f>SUM($R$2:R821) / SUM($R:$R)</f>
        <v>0.99899995327747337</v>
      </c>
      <c r="T821" s="3" t="str">
        <f t="shared" si="72"/>
        <v>C</v>
      </c>
      <c r="U821" s="2">
        <f t="shared" si="73"/>
        <v>419.5</v>
      </c>
      <c r="V821" s="2">
        <f t="shared" si="74"/>
        <v>17.850388332928883</v>
      </c>
      <c r="W821" s="2">
        <f t="shared" si="75"/>
        <v>4.2551581246552762E-2</v>
      </c>
      <c r="X821" s="2" t="str">
        <f t="shared" si="76"/>
        <v>X</v>
      </c>
      <c r="Y821" s="2" t="str">
        <f t="shared" si="77"/>
        <v>CX</v>
      </c>
    </row>
    <row r="822" spans="1:25" x14ac:dyDescent="0.3">
      <c r="A822" s="2" t="s">
        <v>48</v>
      </c>
      <c r="B822" s="2" t="s">
        <v>49</v>
      </c>
      <c r="C822" s="2" t="s">
        <v>25</v>
      </c>
      <c r="D822" s="2">
        <v>469</v>
      </c>
      <c r="E822" s="2">
        <v>558</v>
      </c>
      <c r="F822" s="2">
        <v>587</v>
      </c>
      <c r="G822" s="2">
        <v>454</v>
      </c>
      <c r="H822" s="2">
        <v>377</v>
      </c>
      <c r="I822" s="2">
        <v>278</v>
      </c>
      <c r="J822" s="2">
        <v>624</v>
      </c>
      <c r="K822" s="2">
        <v>89</v>
      </c>
      <c r="L822" s="2">
        <v>301</v>
      </c>
      <c r="M822" s="2">
        <v>396</v>
      </c>
      <c r="N822" s="2">
        <v>251</v>
      </c>
      <c r="O822" s="2">
        <v>629</v>
      </c>
      <c r="P822" s="2">
        <v>5013</v>
      </c>
      <c r="Q822" s="2">
        <v>2</v>
      </c>
      <c r="R822" s="2">
        <v>10026</v>
      </c>
      <c r="S822" s="4">
        <f>SUM($R$2:R822) / SUM($R:$R)</f>
        <v>0.9990093033783185</v>
      </c>
      <c r="T822" s="3" t="str">
        <f t="shared" si="72"/>
        <v>C</v>
      </c>
      <c r="U822" s="2">
        <f t="shared" si="73"/>
        <v>417.75</v>
      </c>
      <c r="V822" s="2">
        <f t="shared" si="74"/>
        <v>168.03631912611792</v>
      </c>
      <c r="W822" s="2">
        <f t="shared" si="75"/>
        <v>0.40224133842278376</v>
      </c>
      <c r="X822" s="2" t="str">
        <f t="shared" si="76"/>
        <v>Y</v>
      </c>
      <c r="Y822" s="2" t="str">
        <f t="shared" si="77"/>
        <v>CY</v>
      </c>
    </row>
    <row r="823" spans="1:25" x14ac:dyDescent="0.3">
      <c r="A823" s="2" t="s">
        <v>1517</v>
      </c>
      <c r="B823" s="2" t="s">
        <v>1518</v>
      </c>
      <c r="C823" s="2" t="s">
        <v>41</v>
      </c>
      <c r="D823" s="2">
        <v>384</v>
      </c>
      <c r="E823" s="2">
        <v>420</v>
      </c>
      <c r="F823" s="2">
        <v>384</v>
      </c>
      <c r="G823" s="2">
        <v>415</v>
      </c>
      <c r="H823" s="2">
        <v>422</v>
      </c>
      <c r="I823" s="2">
        <v>422</v>
      </c>
      <c r="J823" s="2">
        <v>410</v>
      </c>
      <c r="K823" s="2">
        <v>402</v>
      </c>
      <c r="L823" s="2">
        <v>433</v>
      </c>
      <c r="M823" s="2">
        <v>417</v>
      </c>
      <c r="N823" s="2">
        <v>402</v>
      </c>
      <c r="O823" s="2">
        <v>444</v>
      </c>
      <c r="P823" s="2">
        <v>4955</v>
      </c>
      <c r="Q823" s="2">
        <v>2</v>
      </c>
      <c r="R823" s="2">
        <v>9910</v>
      </c>
      <c r="S823" s="4">
        <f>SUM($R$2:R823) / SUM($R:$R)</f>
        <v>0.99901854529926148</v>
      </c>
      <c r="T823" s="3" t="str">
        <f t="shared" si="72"/>
        <v>C</v>
      </c>
      <c r="U823" s="2">
        <f t="shared" si="73"/>
        <v>412.91666666666669</v>
      </c>
      <c r="V823" s="2">
        <f t="shared" si="74"/>
        <v>17.901032643313336</v>
      </c>
      <c r="W823" s="2">
        <f t="shared" si="75"/>
        <v>4.3352652213876894E-2</v>
      </c>
      <c r="X823" s="2" t="str">
        <f t="shared" si="76"/>
        <v>X</v>
      </c>
      <c r="Y823" s="2" t="str">
        <f t="shared" si="77"/>
        <v>CX</v>
      </c>
    </row>
    <row r="824" spans="1:25" x14ac:dyDescent="0.3">
      <c r="A824" s="2" t="s">
        <v>997</v>
      </c>
      <c r="B824" s="2" t="s">
        <v>998</v>
      </c>
      <c r="C824" s="2" t="s">
        <v>41</v>
      </c>
      <c r="D824" s="2">
        <v>415</v>
      </c>
      <c r="E824" s="2">
        <v>408</v>
      </c>
      <c r="F824" s="2">
        <v>401</v>
      </c>
      <c r="G824" s="2">
        <v>436</v>
      </c>
      <c r="H824" s="2">
        <v>383</v>
      </c>
      <c r="I824" s="2">
        <v>372</v>
      </c>
      <c r="J824" s="2">
        <v>423</v>
      </c>
      <c r="K824" s="2">
        <v>414</v>
      </c>
      <c r="L824" s="2">
        <v>424</v>
      </c>
      <c r="M824" s="2">
        <v>416</v>
      </c>
      <c r="N824" s="2">
        <v>425</v>
      </c>
      <c r="O824" s="2">
        <v>395</v>
      </c>
      <c r="P824" s="2">
        <v>4912</v>
      </c>
      <c r="Q824" s="2">
        <v>2</v>
      </c>
      <c r="R824" s="2">
        <v>9824</v>
      </c>
      <c r="S824" s="4">
        <f>SUM($R$2:R824) / SUM($R:$R)</f>
        <v>0.99902770701786336</v>
      </c>
      <c r="T824" s="3" t="str">
        <f t="shared" si="72"/>
        <v>C</v>
      </c>
      <c r="U824" s="2">
        <f t="shared" si="73"/>
        <v>409.33333333333331</v>
      </c>
      <c r="V824" s="2">
        <f t="shared" si="74"/>
        <v>18.636880997992485</v>
      </c>
      <c r="W824" s="2">
        <f t="shared" si="75"/>
        <v>4.5529839571642881E-2</v>
      </c>
      <c r="X824" s="2" t="str">
        <f t="shared" si="76"/>
        <v>X</v>
      </c>
      <c r="Y824" s="2" t="str">
        <f t="shared" si="77"/>
        <v>CX</v>
      </c>
    </row>
    <row r="825" spans="1:25" x14ac:dyDescent="0.3">
      <c r="A825" s="2" t="s">
        <v>875</v>
      </c>
      <c r="B825" s="2" t="s">
        <v>876</v>
      </c>
      <c r="C825" s="2" t="s">
        <v>36</v>
      </c>
      <c r="D825" s="2">
        <v>401</v>
      </c>
      <c r="E825" s="2">
        <v>389</v>
      </c>
      <c r="F825" s="2">
        <v>391</v>
      </c>
      <c r="G825" s="2">
        <v>409</v>
      </c>
      <c r="H825" s="2">
        <v>423</v>
      </c>
      <c r="I825" s="2">
        <v>403</v>
      </c>
      <c r="J825" s="2">
        <v>401</v>
      </c>
      <c r="K825" s="2">
        <v>423</v>
      </c>
      <c r="L825" s="2">
        <v>407</v>
      </c>
      <c r="M825" s="2">
        <v>399</v>
      </c>
      <c r="N825" s="2">
        <v>408</v>
      </c>
      <c r="O825" s="2">
        <v>439</v>
      </c>
      <c r="P825" s="2">
        <v>4893</v>
      </c>
      <c r="Q825" s="2">
        <v>2</v>
      </c>
      <c r="R825" s="2">
        <v>9786</v>
      </c>
      <c r="S825" s="4">
        <f>SUM($R$2:R825) / SUM($R:$R)</f>
        <v>0.99903683329822146</v>
      </c>
      <c r="T825" s="3" t="str">
        <f t="shared" si="72"/>
        <v>C</v>
      </c>
      <c r="U825" s="2">
        <f t="shared" si="73"/>
        <v>407.75</v>
      </c>
      <c r="V825" s="2">
        <f t="shared" si="74"/>
        <v>14.353491814632678</v>
      </c>
      <c r="W825" s="2">
        <f t="shared" si="75"/>
        <v>3.5201696663722082E-2</v>
      </c>
      <c r="X825" s="2" t="str">
        <f t="shared" si="76"/>
        <v>X</v>
      </c>
      <c r="Y825" s="2" t="str">
        <f t="shared" si="77"/>
        <v>CX</v>
      </c>
    </row>
    <row r="826" spans="1:25" x14ac:dyDescent="0.3">
      <c r="A826" s="2" t="s">
        <v>433</v>
      </c>
      <c r="B826" s="2" t="s">
        <v>434</v>
      </c>
      <c r="C826" s="2" t="s">
        <v>41</v>
      </c>
      <c r="D826" s="2">
        <v>435</v>
      </c>
      <c r="E826" s="2">
        <v>404</v>
      </c>
      <c r="F826" s="2">
        <v>398</v>
      </c>
      <c r="G826" s="2">
        <v>394</v>
      </c>
      <c r="H826" s="2">
        <v>420</v>
      </c>
      <c r="I826" s="2">
        <v>406</v>
      </c>
      <c r="J826" s="2">
        <v>395</v>
      </c>
      <c r="K826" s="2">
        <v>433</v>
      </c>
      <c r="L826" s="2">
        <v>414</v>
      </c>
      <c r="M826" s="2">
        <v>429</v>
      </c>
      <c r="N826" s="2">
        <v>371</v>
      </c>
      <c r="O826" s="2">
        <v>385</v>
      </c>
      <c r="P826" s="2">
        <v>4884</v>
      </c>
      <c r="Q826" s="2">
        <v>2</v>
      </c>
      <c r="R826" s="2">
        <v>9768</v>
      </c>
      <c r="S826" s="4">
        <f>SUM($R$2:R826) / SUM($R:$R)</f>
        <v>0.99904594279204306</v>
      </c>
      <c r="T826" s="3" t="str">
        <f t="shared" si="72"/>
        <v>C</v>
      </c>
      <c r="U826" s="2">
        <f t="shared" si="73"/>
        <v>407</v>
      </c>
      <c r="V826" s="2">
        <f t="shared" si="74"/>
        <v>19.87689384916338</v>
      </c>
      <c r="W826" s="2">
        <f t="shared" si="75"/>
        <v>4.8837577024971449E-2</v>
      </c>
      <c r="X826" s="2" t="str">
        <f t="shared" si="76"/>
        <v>X</v>
      </c>
      <c r="Y826" s="2" t="str">
        <f t="shared" si="77"/>
        <v>CX</v>
      </c>
    </row>
    <row r="827" spans="1:25" x14ac:dyDescent="0.3">
      <c r="A827" s="2" t="s">
        <v>1411</v>
      </c>
      <c r="B827" s="2" t="s">
        <v>1412</v>
      </c>
      <c r="C827" s="2" t="s">
        <v>41</v>
      </c>
      <c r="D827" s="2">
        <v>384</v>
      </c>
      <c r="E827" s="2">
        <v>384</v>
      </c>
      <c r="F827" s="2">
        <v>423</v>
      </c>
      <c r="G827" s="2">
        <v>390</v>
      </c>
      <c r="H827" s="2">
        <v>393</v>
      </c>
      <c r="I827" s="2">
        <v>400</v>
      </c>
      <c r="J827" s="2">
        <v>400</v>
      </c>
      <c r="K827" s="2">
        <v>411</v>
      </c>
      <c r="L827" s="2">
        <v>414</v>
      </c>
      <c r="M827" s="2">
        <v>408</v>
      </c>
      <c r="N827" s="2">
        <v>421</v>
      </c>
      <c r="O827" s="2">
        <v>398</v>
      </c>
      <c r="P827" s="2">
        <v>4826</v>
      </c>
      <c r="Q827" s="2">
        <v>2</v>
      </c>
      <c r="R827" s="2">
        <v>9652</v>
      </c>
      <c r="S827" s="4">
        <f>SUM($R$2:R827) / SUM($R:$R)</f>
        <v>0.99905494410596263</v>
      </c>
      <c r="T827" s="3" t="str">
        <f t="shared" si="72"/>
        <v>C</v>
      </c>
      <c r="U827" s="2">
        <f t="shared" si="73"/>
        <v>402.16666666666669</v>
      </c>
      <c r="V827" s="2">
        <f t="shared" si="74"/>
        <v>13.347341126663212</v>
      </c>
      <c r="W827" s="2">
        <f t="shared" si="75"/>
        <v>3.3188581334429867E-2</v>
      </c>
      <c r="X827" s="2" t="str">
        <f t="shared" si="76"/>
        <v>X</v>
      </c>
      <c r="Y827" s="2" t="str">
        <f t="shared" si="77"/>
        <v>CX</v>
      </c>
    </row>
    <row r="828" spans="1:25" x14ac:dyDescent="0.3">
      <c r="A828" s="2" t="s">
        <v>825</v>
      </c>
      <c r="B828" s="2" t="s">
        <v>826</v>
      </c>
      <c r="C828" s="2" t="s">
        <v>41</v>
      </c>
      <c r="D828" s="2">
        <v>83</v>
      </c>
      <c r="E828" s="2">
        <v>81</v>
      </c>
      <c r="F828" s="2">
        <v>77</v>
      </c>
      <c r="G828" s="2">
        <v>77</v>
      </c>
      <c r="H828" s="2">
        <v>67</v>
      </c>
      <c r="I828" s="2">
        <v>87</v>
      </c>
      <c r="J828" s="2">
        <v>96</v>
      </c>
      <c r="K828" s="2">
        <v>80</v>
      </c>
      <c r="L828" s="2">
        <v>79</v>
      </c>
      <c r="M828" s="2">
        <v>73</v>
      </c>
      <c r="N828" s="2">
        <v>76</v>
      </c>
      <c r="O828" s="2">
        <v>88</v>
      </c>
      <c r="P828" s="2">
        <v>964</v>
      </c>
      <c r="Q828" s="2">
        <v>10</v>
      </c>
      <c r="R828" s="2">
        <v>9640</v>
      </c>
      <c r="S828" s="4">
        <f>SUM($R$2:R828) / SUM($R:$R)</f>
        <v>0.99906393422885775</v>
      </c>
      <c r="T828" s="3" t="str">
        <f t="shared" si="72"/>
        <v>C</v>
      </c>
      <c r="U828" s="2">
        <f t="shared" si="73"/>
        <v>80.333333333333329</v>
      </c>
      <c r="V828" s="2">
        <f t="shared" si="74"/>
        <v>7.5718777944003648</v>
      </c>
      <c r="W828" s="2">
        <f t="shared" si="75"/>
        <v>9.4255740179257655E-2</v>
      </c>
      <c r="X828" s="2" t="str">
        <f t="shared" si="76"/>
        <v>X</v>
      </c>
      <c r="Y828" s="2" t="str">
        <f t="shared" si="77"/>
        <v>CX</v>
      </c>
    </row>
    <row r="829" spans="1:25" x14ac:dyDescent="0.3">
      <c r="A829" s="2" t="s">
        <v>1403</v>
      </c>
      <c r="B829" s="2" t="s">
        <v>1404</v>
      </c>
      <c r="C829" s="2" t="s">
        <v>25</v>
      </c>
      <c r="D829" s="2">
        <v>496</v>
      </c>
      <c r="E829" s="2">
        <v>366</v>
      </c>
      <c r="F829" s="2">
        <v>372</v>
      </c>
      <c r="G829" s="2">
        <v>525</v>
      </c>
      <c r="H829" s="2">
        <v>145</v>
      </c>
      <c r="I829" s="2">
        <v>491</v>
      </c>
      <c r="J829" s="2">
        <v>509</v>
      </c>
      <c r="K829" s="2">
        <v>334</v>
      </c>
      <c r="L829" s="2">
        <v>559</v>
      </c>
      <c r="M829" s="2">
        <v>235</v>
      </c>
      <c r="N829" s="2">
        <v>469</v>
      </c>
      <c r="O829" s="2">
        <v>290</v>
      </c>
      <c r="P829" s="2">
        <v>4791</v>
      </c>
      <c r="Q829" s="2">
        <v>2</v>
      </c>
      <c r="R829" s="2">
        <v>9582</v>
      </c>
      <c r="S829" s="4">
        <f>SUM($R$2:R829) / SUM($R:$R)</f>
        <v>0.99907287026180192</v>
      </c>
      <c r="T829" s="3" t="str">
        <f t="shared" si="72"/>
        <v>C</v>
      </c>
      <c r="U829" s="2">
        <f t="shared" si="73"/>
        <v>399.25</v>
      </c>
      <c r="V829" s="2">
        <f t="shared" si="74"/>
        <v>129.92454103685094</v>
      </c>
      <c r="W829" s="2">
        <f t="shared" si="75"/>
        <v>0.32542151793826157</v>
      </c>
      <c r="X829" s="2" t="str">
        <f t="shared" si="76"/>
        <v>Y</v>
      </c>
      <c r="Y829" s="2" t="str">
        <f t="shared" si="77"/>
        <v>CY</v>
      </c>
    </row>
    <row r="830" spans="1:25" x14ac:dyDescent="0.3">
      <c r="A830" s="2" t="s">
        <v>721</v>
      </c>
      <c r="B830" s="2" t="s">
        <v>722</v>
      </c>
      <c r="C830" s="2" t="s">
        <v>41</v>
      </c>
      <c r="D830" s="2">
        <v>395</v>
      </c>
      <c r="E830" s="2">
        <v>381</v>
      </c>
      <c r="F830" s="2">
        <v>406</v>
      </c>
      <c r="G830" s="2">
        <v>416</v>
      </c>
      <c r="H830" s="2">
        <v>452</v>
      </c>
      <c r="I830" s="2">
        <v>354</v>
      </c>
      <c r="J830" s="2">
        <v>428</v>
      </c>
      <c r="K830" s="2">
        <v>380</v>
      </c>
      <c r="L830" s="2">
        <v>423</v>
      </c>
      <c r="M830" s="2">
        <v>393</v>
      </c>
      <c r="N830" s="2">
        <v>393</v>
      </c>
      <c r="O830" s="2">
        <v>368</v>
      </c>
      <c r="P830" s="2">
        <v>4789</v>
      </c>
      <c r="Q830" s="2">
        <v>2</v>
      </c>
      <c r="R830" s="2">
        <v>9578</v>
      </c>
      <c r="S830" s="4">
        <f>SUM($R$2:R830) / SUM($R:$R)</f>
        <v>0.9990818025644046</v>
      </c>
      <c r="T830" s="3" t="str">
        <f t="shared" si="72"/>
        <v>C</v>
      </c>
      <c r="U830" s="2">
        <f t="shared" si="73"/>
        <v>399.08333333333331</v>
      </c>
      <c r="V830" s="2">
        <f t="shared" si="74"/>
        <v>27.506886190166778</v>
      </c>
      <c r="W830" s="2">
        <f t="shared" si="75"/>
        <v>6.8925168987680377E-2</v>
      </c>
      <c r="X830" s="2" t="str">
        <f t="shared" si="76"/>
        <v>X</v>
      </c>
      <c r="Y830" s="2" t="str">
        <f t="shared" si="77"/>
        <v>CX</v>
      </c>
    </row>
    <row r="831" spans="1:25" x14ac:dyDescent="0.3">
      <c r="A831" s="2" t="s">
        <v>1965</v>
      </c>
      <c r="B831" s="2" t="s">
        <v>1966</v>
      </c>
      <c r="C831" s="2" t="s">
        <v>41</v>
      </c>
      <c r="D831" s="2">
        <v>416</v>
      </c>
      <c r="E831" s="2">
        <v>406</v>
      </c>
      <c r="F831" s="2">
        <v>401</v>
      </c>
      <c r="G831" s="2">
        <v>366</v>
      </c>
      <c r="H831" s="2">
        <v>424</v>
      </c>
      <c r="I831" s="2">
        <v>403</v>
      </c>
      <c r="J831" s="2">
        <v>413</v>
      </c>
      <c r="K831" s="2">
        <v>391</v>
      </c>
      <c r="L831" s="2">
        <v>395</v>
      </c>
      <c r="M831" s="2">
        <v>386</v>
      </c>
      <c r="N831" s="2">
        <v>389</v>
      </c>
      <c r="O831" s="2">
        <v>399</v>
      </c>
      <c r="P831" s="2">
        <v>4789</v>
      </c>
      <c r="Q831" s="2">
        <v>2</v>
      </c>
      <c r="R831" s="2">
        <v>9578</v>
      </c>
      <c r="S831" s="4">
        <f>SUM($R$2:R831) / SUM($R:$R)</f>
        <v>0.99909073486700728</v>
      </c>
      <c r="T831" s="3" t="str">
        <f t="shared" si="72"/>
        <v>C</v>
      </c>
      <c r="U831" s="2">
        <f t="shared" si="73"/>
        <v>399.08333333333331</v>
      </c>
      <c r="V831" s="2">
        <f t="shared" si="74"/>
        <v>15.424056377993278</v>
      </c>
      <c r="W831" s="2">
        <f t="shared" si="75"/>
        <v>3.8648710907479504E-2</v>
      </c>
      <c r="X831" s="2" t="str">
        <f t="shared" si="76"/>
        <v>X</v>
      </c>
      <c r="Y831" s="2" t="str">
        <f t="shared" si="77"/>
        <v>CX</v>
      </c>
    </row>
    <row r="832" spans="1:25" x14ac:dyDescent="0.3">
      <c r="A832" s="2" t="s">
        <v>731</v>
      </c>
      <c r="B832" s="2" t="s">
        <v>732</v>
      </c>
      <c r="C832" s="2" t="s">
        <v>41</v>
      </c>
      <c r="D832" s="2">
        <v>398</v>
      </c>
      <c r="E832" s="2">
        <v>417</v>
      </c>
      <c r="F832" s="2">
        <v>392</v>
      </c>
      <c r="G832" s="2">
        <v>386</v>
      </c>
      <c r="H832" s="2">
        <v>424</v>
      </c>
      <c r="I832" s="2">
        <v>391</v>
      </c>
      <c r="J832" s="2">
        <v>397</v>
      </c>
      <c r="K832" s="2">
        <v>368</v>
      </c>
      <c r="L832" s="2">
        <v>394</v>
      </c>
      <c r="M832" s="2">
        <v>406</v>
      </c>
      <c r="N832" s="2">
        <v>379</v>
      </c>
      <c r="O832" s="2">
        <v>426</v>
      </c>
      <c r="P832" s="2">
        <v>4778</v>
      </c>
      <c r="Q832" s="2">
        <v>2</v>
      </c>
      <c r="R832" s="2">
        <v>9556</v>
      </c>
      <c r="S832" s="4">
        <f>SUM($R$2:R832) / SUM($R:$R)</f>
        <v>0.99909964665273199</v>
      </c>
      <c r="T832" s="3" t="str">
        <f t="shared" si="72"/>
        <v>C</v>
      </c>
      <c r="U832" s="2">
        <f t="shared" si="73"/>
        <v>398.16666666666669</v>
      </c>
      <c r="V832" s="2">
        <f t="shared" si="74"/>
        <v>17.559422921421231</v>
      </c>
      <c r="W832" s="2">
        <f t="shared" si="75"/>
        <v>4.4100685445176799E-2</v>
      </c>
      <c r="X832" s="2" t="str">
        <f t="shared" si="76"/>
        <v>X</v>
      </c>
      <c r="Y832" s="2" t="str">
        <f t="shared" si="77"/>
        <v>CX</v>
      </c>
    </row>
    <row r="833" spans="1:25" x14ac:dyDescent="0.3">
      <c r="A833" s="2" t="s">
        <v>1011</v>
      </c>
      <c r="B833" s="2" t="s">
        <v>1012</v>
      </c>
      <c r="C833" s="2" t="s">
        <v>56</v>
      </c>
      <c r="D833" s="2">
        <v>380</v>
      </c>
      <c r="E833" s="2">
        <v>396</v>
      </c>
      <c r="F833" s="2">
        <v>386</v>
      </c>
      <c r="G833" s="2">
        <v>380</v>
      </c>
      <c r="H833" s="2">
        <v>410</v>
      </c>
      <c r="I833" s="2">
        <v>411</v>
      </c>
      <c r="J833" s="2">
        <v>412</v>
      </c>
      <c r="K833" s="2">
        <v>385</v>
      </c>
      <c r="L833" s="2">
        <v>393</v>
      </c>
      <c r="M833" s="2">
        <v>423</v>
      </c>
      <c r="N833" s="2">
        <v>377</v>
      </c>
      <c r="O833" s="2">
        <v>405</v>
      </c>
      <c r="P833" s="2">
        <v>4758</v>
      </c>
      <c r="Q833" s="2">
        <v>2</v>
      </c>
      <c r="R833" s="2">
        <v>9516</v>
      </c>
      <c r="S833" s="4">
        <f>SUM($R$2:R833) / SUM($R:$R)</f>
        <v>0.99910852113504223</v>
      </c>
      <c r="T833" s="3" t="str">
        <f t="shared" si="72"/>
        <v>C</v>
      </c>
      <c r="U833" s="2">
        <f t="shared" si="73"/>
        <v>396.5</v>
      </c>
      <c r="V833" s="2">
        <f t="shared" si="74"/>
        <v>15.335638825357689</v>
      </c>
      <c r="W833" s="2">
        <f t="shared" si="75"/>
        <v>3.8677525410738184E-2</v>
      </c>
      <c r="X833" s="2" t="str">
        <f t="shared" si="76"/>
        <v>X</v>
      </c>
      <c r="Y833" s="2" t="str">
        <f t="shared" si="77"/>
        <v>CX</v>
      </c>
    </row>
    <row r="834" spans="1:25" x14ac:dyDescent="0.3">
      <c r="A834" s="2" t="s">
        <v>1795</v>
      </c>
      <c r="B834" s="2" t="s">
        <v>1796</v>
      </c>
      <c r="C834" s="2" t="s">
        <v>41</v>
      </c>
      <c r="D834" s="2">
        <v>61</v>
      </c>
      <c r="E834" s="2">
        <v>74</v>
      </c>
      <c r="F834" s="2">
        <v>66</v>
      </c>
      <c r="G834" s="2">
        <v>73</v>
      </c>
      <c r="H834" s="2">
        <v>88</v>
      </c>
      <c r="I834" s="2">
        <v>74</v>
      </c>
      <c r="J834" s="2">
        <v>82</v>
      </c>
      <c r="K834" s="2">
        <v>77</v>
      </c>
      <c r="L834" s="2">
        <v>85</v>
      </c>
      <c r="M834" s="2">
        <v>98</v>
      </c>
      <c r="N834" s="2">
        <v>78</v>
      </c>
      <c r="O834" s="2">
        <v>87</v>
      </c>
      <c r="P834" s="2">
        <v>943</v>
      </c>
      <c r="Q834" s="2">
        <v>10</v>
      </c>
      <c r="R834" s="2">
        <v>9430</v>
      </c>
      <c r="S834" s="4">
        <f>SUM($R$2:R834) / SUM($R:$R)</f>
        <v>0.99911731541501125</v>
      </c>
      <c r="T834" s="3" t="str">
        <f t="shared" si="72"/>
        <v>C</v>
      </c>
      <c r="U834" s="2">
        <f t="shared" si="73"/>
        <v>78.583333333333329</v>
      </c>
      <c r="V834" s="2">
        <f t="shared" si="74"/>
        <v>10.148518327441927</v>
      </c>
      <c r="W834" s="2">
        <f t="shared" si="75"/>
        <v>0.12914339335026842</v>
      </c>
      <c r="X834" s="2" t="str">
        <f t="shared" si="76"/>
        <v>X</v>
      </c>
      <c r="Y834" s="2" t="str">
        <f t="shared" si="77"/>
        <v>CX</v>
      </c>
    </row>
    <row r="835" spans="1:25" x14ac:dyDescent="0.3">
      <c r="A835" s="2" t="s">
        <v>1037</v>
      </c>
      <c r="B835" s="2" t="s">
        <v>1038</v>
      </c>
      <c r="C835" s="2" t="s">
        <v>25</v>
      </c>
      <c r="D835" s="2">
        <v>372</v>
      </c>
      <c r="E835" s="2">
        <v>481</v>
      </c>
      <c r="F835" s="2">
        <v>442</v>
      </c>
      <c r="G835" s="2">
        <v>472</v>
      </c>
      <c r="H835" s="2">
        <v>339</v>
      </c>
      <c r="I835" s="2">
        <v>199</v>
      </c>
      <c r="J835" s="2">
        <v>314</v>
      </c>
      <c r="K835" s="2">
        <v>742</v>
      </c>
      <c r="L835" s="2">
        <v>274</v>
      </c>
      <c r="M835" s="2">
        <v>210</v>
      </c>
      <c r="N835" s="2">
        <v>396</v>
      </c>
      <c r="O835" s="2">
        <v>453</v>
      </c>
      <c r="P835" s="2">
        <v>4694</v>
      </c>
      <c r="Q835" s="2">
        <v>2</v>
      </c>
      <c r="R835" s="2">
        <v>9388</v>
      </c>
      <c r="S835" s="4">
        <f>SUM($R$2:R835) / SUM($R:$R)</f>
        <v>0.99912607052639502</v>
      </c>
      <c r="T835" s="3" t="str">
        <f t="shared" ref="T835:T898" si="78">IF(S835&lt;=0.7, "A", IF(S835&lt;=0.9, "B", "C"))</f>
        <v>C</v>
      </c>
      <c r="U835" s="2">
        <f t="shared" ref="U835:U898" si="79">AVERAGE(D835:O835)</f>
        <v>391.16666666666669</v>
      </c>
      <c r="V835" s="2">
        <f t="shared" ref="V835:V898" si="80">_xlfn.STDEV.S(D835:O835)</f>
        <v>146.672072903116</v>
      </c>
      <c r="W835" s="2">
        <f t="shared" ref="W835:W898" si="81">IF(U835=0,0,V835/U835)</f>
        <v>0.3749605613202795</v>
      </c>
      <c r="X835" s="2" t="str">
        <f t="shared" ref="X835:X898" si="82">(IF(W835&lt;=0.2, "X", IF(W835&lt;=0.5, "Y", "Z")))</f>
        <v>Y</v>
      </c>
      <c r="Y835" s="2" t="str">
        <f t="shared" ref="Y835:Y898" si="83">T835&amp;X835</f>
        <v>CY</v>
      </c>
    </row>
    <row r="836" spans="1:25" x14ac:dyDescent="0.3">
      <c r="A836" s="2" t="s">
        <v>391</v>
      </c>
      <c r="B836" s="2" t="s">
        <v>392</v>
      </c>
      <c r="C836" s="2" t="s">
        <v>25</v>
      </c>
      <c r="D836" s="2">
        <v>136</v>
      </c>
      <c r="E836" s="2">
        <v>248</v>
      </c>
      <c r="F836" s="2">
        <v>616</v>
      </c>
      <c r="G836" s="2">
        <v>705</v>
      </c>
      <c r="H836" s="2">
        <v>337</v>
      </c>
      <c r="I836" s="2">
        <v>367</v>
      </c>
      <c r="J836" s="2">
        <v>615</v>
      </c>
      <c r="K836" s="2">
        <v>288</v>
      </c>
      <c r="L836" s="2">
        <v>124</v>
      </c>
      <c r="M836" s="2">
        <v>194</v>
      </c>
      <c r="N836" s="2">
        <v>679</v>
      </c>
      <c r="O836" s="2">
        <v>369</v>
      </c>
      <c r="P836" s="2">
        <v>4678</v>
      </c>
      <c r="Q836" s="2">
        <v>2</v>
      </c>
      <c r="R836" s="2">
        <v>9356</v>
      </c>
      <c r="S836" s="4">
        <f>SUM($R$2:R836) / SUM($R:$R)</f>
        <v>0.99913479579504716</v>
      </c>
      <c r="T836" s="3" t="str">
        <f t="shared" si="78"/>
        <v>C</v>
      </c>
      <c r="U836" s="2">
        <f t="shared" si="79"/>
        <v>389.83333333333331</v>
      </c>
      <c r="V836" s="2">
        <f t="shared" si="80"/>
        <v>211.59173094915741</v>
      </c>
      <c r="W836" s="2">
        <f t="shared" si="81"/>
        <v>0.54277485493584632</v>
      </c>
      <c r="X836" s="2" t="str">
        <f t="shared" si="82"/>
        <v>Z</v>
      </c>
      <c r="Y836" s="2" t="str">
        <f t="shared" si="83"/>
        <v>CZ</v>
      </c>
    </row>
    <row r="837" spans="1:25" x14ac:dyDescent="0.3">
      <c r="A837" s="2" t="s">
        <v>729</v>
      </c>
      <c r="B837" s="2" t="s">
        <v>730</v>
      </c>
      <c r="C837" s="2" t="s">
        <v>41</v>
      </c>
      <c r="D837" s="2">
        <v>68</v>
      </c>
      <c r="E837" s="2">
        <v>87</v>
      </c>
      <c r="F837" s="2">
        <v>81</v>
      </c>
      <c r="G837" s="2">
        <v>91</v>
      </c>
      <c r="H837" s="2">
        <v>60</v>
      </c>
      <c r="I837" s="2">
        <v>81</v>
      </c>
      <c r="J837" s="2">
        <v>93</v>
      </c>
      <c r="K837" s="2">
        <v>67</v>
      </c>
      <c r="L837" s="2">
        <v>82</v>
      </c>
      <c r="M837" s="2">
        <v>66</v>
      </c>
      <c r="N837" s="2">
        <v>80</v>
      </c>
      <c r="O837" s="2">
        <v>78</v>
      </c>
      <c r="P837" s="2">
        <v>934</v>
      </c>
      <c r="Q837" s="2">
        <v>10</v>
      </c>
      <c r="R837" s="2">
        <v>9340</v>
      </c>
      <c r="S837" s="4">
        <f>SUM($R$2:R837) / SUM($R:$R)</f>
        <v>0.9991435061423336</v>
      </c>
      <c r="T837" s="3" t="str">
        <f t="shared" si="78"/>
        <v>C</v>
      </c>
      <c r="U837" s="2">
        <f t="shared" si="79"/>
        <v>77.833333333333329</v>
      </c>
      <c r="V837" s="2">
        <f t="shared" si="80"/>
        <v>10.451910076269538</v>
      </c>
      <c r="W837" s="2">
        <f t="shared" si="81"/>
        <v>0.13428578256449086</v>
      </c>
      <c r="X837" s="2" t="str">
        <f t="shared" si="82"/>
        <v>X</v>
      </c>
      <c r="Y837" s="2" t="str">
        <f t="shared" si="83"/>
        <v>CX</v>
      </c>
    </row>
    <row r="838" spans="1:25" x14ac:dyDescent="0.3">
      <c r="A838" s="2" t="s">
        <v>883</v>
      </c>
      <c r="B838" s="2" t="s">
        <v>884</v>
      </c>
      <c r="C838" s="2" t="s">
        <v>56</v>
      </c>
      <c r="D838" s="2">
        <v>389</v>
      </c>
      <c r="E838" s="2">
        <v>379</v>
      </c>
      <c r="F838" s="2">
        <v>395</v>
      </c>
      <c r="G838" s="2">
        <v>390</v>
      </c>
      <c r="H838" s="2">
        <v>398</v>
      </c>
      <c r="I838" s="2">
        <v>400</v>
      </c>
      <c r="J838" s="2">
        <v>373</v>
      </c>
      <c r="K838" s="2">
        <v>384</v>
      </c>
      <c r="L838" s="2">
        <v>388</v>
      </c>
      <c r="M838" s="2">
        <v>356</v>
      </c>
      <c r="N838" s="2">
        <v>407</v>
      </c>
      <c r="O838" s="2">
        <v>392</v>
      </c>
      <c r="P838" s="2">
        <v>4651</v>
      </c>
      <c r="Q838" s="2">
        <v>2</v>
      </c>
      <c r="R838" s="2">
        <v>9302</v>
      </c>
      <c r="S838" s="4">
        <f>SUM($R$2:R838) / SUM($R:$R)</f>
        <v>0.99915218105137626</v>
      </c>
      <c r="T838" s="3" t="str">
        <f t="shared" si="78"/>
        <v>C</v>
      </c>
      <c r="U838" s="2">
        <f t="shared" si="79"/>
        <v>387.58333333333331</v>
      </c>
      <c r="V838" s="2">
        <f t="shared" si="80"/>
        <v>13.54761524357253</v>
      </c>
      <c r="W838" s="2">
        <f t="shared" si="81"/>
        <v>3.4954070720892357E-2</v>
      </c>
      <c r="X838" s="2" t="str">
        <f t="shared" si="82"/>
        <v>X</v>
      </c>
      <c r="Y838" s="2" t="str">
        <f t="shared" si="83"/>
        <v>CX</v>
      </c>
    </row>
    <row r="839" spans="1:25" x14ac:dyDescent="0.3">
      <c r="A839" s="2" t="s">
        <v>201</v>
      </c>
      <c r="B839" s="2" t="s">
        <v>202</v>
      </c>
      <c r="C839" s="2" t="s">
        <v>56</v>
      </c>
      <c r="D839" s="2">
        <v>355</v>
      </c>
      <c r="E839" s="2">
        <v>409</v>
      </c>
      <c r="F839" s="2">
        <v>363</v>
      </c>
      <c r="G839" s="2">
        <v>361</v>
      </c>
      <c r="H839" s="2">
        <v>380</v>
      </c>
      <c r="I839" s="2">
        <v>416</v>
      </c>
      <c r="J839" s="2">
        <v>401</v>
      </c>
      <c r="K839" s="2">
        <v>380</v>
      </c>
      <c r="L839" s="2">
        <v>387</v>
      </c>
      <c r="M839" s="2">
        <v>414</v>
      </c>
      <c r="N839" s="2">
        <v>389</v>
      </c>
      <c r="O839" s="2">
        <v>382</v>
      </c>
      <c r="P839" s="2">
        <v>4637</v>
      </c>
      <c r="Q839" s="2">
        <v>2</v>
      </c>
      <c r="R839" s="2">
        <v>9274</v>
      </c>
      <c r="S839" s="4">
        <f>SUM($R$2:R839) / SUM($R:$R)</f>
        <v>0.99916082984802868</v>
      </c>
      <c r="T839" s="3" t="str">
        <f t="shared" si="78"/>
        <v>C</v>
      </c>
      <c r="U839" s="2">
        <f t="shared" si="79"/>
        <v>386.41666666666669</v>
      </c>
      <c r="V839" s="2">
        <f t="shared" si="80"/>
        <v>20.557937344947518</v>
      </c>
      <c r="W839" s="2">
        <f t="shared" si="81"/>
        <v>5.3201476846963601E-2</v>
      </c>
      <c r="X839" s="2" t="str">
        <f t="shared" si="82"/>
        <v>X</v>
      </c>
      <c r="Y839" s="2" t="str">
        <f t="shared" si="83"/>
        <v>CX</v>
      </c>
    </row>
    <row r="840" spans="1:25" x14ac:dyDescent="0.3">
      <c r="A840" s="2" t="s">
        <v>741</v>
      </c>
      <c r="B840" s="2" t="s">
        <v>742</v>
      </c>
      <c r="C840" s="2" t="s">
        <v>25</v>
      </c>
      <c r="D840" s="2">
        <v>530</v>
      </c>
      <c r="E840" s="2">
        <v>686</v>
      </c>
      <c r="F840" s="2">
        <v>158</v>
      </c>
      <c r="G840" s="2">
        <v>630</v>
      </c>
      <c r="H840" s="2">
        <v>203</v>
      </c>
      <c r="I840" s="2">
        <v>609</v>
      </c>
      <c r="J840" s="2">
        <v>149</v>
      </c>
      <c r="K840" s="2">
        <v>286</v>
      </c>
      <c r="L840" s="2">
        <v>464</v>
      </c>
      <c r="M840" s="2">
        <v>337</v>
      </c>
      <c r="N840" s="2">
        <v>123</v>
      </c>
      <c r="O840" s="2">
        <v>410</v>
      </c>
      <c r="P840" s="2">
        <v>4585</v>
      </c>
      <c r="Q840" s="2">
        <v>2</v>
      </c>
      <c r="R840" s="2">
        <v>9170</v>
      </c>
      <c r="S840" s="4">
        <f>SUM($R$2:R840) / SUM($R:$R)</f>
        <v>0.99916938165580349</v>
      </c>
      <c r="T840" s="3" t="str">
        <f t="shared" si="78"/>
        <v>C</v>
      </c>
      <c r="U840" s="2">
        <f t="shared" si="79"/>
        <v>382.08333333333331</v>
      </c>
      <c r="V840" s="2">
        <f t="shared" si="80"/>
        <v>202.19003587234613</v>
      </c>
      <c r="W840" s="2">
        <f t="shared" si="81"/>
        <v>0.52917784743034979</v>
      </c>
      <c r="X840" s="2" t="str">
        <f t="shared" si="82"/>
        <v>Z</v>
      </c>
      <c r="Y840" s="2" t="str">
        <f t="shared" si="83"/>
        <v>CZ</v>
      </c>
    </row>
    <row r="841" spans="1:25" x14ac:dyDescent="0.3">
      <c r="A841" s="2" t="s">
        <v>1723</v>
      </c>
      <c r="B841" s="2" t="s">
        <v>1724</v>
      </c>
      <c r="C841" s="2" t="s">
        <v>56</v>
      </c>
      <c r="D841" s="2">
        <v>385</v>
      </c>
      <c r="E841" s="2">
        <v>348</v>
      </c>
      <c r="F841" s="2">
        <v>358</v>
      </c>
      <c r="G841" s="2">
        <v>394</v>
      </c>
      <c r="H841" s="2">
        <v>370</v>
      </c>
      <c r="I841" s="2">
        <v>381</v>
      </c>
      <c r="J841" s="2">
        <v>423</v>
      </c>
      <c r="K841" s="2">
        <v>389</v>
      </c>
      <c r="L841" s="2">
        <v>422</v>
      </c>
      <c r="M841" s="2">
        <v>369</v>
      </c>
      <c r="N841" s="2">
        <v>373</v>
      </c>
      <c r="O841" s="2">
        <v>367</v>
      </c>
      <c r="P841" s="2">
        <v>4579</v>
      </c>
      <c r="Q841" s="2">
        <v>2</v>
      </c>
      <c r="R841" s="2">
        <v>9158</v>
      </c>
      <c r="S841" s="4">
        <f>SUM($R$2:R841) / SUM($R:$R)</f>
        <v>0.99917792227255386</v>
      </c>
      <c r="T841" s="3" t="str">
        <f t="shared" si="78"/>
        <v>C</v>
      </c>
      <c r="U841" s="2">
        <f t="shared" si="79"/>
        <v>381.58333333333331</v>
      </c>
      <c r="V841" s="2">
        <f t="shared" si="80"/>
        <v>23.027486869286268</v>
      </c>
      <c r="W841" s="2">
        <f t="shared" si="81"/>
        <v>6.0347202976945888E-2</v>
      </c>
      <c r="X841" s="2" t="str">
        <f t="shared" si="82"/>
        <v>X</v>
      </c>
      <c r="Y841" s="2" t="str">
        <f t="shared" si="83"/>
        <v>CX</v>
      </c>
    </row>
    <row r="842" spans="1:25" x14ac:dyDescent="0.3">
      <c r="A842" s="2" t="s">
        <v>1735</v>
      </c>
      <c r="B842" s="2" t="s">
        <v>1736</v>
      </c>
      <c r="C842" s="2" t="s">
        <v>56</v>
      </c>
      <c r="D842" s="2">
        <v>366</v>
      </c>
      <c r="E842" s="2">
        <v>410</v>
      </c>
      <c r="F842" s="2">
        <v>389</v>
      </c>
      <c r="G842" s="2">
        <v>389</v>
      </c>
      <c r="H842" s="2">
        <v>396</v>
      </c>
      <c r="I842" s="2">
        <v>373</v>
      </c>
      <c r="J842" s="2">
        <v>355</v>
      </c>
      <c r="K842" s="2">
        <v>399</v>
      </c>
      <c r="L842" s="2">
        <v>386</v>
      </c>
      <c r="M842" s="2">
        <v>354</v>
      </c>
      <c r="N842" s="2">
        <v>371</v>
      </c>
      <c r="O842" s="2">
        <v>362</v>
      </c>
      <c r="P842" s="2">
        <v>4550</v>
      </c>
      <c r="Q842" s="2">
        <v>2</v>
      </c>
      <c r="R842" s="2">
        <v>9100</v>
      </c>
      <c r="S842" s="4">
        <f>SUM($R$2:R842) / SUM($R:$R)</f>
        <v>0.99918640879935328</v>
      </c>
      <c r="T842" s="3" t="str">
        <f t="shared" si="78"/>
        <v>C</v>
      </c>
      <c r="U842" s="2">
        <f t="shared" si="79"/>
        <v>379.16666666666669</v>
      </c>
      <c r="V842" s="2">
        <f t="shared" si="80"/>
        <v>18.234997985060254</v>
      </c>
      <c r="W842" s="2">
        <f t="shared" si="81"/>
        <v>4.8092302378180886E-2</v>
      </c>
      <c r="X842" s="2" t="str">
        <f t="shared" si="82"/>
        <v>X</v>
      </c>
      <c r="Y842" s="2" t="str">
        <f t="shared" si="83"/>
        <v>CX</v>
      </c>
    </row>
    <row r="843" spans="1:25" x14ac:dyDescent="0.3">
      <c r="A843" s="2" t="s">
        <v>1105</v>
      </c>
      <c r="B843" s="2" t="s">
        <v>1106</v>
      </c>
      <c r="C843" s="2" t="s">
        <v>36</v>
      </c>
      <c r="D843" s="2">
        <v>356</v>
      </c>
      <c r="E843" s="2">
        <v>349</v>
      </c>
      <c r="F843" s="2">
        <v>366</v>
      </c>
      <c r="G843" s="2">
        <v>392</v>
      </c>
      <c r="H843" s="2">
        <v>392</v>
      </c>
      <c r="I843" s="2">
        <v>369</v>
      </c>
      <c r="J843" s="2">
        <v>341</v>
      </c>
      <c r="K843" s="2">
        <v>410</v>
      </c>
      <c r="L843" s="2">
        <v>397</v>
      </c>
      <c r="M843" s="2">
        <v>389</v>
      </c>
      <c r="N843" s="2">
        <v>382</v>
      </c>
      <c r="O843" s="2">
        <v>363</v>
      </c>
      <c r="P843" s="2">
        <v>4506</v>
      </c>
      <c r="Q843" s="2">
        <v>2</v>
      </c>
      <c r="R843" s="2">
        <v>9012</v>
      </c>
      <c r="S843" s="4">
        <f>SUM($R$2:R843) / SUM($R:$R)</f>
        <v>0.99919481325864068</v>
      </c>
      <c r="T843" s="3" t="str">
        <f t="shared" si="78"/>
        <v>C</v>
      </c>
      <c r="U843" s="2">
        <f t="shared" si="79"/>
        <v>375.5</v>
      </c>
      <c r="V843" s="2">
        <f t="shared" si="80"/>
        <v>21.283796653792763</v>
      </c>
      <c r="W843" s="2">
        <f t="shared" si="81"/>
        <v>5.6681216121951435E-2</v>
      </c>
      <c r="X843" s="2" t="str">
        <f t="shared" si="82"/>
        <v>X</v>
      </c>
      <c r="Y843" s="2" t="str">
        <f t="shared" si="83"/>
        <v>CX</v>
      </c>
    </row>
    <row r="844" spans="1:25" x14ac:dyDescent="0.3">
      <c r="A844" s="2" t="s">
        <v>1433</v>
      </c>
      <c r="B844" s="2" t="s">
        <v>1434</v>
      </c>
      <c r="C844" s="2" t="s">
        <v>41</v>
      </c>
      <c r="D844" s="2">
        <v>353</v>
      </c>
      <c r="E844" s="2">
        <v>374</v>
      </c>
      <c r="F844" s="2">
        <v>354</v>
      </c>
      <c r="G844" s="2">
        <v>403</v>
      </c>
      <c r="H844" s="2">
        <v>375</v>
      </c>
      <c r="I844" s="2">
        <v>412</v>
      </c>
      <c r="J844" s="2">
        <v>380</v>
      </c>
      <c r="K844" s="2">
        <v>401</v>
      </c>
      <c r="L844" s="2">
        <v>357</v>
      </c>
      <c r="M844" s="2">
        <v>344</v>
      </c>
      <c r="N844" s="2">
        <v>384</v>
      </c>
      <c r="O844" s="2">
        <v>368</v>
      </c>
      <c r="P844" s="2">
        <v>4505</v>
      </c>
      <c r="Q844" s="2">
        <v>2</v>
      </c>
      <c r="R844" s="2">
        <v>9010</v>
      </c>
      <c r="S844" s="4">
        <f>SUM($R$2:R844) / SUM($R:$R)</f>
        <v>0.99920321585275751</v>
      </c>
      <c r="T844" s="3" t="str">
        <f t="shared" si="78"/>
        <v>C</v>
      </c>
      <c r="U844" s="2">
        <f t="shared" si="79"/>
        <v>375.41666666666669</v>
      </c>
      <c r="V844" s="2">
        <f t="shared" si="80"/>
        <v>21.727478761543715</v>
      </c>
      <c r="W844" s="2">
        <f t="shared" si="81"/>
        <v>5.7875637100671382E-2</v>
      </c>
      <c r="X844" s="2" t="str">
        <f t="shared" si="82"/>
        <v>X</v>
      </c>
      <c r="Y844" s="2" t="str">
        <f t="shared" si="83"/>
        <v>CX</v>
      </c>
    </row>
    <row r="845" spans="1:25" x14ac:dyDescent="0.3">
      <c r="A845" s="2" t="s">
        <v>473</v>
      </c>
      <c r="B845" s="2" t="s">
        <v>474</v>
      </c>
      <c r="C845" s="2" t="s">
        <v>36</v>
      </c>
      <c r="D845" s="2">
        <v>338</v>
      </c>
      <c r="E845" s="2">
        <v>382</v>
      </c>
      <c r="F845" s="2">
        <v>382</v>
      </c>
      <c r="G845" s="2">
        <v>364</v>
      </c>
      <c r="H845" s="2">
        <v>391</v>
      </c>
      <c r="I845" s="2">
        <v>372</v>
      </c>
      <c r="J845" s="2">
        <v>380</v>
      </c>
      <c r="K845" s="2">
        <v>377</v>
      </c>
      <c r="L845" s="2">
        <v>400</v>
      </c>
      <c r="M845" s="2">
        <v>378</v>
      </c>
      <c r="N845" s="2">
        <v>376</v>
      </c>
      <c r="O845" s="2">
        <v>347</v>
      </c>
      <c r="P845" s="2">
        <v>4487</v>
      </c>
      <c r="Q845" s="2">
        <v>2</v>
      </c>
      <c r="R845" s="2">
        <v>8974</v>
      </c>
      <c r="S845" s="4">
        <f>SUM($R$2:R845) / SUM($R:$R)</f>
        <v>0.99921158487380113</v>
      </c>
      <c r="T845" s="3" t="str">
        <f t="shared" si="78"/>
        <v>C</v>
      </c>
      <c r="U845" s="2">
        <f t="shared" si="79"/>
        <v>373.91666666666669</v>
      </c>
      <c r="V845" s="2">
        <f t="shared" si="80"/>
        <v>17.286139131124855</v>
      </c>
      <c r="W845" s="2">
        <f t="shared" si="81"/>
        <v>4.6229924130487689E-2</v>
      </c>
      <c r="X845" s="2" t="str">
        <f t="shared" si="82"/>
        <v>X</v>
      </c>
      <c r="Y845" s="2" t="str">
        <f t="shared" si="83"/>
        <v>CX</v>
      </c>
    </row>
    <row r="846" spans="1:25" x14ac:dyDescent="0.3">
      <c r="A846" s="2" t="s">
        <v>991</v>
      </c>
      <c r="B846" s="2" t="s">
        <v>992</v>
      </c>
      <c r="C846" s="2" t="s">
        <v>41</v>
      </c>
      <c r="D846" s="2">
        <v>404</v>
      </c>
      <c r="E846" s="2">
        <v>354</v>
      </c>
      <c r="F846" s="2">
        <v>351</v>
      </c>
      <c r="G846" s="2">
        <v>410</v>
      </c>
      <c r="H846" s="2">
        <v>361</v>
      </c>
      <c r="I846" s="2">
        <v>381</v>
      </c>
      <c r="J846" s="2">
        <v>363</v>
      </c>
      <c r="K846" s="2">
        <v>365</v>
      </c>
      <c r="L846" s="2">
        <v>367</v>
      </c>
      <c r="M846" s="2">
        <v>380</v>
      </c>
      <c r="N846" s="2">
        <v>389</v>
      </c>
      <c r="O846" s="2">
        <v>340</v>
      </c>
      <c r="P846" s="2">
        <v>4465</v>
      </c>
      <c r="Q846" s="2">
        <v>2</v>
      </c>
      <c r="R846" s="2">
        <v>8930</v>
      </c>
      <c r="S846" s="4">
        <f>SUM($R$2:R846) / SUM($R:$R)</f>
        <v>0.99921991286108891</v>
      </c>
      <c r="T846" s="3" t="str">
        <f t="shared" si="78"/>
        <v>C</v>
      </c>
      <c r="U846" s="2">
        <f t="shared" si="79"/>
        <v>372.08333333333331</v>
      </c>
      <c r="V846" s="2">
        <f t="shared" si="80"/>
        <v>21.249420669464822</v>
      </c>
      <c r="W846" s="2">
        <f t="shared" si="81"/>
        <v>5.7109305270678139E-2</v>
      </c>
      <c r="X846" s="2" t="str">
        <f t="shared" si="82"/>
        <v>X</v>
      </c>
      <c r="Y846" s="2" t="str">
        <f t="shared" si="83"/>
        <v>CX</v>
      </c>
    </row>
    <row r="847" spans="1:25" x14ac:dyDescent="0.3">
      <c r="A847" s="2" t="s">
        <v>559</v>
      </c>
      <c r="B847" s="2" t="s">
        <v>560</v>
      </c>
      <c r="C847" s="2" t="s">
        <v>25</v>
      </c>
      <c r="D847" s="2">
        <v>396</v>
      </c>
      <c r="E847" s="2">
        <v>140</v>
      </c>
      <c r="F847" s="2">
        <v>537</v>
      </c>
      <c r="G847" s="2">
        <v>193</v>
      </c>
      <c r="H847" s="2">
        <v>550</v>
      </c>
      <c r="I847" s="2">
        <v>358</v>
      </c>
      <c r="J847" s="2">
        <v>58</v>
      </c>
      <c r="K847" s="2">
        <v>569</v>
      </c>
      <c r="L847" s="2">
        <v>153</v>
      </c>
      <c r="M847" s="2">
        <v>498</v>
      </c>
      <c r="N847" s="2">
        <v>319</v>
      </c>
      <c r="O847" s="2">
        <v>632</v>
      </c>
      <c r="P847" s="2">
        <v>4403</v>
      </c>
      <c r="Q847" s="2">
        <v>2</v>
      </c>
      <c r="R847" s="2">
        <v>8806</v>
      </c>
      <c r="S847" s="4">
        <f>SUM($R$2:R847) / SUM($R:$R)</f>
        <v>0.9992281252077917</v>
      </c>
      <c r="T847" s="3" t="str">
        <f t="shared" si="78"/>
        <v>C</v>
      </c>
      <c r="U847" s="2">
        <f t="shared" si="79"/>
        <v>366.91666666666669</v>
      </c>
      <c r="V847" s="2">
        <f t="shared" si="80"/>
        <v>194.67616856220644</v>
      </c>
      <c r="W847" s="2">
        <f t="shared" si="81"/>
        <v>0.5305732506805535</v>
      </c>
      <c r="X847" s="2" t="str">
        <f t="shared" si="82"/>
        <v>Z</v>
      </c>
      <c r="Y847" s="2" t="str">
        <f t="shared" si="83"/>
        <v>CZ</v>
      </c>
    </row>
    <row r="848" spans="1:25" x14ac:dyDescent="0.3">
      <c r="A848" s="2" t="s">
        <v>1593</v>
      </c>
      <c r="B848" s="2" t="s">
        <v>1594</v>
      </c>
      <c r="C848" s="2" t="s">
        <v>56</v>
      </c>
      <c r="D848" s="2">
        <v>359</v>
      </c>
      <c r="E848" s="2">
        <v>379</v>
      </c>
      <c r="F848" s="2">
        <v>345</v>
      </c>
      <c r="G848" s="2">
        <v>349</v>
      </c>
      <c r="H848" s="2">
        <v>361</v>
      </c>
      <c r="I848" s="2">
        <v>369</v>
      </c>
      <c r="J848" s="2">
        <v>362</v>
      </c>
      <c r="K848" s="2">
        <v>402</v>
      </c>
      <c r="L848" s="2">
        <v>320</v>
      </c>
      <c r="M848" s="2">
        <v>363</v>
      </c>
      <c r="N848" s="2">
        <v>406</v>
      </c>
      <c r="O848" s="2">
        <v>377</v>
      </c>
      <c r="P848" s="2">
        <v>4392</v>
      </c>
      <c r="Q848" s="2">
        <v>2</v>
      </c>
      <c r="R848" s="2">
        <v>8784</v>
      </c>
      <c r="S848" s="4">
        <f>SUM($R$2:R848) / SUM($R:$R)</f>
        <v>0.99923631703761651</v>
      </c>
      <c r="T848" s="3" t="str">
        <f t="shared" si="78"/>
        <v>C</v>
      </c>
      <c r="U848" s="2">
        <f t="shared" si="79"/>
        <v>366</v>
      </c>
      <c r="V848" s="2">
        <f t="shared" si="80"/>
        <v>23.625871797286511</v>
      </c>
      <c r="W848" s="2">
        <f t="shared" si="81"/>
        <v>6.4551562287668063E-2</v>
      </c>
      <c r="X848" s="2" t="str">
        <f t="shared" si="82"/>
        <v>X</v>
      </c>
      <c r="Y848" s="2" t="str">
        <f t="shared" si="83"/>
        <v>CX</v>
      </c>
    </row>
    <row r="849" spans="1:25" x14ac:dyDescent="0.3">
      <c r="A849" s="2" t="s">
        <v>797</v>
      </c>
      <c r="B849" s="2" t="s">
        <v>798</v>
      </c>
      <c r="C849" s="2" t="s">
        <v>41</v>
      </c>
      <c r="D849" s="2">
        <v>367</v>
      </c>
      <c r="E849" s="2">
        <v>362</v>
      </c>
      <c r="F849" s="2">
        <v>377</v>
      </c>
      <c r="G849" s="2">
        <v>386</v>
      </c>
      <c r="H849" s="2">
        <v>329</v>
      </c>
      <c r="I849" s="2">
        <v>345</v>
      </c>
      <c r="J849" s="2">
        <v>352</v>
      </c>
      <c r="K849" s="2">
        <v>323</v>
      </c>
      <c r="L849" s="2">
        <v>387</v>
      </c>
      <c r="M849" s="2">
        <v>404</v>
      </c>
      <c r="N849" s="2">
        <v>381</v>
      </c>
      <c r="O849" s="2">
        <v>370</v>
      </c>
      <c r="P849" s="2">
        <v>4383</v>
      </c>
      <c r="Q849" s="2">
        <v>2</v>
      </c>
      <c r="R849" s="2">
        <v>8766</v>
      </c>
      <c r="S849" s="4">
        <f>SUM($R$2:R849) / SUM($R:$R)</f>
        <v>0.99924449208090471</v>
      </c>
      <c r="T849" s="3" t="str">
        <f t="shared" si="78"/>
        <v>C</v>
      </c>
      <c r="U849" s="2">
        <f t="shared" si="79"/>
        <v>365.25</v>
      </c>
      <c r="V849" s="2">
        <f t="shared" si="80"/>
        <v>24.331517159288019</v>
      </c>
      <c r="W849" s="2">
        <f t="shared" si="81"/>
        <v>6.6616063406674933E-2</v>
      </c>
      <c r="X849" s="2" t="str">
        <f t="shared" si="82"/>
        <v>X</v>
      </c>
      <c r="Y849" s="2" t="str">
        <f t="shared" si="83"/>
        <v>CX</v>
      </c>
    </row>
    <row r="850" spans="1:25" x14ac:dyDescent="0.3">
      <c r="A850" s="2" t="s">
        <v>571</v>
      </c>
      <c r="B850" s="2" t="s">
        <v>572</v>
      </c>
      <c r="C850" s="2" t="s">
        <v>56</v>
      </c>
      <c r="D850" s="2">
        <v>59</v>
      </c>
      <c r="E850" s="2">
        <v>66</v>
      </c>
      <c r="F850" s="2">
        <v>74</v>
      </c>
      <c r="G850" s="2">
        <v>78</v>
      </c>
      <c r="H850" s="2">
        <v>66</v>
      </c>
      <c r="I850" s="2">
        <v>76</v>
      </c>
      <c r="J850" s="2">
        <v>75</v>
      </c>
      <c r="K850" s="2">
        <v>86</v>
      </c>
      <c r="L850" s="2">
        <v>64</v>
      </c>
      <c r="M850" s="2">
        <v>84</v>
      </c>
      <c r="N850" s="2">
        <v>70</v>
      </c>
      <c r="O850" s="2">
        <v>72</v>
      </c>
      <c r="P850" s="2">
        <v>870</v>
      </c>
      <c r="Q850" s="2">
        <v>10</v>
      </c>
      <c r="R850" s="2">
        <v>8700</v>
      </c>
      <c r="S850" s="4">
        <f>SUM($R$2:R850) / SUM($R:$R)</f>
        <v>0.99925260557355911</v>
      </c>
      <c r="T850" s="3" t="str">
        <f t="shared" si="78"/>
        <v>C</v>
      </c>
      <c r="U850" s="2">
        <f t="shared" si="79"/>
        <v>72.5</v>
      </c>
      <c r="V850" s="2">
        <f t="shared" si="80"/>
        <v>8.0396743489001867</v>
      </c>
      <c r="W850" s="2">
        <f t="shared" si="81"/>
        <v>0.11089205998483016</v>
      </c>
      <c r="X850" s="2" t="str">
        <f t="shared" si="82"/>
        <v>X</v>
      </c>
      <c r="Y850" s="2" t="str">
        <f t="shared" si="83"/>
        <v>CX</v>
      </c>
    </row>
    <row r="851" spans="1:25" x14ac:dyDescent="0.3">
      <c r="A851" s="2" t="s">
        <v>575</v>
      </c>
      <c r="B851" s="2" t="s">
        <v>576</v>
      </c>
      <c r="C851" s="2" t="s">
        <v>56</v>
      </c>
      <c r="D851" s="2">
        <v>362</v>
      </c>
      <c r="E851" s="2">
        <v>367</v>
      </c>
      <c r="F851" s="2">
        <v>314</v>
      </c>
      <c r="G851" s="2">
        <v>363</v>
      </c>
      <c r="H851" s="2">
        <v>389</v>
      </c>
      <c r="I851" s="2">
        <v>343</v>
      </c>
      <c r="J851" s="2">
        <v>340</v>
      </c>
      <c r="K851" s="2">
        <v>381</v>
      </c>
      <c r="L851" s="2">
        <v>360</v>
      </c>
      <c r="M851" s="2">
        <v>362</v>
      </c>
      <c r="N851" s="2">
        <v>404</v>
      </c>
      <c r="O851" s="2">
        <v>339</v>
      </c>
      <c r="P851" s="2">
        <v>4324</v>
      </c>
      <c r="Q851" s="2">
        <v>2</v>
      </c>
      <c r="R851" s="2">
        <v>8648</v>
      </c>
      <c r="S851" s="4">
        <f>SUM($R$2:R851) / SUM($R:$R)</f>
        <v>0.99926067057177459</v>
      </c>
      <c r="T851" s="3" t="str">
        <f t="shared" si="78"/>
        <v>C</v>
      </c>
      <c r="U851" s="2">
        <f t="shared" si="79"/>
        <v>360.33333333333331</v>
      </c>
      <c r="V851" s="2">
        <f t="shared" si="80"/>
        <v>24.362166396179788</v>
      </c>
      <c r="W851" s="2">
        <f t="shared" si="81"/>
        <v>6.7610082505586838E-2</v>
      </c>
      <c r="X851" s="2" t="str">
        <f t="shared" si="82"/>
        <v>X</v>
      </c>
      <c r="Y851" s="2" t="str">
        <f t="shared" si="83"/>
        <v>CX</v>
      </c>
    </row>
    <row r="852" spans="1:25" x14ac:dyDescent="0.3">
      <c r="A852" s="2" t="s">
        <v>1465</v>
      </c>
      <c r="B852" s="2" t="s">
        <v>1466</v>
      </c>
      <c r="C852" s="2" t="s">
        <v>36</v>
      </c>
      <c r="D852" s="2">
        <v>369</v>
      </c>
      <c r="E852" s="2">
        <v>369</v>
      </c>
      <c r="F852" s="2">
        <v>370</v>
      </c>
      <c r="G852" s="2">
        <v>358</v>
      </c>
      <c r="H852" s="2">
        <v>391</v>
      </c>
      <c r="I852" s="2">
        <v>365</v>
      </c>
      <c r="J852" s="2">
        <v>334</v>
      </c>
      <c r="K852" s="2">
        <v>355</v>
      </c>
      <c r="L852" s="2">
        <v>361</v>
      </c>
      <c r="M852" s="2">
        <v>341</v>
      </c>
      <c r="N852" s="2">
        <v>350</v>
      </c>
      <c r="O852" s="2">
        <v>325</v>
      </c>
      <c r="P852" s="2">
        <v>4288</v>
      </c>
      <c r="Q852" s="2">
        <v>2</v>
      </c>
      <c r="R852" s="2">
        <v>8576</v>
      </c>
      <c r="S852" s="4">
        <f>SUM($R$2:R852) / SUM($R:$R)</f>
        <v>0.99926866842384399</v>
      </c>
      <c r="T852" s="3" t="str">
        <f t="shared" si="78"/>
        <v>C</v>
      </c>
      <c r="U852" s="2">
        <f t="shared" si="79"/>
        <v>357.33333333333331</v>
      </c>
      <c r="V852" s="2">
        <f t="shared" si="80"/>
        <v>17.976415525669047</v>
      </c>
      <c r="W852" s="2">
        <f t="shared" si="81"/>
        <v>5.0307133000939502E-2</v>
      </c>
      <c r="X852" s="2" t="str">
        <f t="shared" si="82"/>
        <v>X</v>
      </c>
      <c r="Y852" s="2" t="str">
        <f t="shared" si="83"/>
        <v>CX</v>
      </c>
    </row>
    <row r="853" spans="1:25" x14ac:dyDescent="0.3">
      <c r="A853" s="2" t="s">
        <v>885</v>
      </c>
      <c r="B853" s="2" t="s">
        <v>886</v>
      </c>
      <c r="C853" s="2" t="s">
        <v>25</v>
      </c>
      <c r="D853" s="2">
        <v>384</v>
      </c>
      <c r="E853" s="2">
        <v>199</v>
      </c>
      <c r="F853" s="2">
        <v>597</v>
      </c>
      <c r="G853" s="2">
        <v>489</v>
      </c>
      <c r="H853" s="2">
        <v>259</v>
      </c>
      <c r="I853" s="2">
        <v>461</v>
      </c>
      <c r="J853" s="2">
        <v>177</v>
      </c>
      <c r="K853" s="2">
        <v>501</v>
      </c>
      <c r="L853" s="2">
        <v>184</v>
      </c>
      <c r="M853" s="2">
        <v>358</v>
      </c>
      <c r="N853" s="2">
        <v>263</v>
      </c>
      <c r="O853" s="2">
        <v>412</v>
      </c>
      <c r="P853" s="2">
        <v>4284</v>
      </c>
      <c r="Q853" s="2">
        <v>2</v>
      </c>
      <c r="R853" s="2">
        <v>8568</v>
      </c>
      <c r="S853" s="4">
        <f>SUM($R$2:R853) / SUM($R:$R)</f>
        <v>0.99927665881523053</v>
      </c>
      <c r="T853" s="3" t="str">
        <f t="shared" si="78"/>
        <v>C</v>
      </c>
      <c r="U853" s="2">
        <f t="shared" si="79"/>
        <v>357</v>
      </c>
      <c r="V853" s="2">
        <f t="shared" si="80"/>
        <v>140.15056838337054</v>
      </c>
      <c r="W853" s="2">
        <f t="shared" si="81"/>
        <v>0.39257862292260653</v>
      </c>
      <c r="X853" s="2" t="str">
        <f t="shared" si="82"/>
        <v>Y</v>
      </c>
      <c r="Y853" s="2" t="str">
        <f t="shared" si="83"/>
        <v>CY</v>
      </c>
    </row>
    <row r="854" spans="1:25" x14ac:dyDescent="0.3">
      <c r="A854" s="2" t="s">
        <v>1161</v>
      </c>
      <c r="B854" s="2" t="s">
        <v>1162</v>
      </c>
      <c r="C854" s="2" t="s">
        <v>56</v>
      </c>
      <c r="D854" s="2">
        <v>356</v>
      </c>
      <c r="E854" s="2">
        <v>307</v>
      </c>
      <c r="F854" s="2">
        <v>352</v>
      </c>
      <c r="G854" s="2">
        <v>373</v>
      </c>
      <c r="H854" s="2">
        <v>374</v>
      </c>
      <c r="I854" s="2">
        <v>359</v>
      </c>
      <c r="J854" s="2">
        <v>372</v>
      </c>
      <c r="K854" s="2">
        <v>355</v>
      </c>
      <c r="L854" s="2">
        <v>350</v>
      </c>
      <c r="M854" s="2">
        <v>370</v>
      </c>
      <c r="N854" s="2">
        <v>343</v>
      </c>
      <c r="O854" s="2">
        <v>358</v>
      </c>
      <c r="P854" s="2">
        <v>4269</v>
      </c>
      <c r="Q854" s="2">
        <v>2</v>
      </c>
      <c r="R854" s="2">
        <v>8538</v>
      </c>
      <c r="S854" s="4">
        <f>SUM($R$2:R854) / SUM($R:$R)</f>
        <v>0.99928462122905615</v>
      </c>
      <c r="T854" s="3" t="str">
        <f t="shared" si="78"/>
        <v>C</v>
      </c>
      <c r="U854" s="2">
        <f t="shared" si="79"/>
        <v>355.75</v>
      </c>
      <c r="V854" s="2">
        <f t="shared" si="80"/>
        <v>18.340838684105034</v>
      </c>
      <c r="W854" s="2">
        <f t="shared" si="81"/>
        <v>5.1555414431778031E-2</v>
      </c>
      <c r="X854" s="2" t="str">
        <f t="shared" si="82"/>
        <v>X</v>
      </c>
      <c r="Y854" s="2" t="str">
        <f t="shared" si="83"/>
        <v>CX</v>
      </c>
    </row>
    <row r="855" spans="1:25" x14ac:dyDescent="0.3">
      <c r="A855" s="2" t="s">
        <v>613</v>
      </c>
      <c r="B855" s="2" t="s">
        <v>614</v>
      </c>
      <c r="C855" s="2" t="s">
        <v>25</v>
      </c>
      <c r="D855" s="2">
        <v>336</v>
      </c>
      <c r="E855" s="2">
        <v>348</v>
      </c>
      <c r="F855" s="2">
        <v>293</v>
      </c>
      <c r="G855" s="2">
        <v>233</v>
      </c>
      <c r="H855" s="2">
        <v>498</v>
      </c>
      <c r="I855" s="2">
        <v>436</v>
      </c>
      <c r="J855" s="2">
        <v>511</v>
      </c>
      <c r="K855" s="2">
        <v>371</v>
      </c>
      <c r="L855" s="2">
        <v>467</v>
      </c>
      <c r="M855" s="2">
        <v>268</v>
      </c>
      <c r="N855" s="2">
        <v>20</v>
      </c>
      <c r="O855" s="2">
        <v>487</v>
      </c>
      <c r="P855" s="2">
        <v>4268</v>
      </c>
      <c r="Q855" s="2">
        <v>2</v>
      </c>
      <c r="R855" s="2">
        <v>8536</v>
      </c>
      <c r="S855" s="4">
        <f>SUM($R$2:R855) / SUM($R:$R)</f>
        <v>0.99929258177771096</v>
      </c>
      <c r="T855" s="3" t="str">
        <f t="shared" si="78"/>
        <v>C</v>
      </c>
      <c r="U855" s="2">
        <f t="shared" si="79"/>
        <v>355.66666666666669</v>
      </c>
      <c r="V855" s="2">
        <f t="shared" si="80"/>
        <v>141.58090095472454</v>
      </c>
      <c r="W855" s="2">
        <f t="shared" si="81"/>
        <v>0.39807188647064068</v>
      </c>
      <c r="X855" s="2" t="str">
        <f t="shared" si="82"/>
        <v>Y</v>
      </c>
      <c r="Y855" s="2" t="str">
        <f t="shared" si="83"/>
        <v>CY</v>
      </c>
    </row>
    <row r="856" spans="1:25" x14ac:dyDescent="0.3">
      <c r="A856" s="2" t="s">
        <v>557</v>
      </c>
      <c r="B856" s="2" t="s">
        <v>558</v>
      </c>
      <c r="C856" s="2" t="s">
        <v>56</v>
      </c>
      <c r="D856" s="2">
        <v>371</v>
      </c>
      <c r="E856" s="2">
        <v>319</v>
      </c>
      <c r="F856" s="2">
        <v>385</v>
      </c>
      <c r="G856" s="2">
        <v>345</v>
      </c>
      <c r="H856" s="2">
        <v>367</v>
      </c>
      <c r="I856" s="2">
        <v>336</v>
      </c>
      <c r="J856" s="2">
        <v>329</v>
      </c>
      <c r="K856" s="2">
        <v>353</v>
      </c>
      <c r="L856" s="2">
        <v>375</v>
      </c>
      <c r="M856" s="2">
        <v>390</v>
      </c>
      <c r="N856" s="2">
        <v>328</v>
      </c>
      <c r="O856" s="2">
        <v>324</v>
      </c>
      <c r="P856" s="2">
        <v>4222</v>
      </c>
      <c r="Q856" s="2">
        <v>2</v>
      </c>
      <c r="R856" s="2">
        <v>8444</v>
      </c>
      <c r="S856" s="4">
        <f>SUM($R$2:R856) / SUM($R:$R)</f>
        <v>0.99930045652851252</v>
      </c>
      <c r="T856" s="3" t="str">
        <f t="shared" si="78"/>
        <v>C</v>
      </c>
      <c r="U856" s="2">
        <f t="shared" si="79"/>
        <v>351.83333333333331</v>
      </c>
      <c r="V856" s="2">
        <f t="shared" si="80"/>
        <v>25.102818868635357</v>
      </c>
      <c r="W856" s="2">
        <f t="shared" si="81"/>
        <v>7.1348608816585571E-2</v>
      </c>
      <c r="X856" s="2" t="str">
        <f t="shared" si="82"/>
        <v>X</v>
      </c>
      <c r="Y856" s="2" t="str">
        <f t="shared" si="83"/>
        <v>CX</v>
      </c>
    </row>
    <row r="857" spans="1:25" x14ac:dyDescent="0.3">
      <c r="A857" s="2" t="s">
        <v>1677</v>
      </c>
      <c r="B857" s="2" t="s">
        <v>1678</v>
      </c>
      <c r="C857" s="2" t="s">
        <v>36</v>
      </c>
      <c r="D857" s="2">
        <v>337</v>
      </c>
      <c r="E857" s="2">
        <v>333</v>
      </c>
      <c r="F857" s="2">
        <v>337</v>
      </c>
      <c r="G857" s="2">
        <v>369</v>
      </c>
      <c r="H857" s="2">
        <v>350</v>
      </c>
      <c r="I857" s="2">
        <v>345</v>
      </c>
      <c r="J857" s="2">
        <v>335</v>
      </c>
      <c r="K857" s="2">
        <v>356</v>
      </c>
      <c r="L857" s="2">
        <v>351</v>
      </c>
      <c r="M857" s="2">
        <v>360</v>
      </c>
      <c r="N857" s="2">
        <v>369</v>
      </c>
      <c r="O857" s="2">
        <v>365</v>
      </c>
      <c r="P857" s="2">
        <v>4207</v>
      </c>
      <c r="Q857" s="2">
        <v>2</v>
      </c>
      <c r="R857" s="2">
        <v>8414</v>
      </c>
      <c r="S857" s="4">
        <f>SUM($R$2:R857) / SUM($R:$R)</f>
        <v>0.99930830330175324</v>
      </c>
      <c r="T857" s="3" t="str">
        <f t="shared" si="78"/>
        <v>C</v>
      </c>
      <c r="U857" s="2">
        <f t="shared" si="79"/>
        <v>350.58333333333331</v>
      </c>
      <c r="V857" s="2">
        <f t="shared" si="80"/>
        <v>13.337972677716623</v>
      </c>
      <c r="W857" s="2">
        <f t="shared" si="81"/>
        <v>3.8045084890087823E-2</v>
      </c>
      <c r="X857" s="2" t="str">
        <f t="shared" si="82"/>
        <v>X</v>
      </c>
      <c r="Y857" s="2" t="str">
        <f t="shared" si="83"/>
        <v>CX</v>
      </c>
    </row>
    <row r="858" spans="1:25" x14ac:dyDescent="0.3">
      <c r="A858" s="2" t="s">
        <v>1799</v>
      </c>
      <c r="B858" s="2" t="s">
        <v>1800</v>
      </c>
      <c r="C858" s="2" t="s">
        <v>25</v>
      </c>
      <c r="D858" s="2">
        <v>341</v>
      </c>
      <c r="E858" s="2">
        <v>346</v>
      </c>
      <c r="F858" s="2">
        <v>325</v>
      </c>
      <c r="G858" s="2">
        <v>424</v>
      </c>
      <c r="H858" s="2">
        <v>288</v>
      </c>
      <c r="I858" s="2">
        <v>355</v>
      </c>
      <c r="J858" s="2">
        <v>288</v>
      </c>
      <c r="K858" s="2">
        <v>343</v>
      </c>
      <c r="L858" s="2">
        <v>113</v>
      </c>
      <c r="M858" s="2">
        <v>472</v>
      </c>
      <c r="N858" s="2">
        <v>417</v>
      </c>
      <c r="O858" s="2">
        <v>478</v>
      </c>
      <c r="P858" s="2">
        <v>4190</v>
      </c>
      <c r="Q858" s="2">
        <v>2</v>
      </c>
      <c r="R858" s="2">
        <v>8380</v>
      </c>
      <c r="S858" s="4">
        <f>SUM($R$2:R858) / SUM($R:$R)</f>
        <v>0.99931611836709155</v>
      </c>
      <c r="T858" s="3" t="str">
        <f t="shared" si="78"/>
        <v>C</v>
      </c>
      <c r="U858" s="2">
        <f t="shared" si="79"/>
        <v>349.16666666666669</v>
      </c>
      <c r="V858" s="2">
        <f t="shared" si="80"/>
        <v>98.108319852306266</v>
      </c>
      <c r="W858" s="2">
        <f t="shared" si="81"/>
        <v>0.28097848167724943</v>
      </c>
      <c r="X858" s="2" t="str">
        <f t="shared" si="82"/>
        <v>Y</v>
      </c>
      <c r="Y858" s="2" t="str">
        <f t="shared" si="83"/>
        <v>CY</v>
      </c>
    </row>
    <row r="859" spans="1:25" x14ac:dyDescent="0.3">
      <c r="A859" s="2" t="s">
        <v>1401</v>
      </c>
      <c r="B859" s="2" t="s">
        <v>1402</v>
      </c>
      <c r="C859" s="2" t="s">
        <v>41</v>
      </c>
      <c r="D859" s="2">
        <v>344</v>
      </c>
      <c r="E859" s="2">
        <v>332</v>
      </c>
      <c r="F859" s="2">
        <v>338</v>
      </c>
      <c r="G859" s="2">
        <v>342</v>
      </c>
      <c r="H859" s="2">
        <v>348</v>
      </c>
      <c r="I859" s="2">
        <v>356</v>
      </c>
      <c r="J859" s="2">
        <v>368</v>
      </c>
      <c r="K859" s="2">
        <v>333</v>
      </c>
      <c r="L859" s="2">
        <v>331</v>
      </c>
      <c r="M859" s="2">
        <v>356</v>
      </c>
      <c r="N859" s="2">
        <v>352</v>
      </c>
      <c r="O859" s="2">
        <v>359</v>
      </c>
      <c r="P859" s="2">
        <v>4159</v>
      </c>
      <c r="Q859" s="2">
        <v>2</v>
      </c>
      <c r="R859" s="2">
        <v>8318</v>
      </c>
      <c r="S859" s="4">
        <f>SUM($R$2:R859) / SUM($R:$R)</f>
        <v>0.99932387561213742</v>
      </c>
      <c r="T859" s="3" t="str">
        <f t="shared" si="78"/>
        <v>C</v>
      </c>
      <c r="U859" s="2">
        <f t="shared" si="79"/>
        <v>346.58333333333331</v>
      </c>
      <c r="V859" s="2">
        <f t="shared" si="80"/>
        <v>11.91987136395915</v>
      </c>
      <c r="W859" s="2">
        <f t="shared" si="81"/>
        <v>3.4392511749822025E-2</v>
      </c>
      <c r="X859" s="2" t="str">
        <f t="shared" si="82"/>
        <v>X</v>
      </c>
      <c r="Y859" s="2" t="str">
        <f t="shared" si="83"/>
        <v>CX</v>
      </c>
    </row>
    <row r="860" spans="1:25" x14ac:dyDescent="0.3">
      <c r="A860" s="2" t="s">
        <v>1675</v>
      </c>
      <c r="B860" s="2" t="s">
        <v>1676</v>
      </c>
      <c r="C860" s="2" t="s">
        <v>36</v>
      </c>
      <c r="D860" s="2">
        <v>348</v>
      </c>
      <c r="E860" s="2">
        <v>311</v>
      </c>
      <c r="F860" s="2">
        <v>345</v>
      </c>
      <c r="G860" s="2">
        <v>375</v>
      </c>
      <c r="H860" s="2">
        <v>354</v>
      </c>
      <c r="I860" s="2">
        <v>287</v>
      </c>
      <c r="J860" s="2">
        <v>352</v>
      </c>
      <c r="K860" s="2">
        <v>328</v>
      </c>
      <c r="L860" s="2">
        <v>347</v>
      </c>
      <c r="M860" s="2">
        <v>387</v>
      </c>
      <c r="N860" s="2">
        <v>349</v>
      </c>
      <c r="O860" s="2">
        <v>339</v>
      </c>
      <c r="P860" s="2">
        <v>4122</v>
      </c>
      <c r="Q860" s="2">
        <v>2</v>
      </c>
      <c r="R860" s="2">
        <v>8244</v>
      </c>
      <c r="S860" s="4">
        <f>SUM($R$2:R860) / SUM($R:$R)</f>
        <v>0.99933156384586641</v>
      </c>
      <c r="T860" s="3" t="str">
        <f t="shared" si="78"/>
        <v>C</v>
      </c>
      <c r="U860" s="2">
        <f t="shared" si="79"/>
        <v>343.5</v>
      </c>
      <c r="V860" s="2">
        <f t="shared" si="80"/>
        <v>26.355954993821864</v>
      </c>
      <c r="W860" s="2">
        <f t="shared" si="81"/>
        <v>7.6727671015493049E-2</v>
      </c>
      <c r="X860" s="2" t="str">
        <f t="shared" si="82"/>
        <v>X</v>
      </c>
      <c r="Y860" s="2" t="str">
        <f t="shared" si="83"/>
        <v>CX</v>
      </c>
    </row>
    <row r="861" spans="1:25" x14ac:dyDescent="0.3">
      <c r="A861" s="2" t="s">
        <v>1793</v>
      </c>
      <c r="B861" s="2" t="s">
        <v>1794</v>
      </c>
      <c r="C861" s="2" t="s">
        <v>56</v>
      </c>
      <c r="D861" s="2">
        <v>82</v>
      </c>
      <c r="E861" s="2">
        <v>61</v>
      </c>
      <c r="F861" s="2">
        <v>62</v>
      </c>
      <c r="G861" s="2">
        <v>68</v>
      </c>
      <c r="H861" s="2">
        <v>66</v>
      </c>
      <c r="I861" s="2">
        <v>65</v>
      </c>
      <c r="J861" s="2">
        <v>68</v>
      </c>
      <c r="K861" s="2">
        <v>82</v>
      </c>
      <c r="L861" s="2">
        <v>69</v>
      </c>
      <c r="M861" s="2">
        <v>71</v>
      </c>
      <c r="N861" s="2">
        <v>73</v>
      </c>
      <c r="O861" s="2">
        <v>52</v>
      </c>
      <c r="P861" s="2">
        <v>819</v>
      </c>
      <c r="Q861" s="2">
        <v>10</v>
      </c>
      <c r="R861" s="2">
        <v>8190</v>
      </c>
      <c r="S861" s="4">
        <f>SUM($R$2:R861) / SUM($R:$R)</f>
        <v>0.9993392017199858</v>
      </c>
      <c r="T861" s="3" t="str">
        <f t="shared" si="78"/>
        <v>C</v>
      </c>
      <c r="U861" s="2">
        <f t="shared" si="79"/>
        <v>68.25</v>
      </c>
      <c r="V861" s="2">
        <f t="shared" si="80"/>
        <v>8.4221029548336794</v>
      </c>
      <c r="W861" s="2">
        <f t="shared" si="81"/>
        <v>0.12340077589499897</v>
      </c>
      <c r="X861" s="2" t="str">
        <f t="shared" si="82"/>
        <v>X</v>
      </c>
      <c r="Y861" s="2" t="str">
        <f t="shared" si="83"/>
        <v>CX</v>
      </c>
    </row>
    <row r="862" spans="1:25" x14ac:dyDescent="0.3">
      <c r="A862" s="2" t="s">
        <v>2021</v>
      </c>
      <c r="B862" s="2" t="s">
        <v>2022</v>
      </c>
      <c r="C862" s="2" t="s">
        <v>36</v>
      </c>
      <c r="D862" s="2">
        <v>357</v>
      </c>
      <c r="E862" s="2">
        <v>378</v>
      </c>
      <c r="F862" s="2">
        <v>351</v>
      </c>
      <c r="G862" s="2">
        <v>362</v>
      </c>
      <c r="H862" s="2">
        <v>330</v>
      </c>
      <c r="I862" s="2">
        <v>352</v>
      </c>
      <c r="J862" s="2">
        <v>312</v>
      </c>
      <c r="K862" s="2">
        <v>337</v>
      </c>
      <c r="L862" s="2">
        <v>327</v>
      </c>
      <c r="M862" s="2">
        <v>299</v>
      </c>
      <c r="N862" s="2">
        <v>336</v>
      </c>
      <c r="O862" s="2">
        <v>331</v>
      </c>
      <c r="P862" s="2">
        <v>4072</v>
      </c>
      <c r="Q862" s="2">
        <v>2</v>
      </c>
      <c r="R862" s="2">
        <v>8144</v>
      </c>
      <c r="S862" s="4">
        <f>SUM($R$2:R862) / SUM($R:$R)</f>
        <v>0.99934679669517856</v>
      </c>
      <c r="T862" s="3" t="str">
        <f t="shared" si="78"/>
        <v>C</v>
      </c>
      <c r="U862" s="2">
        <f t="shared" si="79"/>
        <v>339.33333333333331</v>
      </c>
      <c r="V862" s="2">
        <f t="shared" si="80"/>
        <v>21.9848432637882</v>
      </c>
      <c r="W862" s="2">
        <f t="shared" si="81"/>
        <v>6.4788339677175441E-2</v>
      </c>
      <c r="X862" s="2" t="str">
        <f t="shared" si="82"/>
        <v>X</v>
      </c>
      <c r="Y862" s="2" t="str">
        <f t="shared" si="83"/>
        <v>CX</v>
      </c>
    </row>
    <row r="863" spans="1:25" x14ac:dyDescent="0.3">
      <c r="A863" s="2" t="s">
        <v>879</v>
      </c>
      <c r="B863" s="2" t="s">
        <v>880</v>
      </c>
      <c r="C863" s="2" t="s">
        <v>41</v>
      </c>
      <c r="D863" s="2">
        <v>342</v>
      </c>
      <c r="E863" s="2">
        <v>344</v>
      </c>
      <c r="F863" s="2">
        <v>298</v>
      </c>
      <c r="G863" s="2">
        <v>328</v>
      </c>
      <c r="H863" s="2">
        <v>370</v>
      </c>
      <c r="I863" s="2">
        <v>343</v>
      </c>
      <c r="J863" s="2">
        <v>342</v>
      </c>
      <c r="K863" s="2">
        <v>321</v>
      </c>
      <c r="L863" s="2">
        <v>323</v>
      </c>
      <c r="M863" s="2">
        <v>337</v>
      </c>
      <c r="N863" s="2">
        <v>344</v>
      </c>
      <c r="O863" s="2">
        <v>329</v>
      </c>
      <c r="P863" s="2">
        <v>4021</v>
      </c>
      <c r="Q863" s="2">
        <v>2</v>
      </c>
      <c r="R863" s="2">
        <v>8042</v>
      </c>
      <c r="S863" s="4">
        <f>SUM($R$2:R863) / SUM($R:$R)</f>
        <v>0.99935429654666441</v>
      </c>
      <c r="T863" s="3" t="str">
        <f t="shared" si="78"/>
        <v>C</v>
      </c>
      <c r="U863" s="2">
        <f t="shared" si="79"/>
        <v>335.08333333333331</v>
      </c>
      <c r="V863" s="2">
        <f t="shared" si="80"/>
        <v>17.443197858052045</v>
      </c>
      <c r="W863" s="2">
        <f t="shared" si="81"/>
        <v>5.2056298009605706E-2</v>
      </c>
      <c r="X863" s="2" t="str">
        <f t="shared" si="82"/>
        <v>X</v>
      </c>
      <c r="Y863" s="2" t="str">
        <f t="shared" si="83"/>
        <v>CX</v>
      </c>
    </row>
    <row r="864" spans="1:25" x14ac:dyDescent="0.3">
      <c r="A864" s="2" t="s">
        <v>1501</v>
      </c>
      <c r="B864" s="2" t="s">
        <v>1502</v>
      </c>
      <c r="C864" s="2" t="s">
        <v>36</v>
      </c>
      <c r="D864" s="2">
        <v>393</v>
      </c>
      <c r="E864" s="2">
        <v>288</v>
      </c>
      <c r="F864" s="2">
        <v>311</v>
      </c>
      <c r="G864" s="2">
        <v>347</v>
      </c>
      <c r="H864" s="2">
        <v>323</v>
      </c>
      <c r="I864" s="2">
        <v>324</v>
      </c>
      <c r="J864" s="2">
        <v>330</v>
      </c>
      <c r="K864" s="2">
        <v>322</v>
      </c>
      <c r="L864" s="2">
        <v>371</v>
      </c>
      <c r="M864" s="2">
        <v>347</v>
      </c>
      <c r="N864" s="2">
        <v>315</v>
      </c>
      <c r="O864" s="2">
        <v>337</v>
      </c>
      <c r="P864" s="2">
        <v>4008</v>
      </c>
      <c r="Q864" s="2">
        <v>2</v>
      </c>
      <c r="R864" s="2">
        <v>8016</v>
      </c>
      <c r="S864" s="4">
        <f>SUM($R$2:R864) / SUM($R:$R)</f>
        <v>0.99936177215093069</v>
      </c>
      <c r="T864" s="3" t="str">
        <f t="shared" si="78"/>
        <v>C</v>
      </c>
      <c r="U864" s="2">
        <f t="shared" si="79"/>
        <v>334</v>
      </c>
      <c r="V864" s="2">
        <f t="shared" si="80"/>
        <v>27.934989464176219</v>
      </c>
      <c r="W864" s="2">
        <f t="shared" si="81"/>
        <v>8.363769300651562E-2</v>
      </c>
      <c r="X864" s="2" t="str">
        <f t="shared" si="82"/>
        <v>X</v>
      </c>
      <c r="Y864" s="2" t="str">
        <f t="shared" si="83"/>
        <v>CX</v>
      </c>
    </row>
    <row r="865" spans="1:25" x14ac:dyDescent="0.3">
      <c r="A865" s="2" t="s">
        <v>803</v>
      </c>
      <c r="B865" s="2" t="s">
        <v>804</v>
      </c>
      <c r="C865" s="2" t="s">
        <v>25</v>
      </c>
      <c r="D865" s="2">
        <v>173</v>
      </c>
      <c r="E865" s="2">
        <v>402</v>
      </c>
      <c r="F865" s="2">
        <v>261</v>
      </c>
      <c r="G865" s="2">
        <v>167</v>
      </c>
      <c r="H865" s="2">
        <v>178</v>
      </c>
      <c r="I865" s="2">
        <v>573</v>
      </c>
      <c r="J865" s="2">
        <v>205</v>
      </c>
      <c r="K865" s="2">
        <v>270</v>
      </c>
      <c r="L865" s="2">
        <v>379</v>
      </c>
      <c r="M865" s="2">
        <v>414</v>
      </c>
      <c r="N865" s="2">
        <v>605</v>
      </c>
      <c r="O865" s="2">
        <v>369</v>
      </c>
      <c r="P865" s="2">
        <v>3996</v>
      </c>
      <c r="Q865" s="2">
        <v>2</v>
      </c>
      <c r="R865" s="2">
        <v>7992</v>
      </c>
      <c r="S865" s="4">
        <f>SUM($R$2:R865) / SUM($R:$R)</f>
        <v>0.99936922537314843</v>
      </c>
      <c r="T865" s="3" t="str">
        <f t="shared" si="78"/>
        <v>C</v>
      </c>
      <c r="U865" s="2">
        <f t="shared" si="79"/>
        <v>333</v>
      </c>
      <c r="V865" s="2">
        <f t="shared" si="80"/>
        <v>150.4647346179043</v>
      </c>
      <c r="W865" s="2">
        <f t="shared" si="81"/>
        <v>0.45184604990361649</v>
      </c>
      <c r="X865" s="2" t="str">
        <f t="shared" si="82"/>
        <v>Y</v>
      </c>
      <c r="Y865" s="2" t="str">
        <f t="shared" si="83"/>
        <v>CY</v>
      </c>
    </row>
    <row r="866" spans="1:25" x14ac:dyDescent="0.3">
      <c r="A866" s="2" t="s">
        <v>623</v>
      </c>
      <c r="B866" s="2" t="s">
        <v>624</v>
      </c>
      <c r="C866" s="2" t="s">
        <v>41</v>
      </c>
      <c r="D866" s="2">
        <v>311</v>
      </c>
      <c r="E866" s="2">
        <v>331</v>
      </c>
      <c r="F866" s="2">
        <v>365</v>
      </c>
      <c r="G866" s="2">
        <v>356</v>
      </c>
      <c r="H866" s="2">
        <v>336</v>
      </c>
      <c r="I866" s="2">
        <v>337</v>
      </c>
      <c r="J866" s="2">
        <v>329</v>
      </c>
      <c r="K866" s="2">
        <v>300</v>
      </c>
      <c r="L866" s="2">
        <v>304</v>
      </c>
      <c r="M866" s="2">
        <v>338</v>
      </c>
      <c r="N866" s="2">
        <v>321</v>
      </c>
      <c r="O866" s="2">
        <v>356</v>
      </c>
      <c r="P866" s="2">
        <v>3984</v>
      </c>
      <c r="Q866" s="2">
        <v>2</v>
      </c>
      <c r="R866" s="2">
        <v>7968</v>
      </c>
      <c r="S866" s="4">
        <f>SUM($R$2:R866) / SUM($R:$R)</f>
        <v>0.99937665621331728</v>
      </c>
      <c r="T866" s="3" t="str">
        <f t="shared" si="78"/>
        <v>C</v>
      </c>
      <c r="U866" s="2">
        <f t="shared" si="79"/>
        <v>332</v>
      </c>
      <c r="V866" s="2">
        <f t="shared" si="80"/>
        <v>20.666177902333782</v>
      </c>
      <c r="W866" s="2">
        <f t="shared" si="81"/>
        <v>6.2247523802210186E-2</v>
      </c>
      <c r="X866" s="2" t="str">
        <f t="shared" si="82"/>
        <v>X</v>
      </c>
      <c r="Y866" s="2" t="str">
        <f t="shared" si="83"/>
        <v>CX</v>
      </c>
    </row>
    <row r="867" spans="1:25" x14ac:dyDescent="0.3">
      <c r="A867" s="2" t="s">
        <v>967</v>
      </c>
      <c r="B867" s="2" t="s">
        <v>968</v>
      </c>
      <c r="C867" s="2" t="s">
        <v>56</v>
      </c>
      <c r="D867" s="2">
        <v>318</v>
      </c>
      <c r="E867" s="2">
        <v>332</v>
      </c>
      <c r="F867" s="2">
        <v>324</v>
      </c>
      <c r="G867" s="2">
        <v>328</v>
      </c>
      <c r="H867" s="2">
        <v>320</v>
      </c>
      <c r="I867" s="2">
        <v>328</v>
      </c>
      <c r="J867" s="2">
        <v>323</v>
      </c>
      <c r="K867" s="2">
        <v>343</v>
      </c>
      <c r="L867" s="2">
        <v>371</v>
      </c>
      <c r="M867" s="2">
        <v>342</v>
      </c>
      <c r="N867" s="2">
        <v>307</v>
      </c>
      <c r="O867" s="2">
        <v>334</v>
      </c>
      <c r="P867" s="2">
        <v>3970</v>
      </c>
      <c r="Q867" s="2">
        <v>2</v>
      </c>
      <c r="R867" s="2">
        <v>7940</v>
      </c>
      <c r="S867" s="4">
        <f>SUM($R$2:R867) / SUM($R:$R)</f>
        <v>0.99938406094109611</v>
      </c>
      <c r="T867" s="3" t="str">
        <f t="shared" si="78"/>
        <v>C</v>
      </c>
      <c r="U867" s="2">
        <f t="shared" si="79"/>
        <v>330.83333333333331</v>
      </c>
      <c r="V867" s="2">
        <f t="shared" si="80"/>
        <v>16.157370023014455</v>
      </c>
      <c r="W867" s="2">
        <f t="shared" si="81"/>
        <v>4.8838398054451754E-2</v>
      </c>
      <c r="X867" s="2" t="str">
        <f t="shared" si="82"/>
        <v>X</v>
      </c>
      <c r="Y867" s="2" t="str">
        <f t="shared" si="83"/>
        <v>CX</v>
      </c>
    </row>
    <row r="868" spans="1:25" x14ac:dyDescent="0.3">
      <c r="A868" s="2" t="s">
        <v>287</v>
      </c>
      <c r="B868" s="2" t="s">
        <v>288</v>
      </c>
      <c r="C868" s="2" t="s">
        <v>36</v>
      </c>
      <c r="D868" s="2">
        <v>356</v>
      </c>
      <c r="E868" s="2">
        <v>332</v>
      </c>
      <c r="F868" s="2">
        <v>355</v>
      </c>
      <c r="G868" s="2">
        <v>301</v>
      </c>
      <c r="H868" s="2">
        <v>317</v>
      </c>
      <c r="I868" s="2">
        <v>335</v>
      </c>
      <c r="J868" s="2">
        <v>333</v>
      </c>
      <c r="K868" s="2">
        <v>318</v>
      </c>
      <c r="L868" s="2">
        <v>314</v>
      </c>
      <c r="M868" s="2">
        <v>307</v>
      </c>
      <c r="N868" s="2">
        <v>345</v>
      </c>
      <c r="O868" s="2">
        <v>346</v>
      </c>
      <c r="P868" s="2">
        <v>3959</v>
      </c>
      <c r="Q868" s="2">
        <v>2</v>
      </c>
      <c r="R868" s="2">
        <v>7918</v>
      </c>
      <c r="S868" s="4">
        <f>SUM($R$2:R868) / SUM($R:$R)</f>
        <v>0.99939144515199696</v>
      </c>
      <c r="T868" s="3" t="str">
        <f t="shared" si="78"/>
        <v>C</v>
      </c>
      <c r="U868" s="2">
        <f t="shared" si="79"/>
        <v>329.91666666666669</v>
      </c>
      <c r="V868" s="2">
        <f t="shared" si="80"/>
        <v>18.485661929444046</v>
      </c>
      <c r="W868" s="2">
        <f t="shared" si="81"/>
        <v>5.6031306681820797E-2</v>
      </c>
      <c r="X868" s="2" t="str">
        <f t="shared" si="82"/>
        <v>X</v>
      </c>
      <c r="Y868" s="2" t="str">
        <f t="shared" si="83"/>
        <v>CX</v>
      </c>
    </row>
    <row r="869" spans="1:25" x14ac:dyDescent="0.3">
      <c r="A869" s="2" t="s">
        <v>815</v>
      </c>
      <c r="B869" s="2" t="s">
        <v>816</v>
      </c>
      <c r="C869" s="2" t="s">
        <v>41</v>
      </c>
      <c r="D869" s="2">
        <v>71</v>
      </c>
      <c r="E869" s="2">
        <v>64</v>
      </c>
      <c r="F869" s="2">
        <v>74</v>
      </c>
      <c r="G869" s="2">
        <v>53</v>
      </c>
      <c r="H869" s="2">
        <v>66</v>
      </c>
      <c r="I869" s="2">
        <v>69</v>
      </c>
      <c r="J869" s="2">
        <v>58</v>
      </c>
      <c r="K869" s="2">
        <v>69</v>
      </c>
      <c r="L869" s="2">
        <v>67</v>
      </c>
      <c r="M869" s="2">
        <v>69</v>
      </c>
      <c r="N869" s="2">
        <v>62</v>
      </c>
      <c r="O869" s="2">
        <v>61</v>
      </c>
      <c r="P869" s="2">
        <v>783</v>
      </c>
      <c r="Q869" s="2">
        <v>10</v>
      </c>
      <c r="R869" s="2">
        <v>7830</v>
      </c>
      <c r="S869" s="4">
        <f>SUM($R$2:R869) / SUM($R:$R)</f>
        <v>0.99939874729538591</v>
      </c>
      <c r="T869" s="3" t="str">
        <f t="shared" si="78"/>
        <v>C</v>
      </c>
      <c r="U869" s="2">
        <f t="shared" si="79"/>
        <v>65.25</v>
      </c>
      <c r="V869" s="2">
        <f t="shared" si="80"/>
        <v>5.9409977735608139</v>
      </c>
      <c r="W869" s="2">
        <f t="shared" si="81"/>
        <v>9.104977430744543E-2</v>
      </c>
      <c r="X869" s="2" t="str">
        <f t="shared" si="82"/>
        <v>X</v>
      </c>
      <c r="Y869" s="2" t="str">
        <f t="shared" si="83"/>
        <v>CX</v>
      </c>
    </row>
    <row r="870" spans="1:25" x14ac:dyDescent="0.3">
      <c r="A870" s="2" t="s">
        <v>773</v>
      </c>
      <c r="B870" s="2" t="s">
        <v>774</v>
      </c>
      <c r="C870" s="2" t="s">
        <v>41</v>
      </c>
      <c r="D870" s="2">
        <v>321</v>
      </c>
      <c r="E870" s="2">
        <v>314</v>
      </c>
      <c r="F870" s="2">
        <v>324</v>
      </c>
      <c r="G870" s="2">
        <v>335</v>
      </c>
      <c r="H870" s="2">
        <v>316</v>
      </c>
      <c r="I870" s="2">
        <v>330</v>
      </c>
      <c r="J870" s="2">
        <v>332</v>
      </c>
      <c r="K870" s="2">
        <v>301</v>
      </c>
      <c r="L870" s="2">
        <v>315</v>
      </c>
      <c r="M870" s="2">
        <v>347</v>
      </c>
      <c r="N870" s="2">
        <v>351</v>
      </c>
      <c r="O870" s="2">
        <v>327</v>
      </c>
      <c r="P870" s="2">
        <v>3913</v>
      </c>
      <c r="Q870" s="2">
        <v>2</v>
      </c>
      <c r="R870" s="2">
        <v>7826</v>
      </c>
      <c r="S870" s="4">
        <f>SUM($R$2:R870) / SUM($R:$R)</f>
        <v>0.99940604570843339</v>
      </c>
      <c r="T870" s="3" t="str">
        <f t="shared" si="78"/>
        <v>C</v>
      </c>
      <c r="U870" s="2">
        <f t="shared" si="79"/>
        <v>326.08333333333331</v>
      </c>
      <c r="V870" s="2">
        <f t="shared" si="80"/>
        <v>14.202805954095725</v>
      </c>
      <c r="W870" s="2">
        <f t="shared" si="81"/>
        <v>4.3555755545399616E-2</v>
      </c>
      <c r="X870" s="2" t="str">
        <f t="shared" si="82"/>
        <v>X</v>
      </c>
      <c r="Y870" s="2" t="str">
        <f t="shared" si="83"/>
        <v>CX</v>
      </c>
    </row>
    <row r="871" spans="1:25" x14ac:dyDescent="0.3">
      <c r="A871" s="2" t="s">
        <v>605</v>
      </c>
      <c r="B871" s="2" t="s">
        <v>606</v>
      </c>
      <c r="C871" s="2" t="s">
        <v>56</v>
      </c>
      <c r="D871" s="2">
        <v>304</v>
      </c>
      <c r="E871" s="2">
        <v>328</v>
      </c>
      <c r="F871" s="2">
        <v>321</v>
      </c>
      <c r="G871" s="2">
        <v>328</v>
      </c>
      <c r="H871" s="2">
        <v>329</v>
      </c>
      <c r="I871" s="2">
        <v>336</v>
      </c>
      <c r="J871" s="2">
        <v>337</v>
      </c>
      <c r="K871" s="2">
        <v>329</v>
      </c>
      <c r="L871" s="2">
        <v>313</v>
      </c>
      <c r="M871" s="2">
        <v>299</v>
      </c>
      <c r="N871" s="2">
        <v>337</v>
      </c>
      <c r="O871" s="2">
        <v>336</v>
      </c>
      <c r="P871" s="2">
        <v>3897</v>
      </c>
      <c r="Q871" s="2">
        <v>2</v>
      </c>
      <c r="R871" s="2">
        <v>7794</v>
      </c>
      <c r="S871" s="4">
        <f>SUM($R$2:R871) / SUM($R:$R)</f>
        <v>0.99941331427874924</v>
      </c>
      <c r="T871" s="3" t="str">
        <f t="shared" si="78"/>
        <v>C</v>
      </c>
      <c r="U871" s="2">
        <f t="shared" si="79"/>
        <v>324.75</v>
      </c>
      <c r="V871" s="2">
        <f t="shared" si="80"/>
        <v>12.99038105676658</v>
      </c>
      <c r="W871" s="2">
        <f t="shared" si="81"/>
        <v>4.0001173384962528E-2</v>
      </c>
      <c r="X871" s="2" t="str">
        <f t="shared" si="82"/>
        <v>X</v>
      </c>
      <c r="Y871" s="2" t="str">
        <f t="shared" si="83"/>
        <v>CX</v>
      </c>
    </row>
    <row r="872" spans="1:25" x14ac:dyDescent="0.3">
      <c r="A872" s="2" t="s">
        <v>1713</v>
      </c>
      <c r="B872" s="2" t="s">
        <v>1714</v>
      </c>
      <c r="C872" s="2" t="s">
        <v>41</v>
      </c>
      <c r="D872" s="2">
        <v>49</v>
      </c>
      <c r="E872" s="2">
        <v>57</v>
      </c>
      <c r="F872" s="2">
        <v>76</v>
      </c>
      <c r="G872" s="2">
        <v>56</v>
      </c>
      <c r="H872" s="2">
        <v>75</v>
      </c>
      <c r="I872" s="2">
        <v>74</v>
      </c>
      <c r="J872" s="2">
        <v>58</v>
      </c>
      <c r="K872" s="2">
        <v>59</v>
      </c>
      <c r="L872" s="2">
        <v>60</v>
      </c>
      <c r="M872" s="2">
        <v>66</v>
      </c>
      <c r="N872" s="2">
        <v>74</v>
      </c>
      <c r="O872" s="2">
        <v>75</v>
      </c>
      <c r="P872" s="2">
        <v>779</v>
      </c>
      <c r="Q872" s="2">
        <v>10</v>
      </c>
      <c r="R872" s="2">
        <v>7790</v>
      </c>
      <c r="S872" s="4">
        <f>SUM($R$2:R872) / SUM($R:$R)</f>
        <v>0.99942057911872362</v>
      </c>
      <c r="T872" s="3" t="str">
        <f t="shared" si="78"/>
        <v>C</v>
      </c>
      <c r="U872" s="2">
        <f t="shared" si="79"/>
        <v>64.916666666666671</v>
      </c>
      <c r="V872" s="2">
        <f t="shared" si="80"/>
        <v>9.510361175947498</v>
      </c>
      <c r="W872" s="2">
        <f t="shared" si="81"/>
        <v>0.14650107074630292</v>
      </c>
      <c r="X872" s="2" t="str">
        <f t="shared" si="82"/>
        <v>X</v>
      </c>
      <c r="Y872" s="2" t="str">
        <f t="shared" si="83"/>
        <v>CX</v>
      </c>
    </row>
    <row r="873" spans="1:25" x14ac:dyDescent="0.3">
      <c r="A873" s="2" t="s">
        <v>643</v>
      </c>
      <c r="B873" s="2" t="s">
        <v>644</v>
      </c>
      <c r="C873" s="2" t="s">
        <v>41</v>
      </c>
      <c r="D873" s="2">
        <v>342</v>
      </c>
      <c r="E873" s="2">
        <v>344</v>
      </c>
      <c r="F873" s="2">
        <v>328</v>
      </c>
      <c r="G873" s="2">
        <v>302</v>
      </c>
      <c r="H873" s="2">
        <v>322</v>
      </c>
      <c r="I873" s="2">
        <v>333</v>
      </c>
      <c r="J873" s="2">
        <v>316</v>
      </c>
      <c r="K873" s="2">
        <v>298</v>
      </c>
      <c r="L873" s="2">
        <v>323</v>
      </c>
      <c r="M873" s="2">
        <v>309</v>
      </c>
      <c r="N873" s="2">
        <v>346</v>
      </c>
      <c r="O873" s="2">
        <v>329</v>
      </c>
      <c r="P873" s="2">
        <v>3892</v>
      </c>
      <c r="Q873" s="2">
        <v>2</v>
      </c>
      <c r="R873" s="2">
        <v>7784</v>
      </c>
      <c r="S873" s="4">
        <f>SUM($R$2:R873) / SUM($R:$R)</f>
        <v>0.99942783836318583</v>
      </c>
      <c r="T873" s="3" t="str">
        <f t="shared" si="78"/>
        <v>C</v>
      </c>
      <c r="U873" s="2">
        <f t="shared" si="79"/>
        <v>324.33333333333331</v>
      </c>
      <c r="V873" s="2">
        <f t="shared" si="80"/>
        <v>15.9050211244656</v>
      </c>
      <c r="W873" s="2">
        <f t="shared" si="81"/>
        <v>4.9039119602668865E-2</v>
      </c>
      <c r="X873" s="2" t="str">
        <f t="shared" si="82"/>
        <v>X</v>
      </c>
      <c r="Y873" s="2" t="str">
        <f t="shared" si="83"/>
        <v>CX</v>
      </c>
    </row>
    <row r="874" spans="1:25" x14ac:dyDescent="0.3">
      <c r="A874" s="2" t="s">
        <v>1587</v>
      </c>
      <c r="B874" s="2" t="s">
        <v>1588</v>
      </c>
      <c r="C874" s="2" t="s">
        <v>56</v>
      </c>
      <c r="D874" s="2">
        <v>361</v>
      </c>
      <c r="E874" s="2">
        <v>313</v>
      </c>
      <c r="F874" s="2">
        <v>316</v>
      </c>
      <c r="G874" s="2">
        <v>335</v>
      </c>
      <c r="H874" s="2">
        <v>297</v>
      </c>
      <c r="I874" s="2">
        <v>322</v>
      </c>
      <c r="J874" s="2">
        <v>311</v>
      </c>
      <c r="K874" s="2">
        <v>342</v>
      </c>
      <c r="L874" s="2">
        <v>316</v>
      </c>
      <c r="M874" s="2">
        <v>283</v>
      </c>
      <c r="N874" s="2">
        <v>309</v>
      </c>
      <c r="O874" s="2">
        <v>352</v>
      </c>
      <c r="P874" s="2">
        <v>3857</v>
      </c>
      <c r="Q874" s="2">
        <v>2</v>
      </c>
      <c r="R874" s="2">
        <v>7714</v>
      </c>
      <c r="S874" s="4">
        <f>SUM($R$2:R874) / SUM($R:$R)</f>
        <v>0.99943503232667275</v>
      </c>
      <c r="T874" s="3" t="str">
        <f t="shared" si="78"/>
        <v>C</v>
      </c>
      <c r="U874" s="2">
        <f t="shared" si="79"/>
        <v>321.41666666666669</v>
      </c>
      <c r="V874" s="2">
        <f t="shared" si="80"/>
        <v>22.512454465486567</v>
      </c>
      <c r="W874" s="2">
        <f t="shared" si="81"/>
        <v>7.0041341349711891E-2</v>
      </c>
      <c r="X874" s="2" t="str">
        <f t="shared" si="82"/>
        <v>X</v>
      </c>
      <c r="Y874" s="2" t="str">
        <f t="shared" si="83"/>
        <v>CX</v>
      </c>
    </row>
    <row r="875" spans="1:25" x14ac:dyDescent="0.3">
      <c r="A875" s="2" t="s">
        <v>1699</v>
      </c>
      <c r="B875" s="2" t="s">
        <v>1700</v>
      </c>
      <c r="C875" s="2" t="s">
        <v>25</v>
      </c>
      <c r="D875" s="2">
        <v>283</v>
      </c>
      <c r="E875" s="2">
        <v>196</v>
      </c>
      <c r="F875" s="2">
        <v>421</v>
      </c>
      <c r="G875" s="2">
        <v>65</v>
      </c>
      <c r="H875" s="2">
        <v>200</v>
      </c>
      <c r="I875" s="2">
        <v>214</v>
      </c>
      <c r="J875" s="2">
        <v>309</v>
      </c>
      <c r="K875" s="2">
        <v>520</v>
      </c>
      <c r="L875" s="2">
        <v>154</v>
      </c>
      <c r="M875" s="2">
        <v>603</v>
      </c>
      <c r="N875" s="2">
        <v>611</v>
      </c>
      <c r="O875" s="2">
        <v>266</v>
      </c>
      <c r="P875" s="2">
        <v>3842</v>
      </c>
      <c r="Q875" s="2">
        <v>2</v>
      </c>
      <c r="R875" s="2">
        <v>7684</v>
      </c>
      <c r="S875" s="4">
        <f>SUM($R$2:R875) / SUM($R:$R)</f>
        <v>0.99944219831259873</v>
      </c>
      <c r="T875" s="3" t="str">
        <f t="shared" si="78"/>
        <v>C</v>
      </c>
      <c r="U875" s="2">
        <f t="shared" si="79"/>
        <v>320.16666666666669</v>
      </c>
      <c r="V875" s="2">
        <f t="shared" si="80"/>
        <v>179.1316597230973</v>
      </c>
      <c r="W875" s="2">
        <f t="shared" si="81"/>
        <v>0.55949503297167291</v>
      </c>
      <c r="X875" s="2" t="str">
        <f t="shared" si="82"/>
        <v>Z</v>
      </c>
      <c r="Y875" s="2" t="str">
        <f t="shared" si="83"/>
        <v>CZ</v>
      </c>
    </row>
    <row r="876" spans="1:25" x14ac:dyDescent="0.3">
      <c r="A876" s="2" t="s">
        <v>819</v>
      </c>
      <c r="B876" s="2" t="s">
        <v>820</v>
      </c>
      <c r="C876" s="2" t="s">
        <v>36</v>
      </c>
      <c r="D876" s="2">
        <v>322</v>
      </c>
      <c r="E876" s="2">
        <v>350</v>
      </c>
      <c r="F876" s="2">
        <v>299</v>
      </c>
      <c r="G876" s="2">
        <v>322</v>
      </c>
      <c r="H876" s="2">
        <v>330</v>
      </c>
      <c r="I876" s="2">
        <v>288</v>
      </c>
      <c r="J876" s="2">
        <v>309</v>
      </c>
      <c r="K876" s="2">
        <v>342</v>
      </c>
      <c r="L876" s="2">
        <v>337</v>
      </c>
      <c r="M876" s="2">
        <v>292</v>
      </c>
      <c r="N876" s="2">
        <v>328</v>
      </c>
      <c r="O876" s="2">
        <v>315</v>
      </c>
      <c r="P876" s="2">
        <v>3834</v>
      </c>
      <c r="Q876" s="2">
        <v>2</v>
      </c>
      <c r="R876" s="2">
        <v>7668</v>
      </c>
      <c r="S876" s="4">
        <f>SUM($R$2:R876) / SUM($R:$R)</f>
        <v>0.9994493493771589</v>
      </c>
      <c r="T876" s="3" t="str">
        <f t="shared" si="78"/>
        <v>C</v>
      </c>
      <c r="U876" s="2">
        <f t="shared" si="79"/>
        <v>319.5</v>
      </c>
      <c r="V876" s="2">
        <f t="shared" si="80"/>
        <v>19.626049479755679</v>
      </c>
      <c r="W876" s="2">
        <f t="shared" si="81"/>
        <v>6.1427384913163317E-2</v>
      </c>
      <c r="X876" s="2" t="str">
        <f t="shared" si="82"/>
        <v>X</v>
      </c>
      <c r="Y876" s="2" t="str">
        <f t="shared" si="83"/>
        <v>CX</v>
      </c>
    </row>
    <row r="877" spans="1:25" x14ac:dyDescent="0.3">
      <c r="A877" s="2" t="s">
        <v>917</v>
      </c>
      <c r="B877" s="2" t="s">
        <v>918</v>
      </c>
      <c r="C877" s="2" t="s">
        <v>36</v>
      </c>
      <c r="D877" s="2">
        <v>346</v>
      </c>
      <c r="E877" s="2">
        <v>322</v>
      </c>
      <c r="F877" s="2">
        <v>328</v>
      </c>
      <c r="G877" s="2">
        <v>336</v>
      </c>
      <c r="H877" s="2">
        <v>319</v>
      </c>
      <c r="I877" s="2">
        <v>329</v>
      </c>
      <c r="J877" s="2">
        <v>299</v>
      </c>
      <c r="K877" s="2">
        <v>289</v>
      </c>
      <c r="L877" s="2">
        <v>299</v>
      </c>
      <c r="M877" s="2">
        <v>324</v>
      </c>
      <c r="N877" s="2">
        <v>325</v>
      </c>
      <c r="O877" s="2">
        <v>316</v>
      </c>
      <c r="P877" s="2">
        <v>3832</v>
      </c>
      <c r="Q877" s="2">
        <v>2</v>
      </c>
      <c r="R877" s="2">
        <v>7664</v>
      </c>
      <c r="S877" s="4">
        <f>SUM($R$2:R877) / SUM($R:$R)</f>
        <v>0.9994564967113776</v>
      </c>
      <c r="T877" s="3" t="str">
        <f t="shared" si="78"/>
        <v>C</v>
      </c>
      <c r="U877" s="2">
        <f t="shared" si="79"/>
        <v>319.33333333333331</v>
      </c>
      <c r="V877" s="2">
        <f t="shared" si="80"/>
        <v>16.450108224752217</v>
      </c>
      <c r="W877" s="2">
        <f t="shared" si="81"/>
        <v>5.1513908845779388E-2</v>
      </c>
      <c r="X877" s="2" t="str">
        <f t="shared" si="82"/>
        <v>X</v>
      </c>
      <c r="Y877" s="2" t="str">
        <f t="shared" si="83"/>
        <v>CX</v>
      </c>
    </row>
    <row r="878" spans="1:25" x14ac:dyDescent="0.3">
      <c r="A878" s="2" t="s">
        <v>1239</v>
      </c>
      <c r="B878" s="2" t="s">
        <v>1240</v>
      </c>
      <c r="C878" s="2" t="s">
        <v>56</v>
      </c>
      <c r="D878" s="2">
        <v>337</v>
      </c>
      <c r="E878" s="2">
        <v>327</v>
      </c>
      <c r="F878" s="2">
        <v>351</v>
      </c>
      <c r="G878" s="2">
        <v>300</v>
      </c>
      <c r="H878" s="2">
        <v>312</v>
      </c>
      <c r="I878" s="2">
        <v>314</v>
      </c>
      <c r="J878" s="2">
        <v>304</v>
      </c>
      <c r="K878" s="2">
        <v>306</v>
      </c>
      <c r="L878" s="2">
        <v>284</v>
      </c>
      <c r="M878" s="2">
        <v>307</v>
      </c>
      <c r="N878" s="2">
        <v>333</v>
      </c>
      <c r="O878" s="2">
        <v>341</v>
      </c>
      <c r="P878" s="2">
        <v>3816</v>
      </c>
      <c r="Q878" s="2">
        <v>2</v>
      </c>
      <c r="R878" s="2">
        <v>7632</v>
      </c>
      <c r="S878" s="4">
        <f>SUM($R$2:R878) / SUM($R:$R)</f>
        <v>0.99946361420286478</v>
      </c>
      <c r="T878" s="3" t="str">
        <f t="shared" si="78"/>
        <v>C</v>
      </c>
      <c r="U878" s="2">
        <f t="shared" si="79"/>
        <v>318</v>
      </c>
      <c r="V878" s="2">
        <f t="shared" si="80"/>
        <v>19.720778151713258</v>
      </c>
      <c r="W878" s="2">
        <f t="shared" si="81"/>
        <v>6.2015025634318419E-2</v>
      </c>
      <c r="X878" s="2" t="str">
        <f t="shared" si="82"/>
        <v>X</v>
      </c>
      <c r="Y878" s="2" t="str">
        <f t="shared" si="83"/>
        <v>CX</v>
      </c>
    </row>
    <row r="879" spans="1:25" x14ac:dyDescent="0.3">
      <c r="A879" s="2" t="s">
        <v>143</v>
      </c>
      <c r="B879" s="2" t="s">
        <v>144</v>
      </c>
      <c r="C879" s="2" t="s">
        <v>25</v>
      </c>
      <c r="D879" s="2">
        <v>254</v>
      </c>
      <c r="E879" s="2">
        <v>20</v>
      </c>
      <c r="F879" s="2">
        <v>308</v>
      </c>
      <c r="G879" s="2">
        <v>399</v>
      </c>
      <c r="H879" s="2">
        <v>156</v>
      </c>
      <c r="I879" s="2">
        <v>193</v>
      </c>
      <c r="J879" s="2">
        <v>213</v>
      </c>
      <c r="K879" s="2">
        <v>404</v>
      </c>
      <c r="L879" s="2">
        <v>521</v>
      </c>
      <c r="M879" s="2">
        <v>311</v>
      </c>
      <c r="N879" s="2">
        <v>540</v>
      </c>
      <c r="O879" s="2">
        <v>489</v>
      </c>
      <c r="P879" s="2">
        <v>3808</v>
      </c>
      <c r="Q879" s="2">
        <v>2</v>
      </c>
      <c r="R879" s="2">
        <v>7616</v>
      </c>
      <c r="S879" s="4">
        <f>SUM($R$2:R879) / SUM($R:$R)</f>
        <v>0.99947071677298605</v>
      </c>
      <c r="T879" s="3" t="str">
        <f t="shared" si="78"/>
        <v>C</v>
      </c>
      <c r="U879" s="2">
        <f t="shared" si="79"/>
        <v>317.33333333333331</v>
      </c>
      <c r="V879" s="2">
        <f t="shared" si="80"/>
        <v>159.43897854285157</v>
      </c>
      <c r="W879" s="2">
        <f t="shared" si="81"/>
        <v>0.5024337559123474</v>
      </c>
      <c r="X879" s="2" t="str">
        <f t="shared" si="82"/>
        <v>Z</v>
      </c>
      <c r="Y879" s="2" t="str">
        <f t="shared" si="83"/>
        <v>CZ</v>
      </c>
    </row>
    <row r="880" spans="1:25" x14ac:dyDescent="0.3">
      <c r="A880" s="2" t="s">
        <v>775</v>
      </c>
      <c r="B880" s="2" t="s">
        <v>776</v>
      </c>
      <c r="C880" s="2" t="s">
        <v>36</v>
      </c>
      <c r="D880" s="2">
        <v>342</v>
      </c>
      <c r="E880" s="2">
        <v>306</v>
      </c>
      <c r="F880" s="2">
        <v>298</v>
      </c>
      <c r="G880" s="2">
        <v>309</v>
      </c>
      <c r="H880" s="2">
        <v>347</v>
      </c>
      <c r="I880" s="2">
        <v>283</v>
      </c>
      <c r="J880" s="2">
        <v>308</v>
      </c>
      <c r="K880" s="2">
        <v>340</v>
      </c>
      <c r="L880" s="2">
        <v>329</v>
      </c>
      <c r="M880" s="2">
        <v>331</v>
      </c>
      <c r="N880" s="2">
        <v>292</v>
      </c>
      <c r="O880" s="2">
        <v>313</v>
      </c>
      <c r="P880" s="2">
        <v>3798</v>
      </c>
      <c r="Q880" s="2">
        <v>2</v>
      </c>
      <c r="R880" s="2">
        <v>7596</v>
      </c>
      <c r="S880" s="4">
        <f>SUM($R$2:R880) / SUM($R:$R)</f>
        <v>0.99947780069140013</v>
      </c>
      <c r="T880" s="3" t="str">
        <f t="shared" si="78"/>
        <v>C</v>
      </c>
      <c r="U880" s="2">
        <f t="shared" si="79"/>
        <v>316.5</v>
      </c>
      <c r="V880" s="2">
        <f t="shared" si="80"/>
        <v>20.921932815284364</v>
      </c>
      <c r="W880" s="2">
        <f t="shared" si="81"/>
        <v>6.6104053128860557E-2</v>
      </c>
      <c r="X880" s="2" t="str">
        <f t="shared" si="82"/>
        <v>X</v>
      </c>
      <c r="Y880" s="2" t="str">
        <f t="shared" si="83"/>
        <v>CX</v>
      </c>
    </row>
    <row r="881" spans="1:25" x14ac:dyDescent="0.3">
      <c r="A881" s="2" t="s">
        <v>353</v>
      </c>
      <c r="B881" s="2" t="s">
        <v>354</v>
      </c>
      <c r="C881" s="2" t="s">
        <v>25</v>
      </c>
      <c r="D881" s="2">
        <v>179</v>
      </c>
      <c r="E881" s="2">
        <v>328</v>
      </c>
      <c r="F881" s="2">
        <v>466</v>
      </c>
      <c r="G881" s="2">
        <v>300</v>
      </c>
      <c r="H881" s="2">
        <v>618</v>
      </c>
      <c r="I881" s="2">
        <v>233</v>
      </c>
      <c r="J881" s="2">
        <v>120</v>
      </c>
      <c r="K881" s="2">
        <v>475</v>
      </c>
      <c r="L881" s="2">
        <v>410</v>
      </c>
      <c r="M881" s="2">
        <v>110</v>
      </c>
      <c r="N881" s="2">
        <v>247</v>
      </c>
      <c r="O881" s="2">
        <v>299</v>
      </c>
      <c r="P881" s="2">
        <v>3785</v>
      </c>
      <c r="Q881" s="2">
        <v>2</v>
      </c>
      <c r="R881" s="2">
        <v>7570</v>
      </c>
      <c r="S881" s="4">
        <f>SUM($R$2:R881) / SUM($R:$R)</f>
        <v>0.99948486036259476</v>
      </c>
      <c r="T881" s="3" t="str">
        <f t="shared" si="78"/>
        <v>C</v>
      </c>
      <c r="U881" s="2">
        <f t="shared" si="79"/>
        <v>315.41666666666669</v>
      </c>
      <c r="V881" s="2">
        <f t="shared" si="80"/>
        <v>153.67525283315248</v>
      </c>
      <c r="W881" s="2">
        <f t="shared" si="81"/>
        <v>0.48721348322267627</v>
      </c>
      <c r="X881" s="2" t="str">
        <f t="shared" si="82"/>
        <v>Y</v>
      </c>
      <c r="Y881" s="2" t="str">
        <f t="shared" si="83"/>
        <v>CY</v>
      </c>
    </row>
    <row r="882" spans="1:25" x14ac:dyDescent="0.3">
      <c r="A882" s="2" t="s">
        <v>321</v>
      </c>
      <c r="B882" s="2" t="s">
        <v>322</v>
      </c>
      <c r="C882" s="2" t="s">
        <v>41</v>
      </c>
      <c r="D882" s="2">
        <v>336</v>
      </c>
      <c r="E882" s="2">
        <v>287</v>
      </c>
      <c r="F882" s="2">
        <v>310</v>
      </c>
      <c r="G882" s="2">
        <v>326</v>
      </c>
      <c r="H882" s="2">
        <v>314</v>
      </c>
      <c r="I882" s="2">
        <v>297</v>
      </c>
      <c r="J882" s="2">
        <v>325</v>
      </c>
      <c r="K882" s="2">
        <v>350</v>
      </c>
      <c r="L882" s="2">
        <v>277</v>
      </c>
      <c r="M882" s="2">
        <v>323</v>
      </c>
      <c r="N882" s="2">
        <v>319</v>
      </c>
      <c r="O882" s="2">
        <v>307</v>
      </c>
      <c r="P882" s="2">
        <v>3771</v>
      </c>
      <c r="Q882" s="2">
        <v>2</v>
      </c>
      <c r="R882" s="2">
        <v>7542</v>
      </c>
      <c r="S882" s="4">
        <f>SUM($R$2:R882) / SUM($R:$R)</f>
        <v>0.99949189392139925</v>
      </c>
      <c r="T882" s="3" t="str">
        <f t="shared" si="78"/>
        <v>C</v>
      </c>
      <c r="U882" s="2">
        <f t="shared" si="79"/>
        <v>314.25</v>
      </c>
      <c r="V882" s="2">
        <f t="shared" si="80"/>
        <v>20.454494949432597</v>
      </c>
      <c r="W882" s="2">
        <f t="shared" si="81"/>
        <v>6.5089880507343184E-2</v>
      </c>
      <c r="X882" s="2" t="str">
        <f t="shared" si="82"/>
        <v>X</v>
      </c>
      <c r="Y882" s="2" t="str">
        <f t="shared" si="83"/>
        <v>CX</v>
      </c>
    </row>
    <row r="883" spans="1:25" x14ac:dyDescent="0.3">
      <c r="A883" s="2" t="s">
        <v>339</v>
      </c>
      <c r="B883" s="2" t="s">
        <v>340</v>
      </c>
      <c r="C883" s="2" t="s">
        <v>56</v>
      </c>
      <c r="D883" s="2">
        <v>332</v>
      </c>
      <c r="E883" s="2">
        <v>293</v>
      </c>
      <c r="F883" s="2">
        <v>323</v>
      </c>
      <c r="G883" s="2">
        <v>317</v>
      </c>
      <c r="H883" s="2">
        <v>304</v>
      </c>
      <c r="I883" s="2">
        <v>334</v>
      </c>
      <c r="J883" s="2">
        <v>345</v>
      </c>
      <c r="K883" s="2">
        <v>307</v>
      </c>
      <c r="L883" s="2">
        <v>316</v>
      </c>
      <c r="M883" s="2">
        <v>295</v>
      </c>
      <c r="N883" s="2">
        <v>302</v>
      </c>
      <c r="O883" s="2">
        <v>299</v>
      </c>
      <c r="P883" s="2">
        <v>3767</v>
      </c>
      <c r="Q883" s="2">
        <v>2</v>
      </c>
      <c r="R883" s="2">
        <v>7534</v>
      </c>
      <c r="S883" s="4">
        <f>SUM($R$2:R883) / SUM($R:$R)</f>
        <v>0.9994989200195209</v>
      </c>
      <c r="T883" s="3" t="str">
        <f t="shared" si="78"/>
        <v>C</v>
      </c>
      <c r="U883" s="2">
        <f t="shared" si="79"/>
        <v>313.91666666666669</v>
      </c>
      <c r="V883" s="2">
        <f t="shared" si="80"/>
        <v>16.784507647521178</v>
      </c>
      <c r="W883" s="2">
        <f t="shared" si="81"/>
        <v>5.3468036042010648E-2</v>
      </c>
      <c r="X883" s="2" t="str">
        <f t="shared" si="82"/>
        <v>X</v>
      </c>
      <c r="Y883" s="2" t="str">
        <f t="shared" si="83"/>
        <v>CX</v>
      </c>
    </row>
    <row r="884" spans="1:25" x14ac:dyDescent="0.3">
      <c r="A884" s="2" t="s">
        <v>355</v>
      </c>
      <c r="B884" s="2" t="s">
        <v>356</v>
      </c>
      <c r="C884" s="2" t="s">
        <v>56</v>
      </c>
      <c r="D884" s="2">
        <v>48</v>
      </c>
      <c r="E884" s="2">
        <v>69</v>
      </c>
      <c r="F884" s="2">
        <v>62</v>
      </c>
      <c r="G884" s="2">
        <v>56</v>
      </c>
      <c r="H884" s="2">
        <v>56</v>
      </c>
      <c r="I884" s="2">
        <v>73</v>
      </c>
      <c r="J884" s="2">
        <v>55</v>
      </c>
      <c r="K884" s="2">
        <v>61</v>
      </c>
      <c r="L884" s="2">
        <v>61</v>
      </c>
      <c r="M884" s="2">
        <v>68</v>
      </c>
      <c r="N884" s="2">
        <v>75</v>
      </c>
      <c r="O884" s="2">
        <v>67</v>
      </c>
      <c r="P884" s="2">
        <v>751</v>
      </c>
      <c r="Q884" s="2">
        <v>10</v>
      </c>
      <c r="R884" s="2">
        <v>7510</v>
      </c>
      <c r="S884" s="4">
        <f>SUM($R$2:R884) / SUM($R:$R)</f>
        <v>0.99950592373559377</v>
      </c>
      <c r="T884" s="3" t="str">
        <f t="shared" si="78"/>
        <v>C</v>
      </c>
      <c r="U884" s="2">
        <f t="shared" si="79"/>
        <v>62.583333333333336</v>
      </c>
      <c r="V884" s="2">
        <f t="shared" si="80"/>
        <v>8.061787906067984</v>
      </c>
      <c r="W884" s="2">
        <f t="shared" si="81"/>
        <v>0.12881685069615953</v>
      </c>
      <c r="X884" s="2" t="str">
        <f t="shared" si="82"/>
        <v>X</v>
      </c>
      <c r="Y884" s="2" t="str">
        <f t="shared" si="83"/>
        <v>CX</v>
      </c>
    </row>
    <row r="885" spans="1:25" x14ac:dyDescent="0.3">
      <c r="A885" s="2" t="s">
        <v>441</v>
      </c>
      <c r="B885" s="2" t="s">
        <v>442</v>
      </c>
      <c r="C885" s="2" t="s">
        <v>41</v>
      </c>
      <c r="D885" s="2">
        <v>309</v>
      </c>
      <c r="E885" s="2">
        <v>306</v>
      </c>
      <c r="F885" s="2">
        <v>308</v>
      </c>
      <c r="G885" s="2">
        <v>332</v>
      </c>
      <c r="H885" s="2">
        <v>324</v>
      </c>
      <c r="I885" s="2">
        <v>311</v>
      </c>
      <c r="J885" s="2">
        <v>286</v>
      </c>
      <c r="K885" s="2">
        <v>300</v>
      </c>
      <c r="L885" s="2">
        <v>318</v>
      </c>
      <c r="M885" s="2">
        <v>323</v>
      </c>
      <c r="N885" s="2">
        <v>301</v>
      </c>
      <c r="O885" s="2">
        <v>326</v>
      </c>
      <c r="P885" s="2">
        <v>3744</v>
      </c>
      <c r="Q885" s="2">
        <v>2</v>
      </c>
      <c r="R885" s="2">
        <v>7488</v>
      </c>
      <c r="S885" s="4">
        <f>SUM($R$2:R885) / SUM($R:$R)</f>
        <v>0.99951290693478867</v>
      </c>
      <c r="T885" s="3" t="str">
        <f t="shared" si="78"/>
        <v>C</v>
      </c>
      <c r="U885" s="2">
        <f t="shared" si="79"/>
        <v>312</v>
      </c>
      <c r="V885" s="2">
        <f t="shared" si="80"/>
        <v>13.142574813455418</v>
      </c>
      <c r="W885" s="2">
        <f t="shared" si="81"/>
        <v>4.2123637222613523E-2</v>
      </c>
      <c r="X885" s="2" t="str">
        <f t="shared" si="82"/>
        <v>X</v>
      </c>
      <c r="Y885" s="2" t="str">
        <f t="shared" si="83"/>
        <v>CX</v>
      </c>
    </row>
    <row r="886" spans="1:25" x14ac:dyDescent="0.3">
      <c r="A886" s="2" t="s">
        <v>1443</v>
      </c>
      <c r="B886" s="2" t="s">
        <v>1444</v>
      </c>
      <c r="C886" s="2" t="s">
        <v>41</v>
      </c>
      <c r="D886" s="2">
        <v>308</v>
      </c>
      <c r="E886" s="2">
        <v>326</v>
      </c>
      <c r="F886" s="2">
        <v>301</v>
      </c>
      <c r="G886" s="2">
        <v>308</v>
      </c>
      <c r="H886" s="2">
        <v>308</v>
      </c>
      <c r="I886" s="2">
        <v>300</v>
      </c>
      <c r="J886" s="2">
        <v>299</v>
      </c>
      <c r="K886" s="2">
        <v>329</v>
      </c>
      <c r="L886" s="2">
        <v>308</v>
      </c>
      <c r="M886" s="2">
        <v>329</v>
      </c>
      <c r="N886" s="2">
        <v>298</v>
      </c>
      <c r="O886" s="2">
        <v>328</v>
      </c>
      <c r="P886" s="2">
        <v>3742</v>
      </c>
      <c r="Q886" s="2">
        <v>2</v>
      </c>
      <c r="R886" s="2">
        <v>7484</v>
      </c>
      <c r="S886" s="4">
        <f>SUM($R$2:R886) / SUM($R:$R)</f>
        <v>0.9995198864036422</v>
      </c>
      <c r="T886" s="3" t="str">
        <f t="shared" si="78"/>
        <v>C</v>
      </c>
      <c r="U886" s="2">
        <f t="shared" si="79"/>
        <v>311.83333333333331</v>
      </c>
      <c r="V886" s="2">
        <f t="shared" si="80"/>
        <v>12.51786602009183</v>
      </c>
      <c r="W886" s="2">
        <f t="shared" si="81"/>
        <v>4.0142809257376261E-2</v>
      </c>
      <c r="X886" s="2" t="str">
        <f t="shared" si="82"/>
        <v>X</v>
      </c>
      <c r="Y886" s="2" t="str">
        <f t="shared" si="83"/>
        <v>CX</v>
      </c>
    </row>
    <row r="887" spans="1:25" x14ac:dyDescent="0.3">
      <c r="A887" s="2" t="s">
        <v>745</v>
      </c>
      <c r="B887" s="2" t="s">
        <v>746</v>
      </c>
      <c r="C887" s="2" t="s">
        <v>36</v>
      </c>
      <c r="D887" s="2">
        <v>334</v>
      </c>
      <c r="E887" s="2">
        <v>291</v>
      </c>
      <c r="F887" s="2">
        <v>317</v>
      </c>
      <c r="G887" s="2">
        <v>316</v>
      </c>
      <c r="H887" s="2">
        <v>317</v>
      </c>
      <c r="I887" s="2">
        <v>324</v>
      </c>
      <c r="J887" s="2">
        <v>314</v>
      </c>
      <c r="K887" s="2">
        <v>293</v>
      </c>
      <c r="L887" s="2">
        <v>314</v>
      </c>
      <c r="M887" s="2">
        <v>316</v>
      </c>
      <c r="N887" s="2">
        <v>304</v>
      </c>
      <c r="O887" s="2">
        <v>291</v>
      </c>
      <c r="P887" s="2">
        <v>3731</v>
      </c>
      <c r="Q887" s="2">
        <v>2</v>
      </c>
      <c r="R887" s="2">
        <v>7462</v>
      </c>
      <c r="S887" s="4">
        <f>SUM($R$2:R887) / SUM($R:$R)</f>
        <v>0.99952684535561764</v>
      </c>
      <c r="T887" s="3" t="str">
        <f t="shared" si="78"/>
        <v>C</v>
      </c>
      <c r="U887" s="2">
        <f t="shared" si="79"/>
        <v>310.91666666666669</v>
      </c>
      <c r="V887" s="2">
        <f t="shared" si="80"/>
        <v>13.520747244904996</v>
      </c>
      <c r="W887" s="2">
        <f t="shared" si="81"/>
        <v>4.348672391821494E-2</v>
      </c>
      <c r="X887" s="2" t="str">
        <f t="shared" si="82"/>
        <v>X</v>
      </c>
      <c r="Y887" s="2" t="str">
        <f t="shared" si="83"/>
        <v>CX</v>
      </c>
    </row>
    <row r="888" spans="1:25" x14ac:dyDescent="0.3">
      <c r="A888" s="2" t="s">
        <v>1387</v>
      </c>
      <c r="B888" s="2" t="s">
        <v>1388</v>
      </c>
      <c r="C888" s="2" t="s">
        <v>41</v>
      </c>
      <c r="D888" s="2">
        <v>316</v>
      </c>
      <c r="E888" s="2">
        <v>288</v>
      </c>
      <c r="F888" s="2">
        <v>273</v>
      </c>
      <c r="G888" s="2">
        <v>312</v>
      </c>
      <c r="H888" s="2">
        <v>318</v>
      </c>
      <c r="I888" s="2">
        <v>323</v>
      </c>
      <c r="J888" s="2">
        <v>306</v>
      </c>
      <c r="K888" s="2">
        <v>317</v>
      </c>
      <c r="L888" s="2">
        <v>306</v>
      </c>
      <c r="M888" s="2">
        <v>312</v>
      </c>
      <c r="N888" s="2">
        <v>311</v>
      </c>
      <c r="O888" s="2">
        <v>312</v>
      </c>
      <c r="P888" s="2">
        <v>3694</v>
      </c>
      <c r="Q888" s="2">
        <v>2</v>
      </c>
      <c r="R888" s="2">
        <v>7388</v>
      </c>
      <c r="S888" s="4">
        <f>SUM($R$2:R888) / SUM($R:$R)</f>
        <v>0.99953373529627632</v>
      </c>
      <c r="T888" s="3" t="str">
        <f t="shared" si="78"/>
        <v>C</v>
      </c>
      <c r="U888" s="2">
        <f t="shared" si="79"/>
        <v>307.83333333333331</v>
      </c>
      <c r="V888" s="2">
        <f t="shared" si="80"/>
        <v>14.0118997046558</v>
      </c>
      <c r="W888" s="2">
        <f t="shared" si="81"/>
        <v>4.5517811709764378E-2</v>
      </c>
      <c r="X888" s="2" t="str">
        <f t="shared" si="82"/>
        <v>X</v>
      </c>
      <c r="Y888" s="2" t="str">
        <f t="shared" si="83"/>
        <v>CX</v>
      </c>
    </row>
    <row r="889" spans="1:25" x14ac:dyDescent="0.3">
      <c r="A889" s="2" t="s">
        <v>1927</v>
      </c>
      <c r="B889" s="2" t="s">
        <v>1928</v>
      </c>
      <c r="C889" s="2" t="s">
        <v>25</v>
      </c>
      <c r="D889" s="2">
        <v>484</v>
      </c>
      <c r="E889" s="2">
        <v>486</v>
      </c>
      <c r="F889" s="2">
        <v>162</v>
      </c>
      <c r="G889" s="2">
        <v>183</v>
      </c>
      <c r="H889" s="2">
        <v>410</v>
      </c>
      <c r="I889" s="2">
        <v>90</v>
      </c>
      <c r="J889" s="2">
        <v>271</v>
      </c>
      <c r="K889" s="2">
        <v>22</v>
      </c>
      <c r="L889" s="2">
        <v>546</v>
      </c>
      <c r="M889" s="2">
        <v>421</v>
      </c>
      <c r="N889" s="2">
        <v>397</v>
      </c>
      <c r="O889" s="2">
        <v>169</v>
      </c>
      <c r="P889" s="2">
        <v>3641</v>
      </c>
      <c r="Q889" s="2">
        <v>2</v>
      </c>
      <c r="R889" s="2">
        <v>7282</v>
      </c>
      <c r="S889" s="4">
        <f>SUM($R$2:R889) / SUM($R:$R)</f>
        <v>0.99954052638288649</v>
      </c>
      <c r="T889" s="3" t="str">
        <f t="shared" si="78"/>
        <v>C</v>
      </c>
      <c r="U889" s="2">
        <f t="shared" si="79"/>
        <v>303.41666666666669</v>
      </c>
      <c r="V889" s="2">
        <f t="shared" si="80"/>
        <v>175.05763120305338</v>
      </c>
      <c r="W889" s="2">
        <f t="shared" si="81"/>
        <v>0.57695456589855543</v>
      </c>
      <c r="X889" s="2" t="str">
        <f t="shared" si="82"/>
        <v>Z</v>
      </c>
      <c r="Y889" s="2" t="str">
        <f t="shared" si="83"/>
        <v>CZ</v>
      </c>
    </row>
    <row r="890" spans="1:25" x14ac:dyDescent="0.3">
      <c r="A890" s="2" t="s">
        <v>1849</v>
      </c>
      <c r="B890" s="2" t="s">
        <v>1850</v>
      </c>
      <c r="C890" s="2" t="s">
        <v>36</v>
      </c>
      <c r="D890" s="2">
        <v>311</v>
      </c>
      <c r="E890" s="2">
        <v>274</v>
      </c>
      <c r="F890" s="2">
        <v>289</v>
      </c>
      <c r="G890" s="2">
        <v>314</v>
      </c>
      <c r="H890" s="2">
        <v>294</v>
      </c>
      <c r="I890" s="2">
        <v>329</v>
      </c>
      <c r="J890" s="2">
        <v>305</v>
      </c>
      <c r="K890" s="2">
        <v>276</v>
      </c>
      <c r="L890" s="2">
        <v>301</v>
      </c>
      <c r="M890" s="2">
        <v>304</v>
      </c>
      <c r="N890" s="2">
        <v>325</v>
      </c>
      <c r="O890" s="2">
        <v>293</v>
      </c>
      <c r="P890" s="2">
        <v>3615</v>
      </c>
      <c r="Q890" s="2">
        <v>2</v>
      </c>
      <c r="R890" s="2">
        <v>7230</v>
      </c>
      <c r="S890" s="4">
        <f>SUM($R$2:R890) / SUM($R:$R)</f>
        <v>0.99954726897505786</v>
      </c>
      <c r="T890" s="3" t="str">
        <f t="shared" si="78"/>
        <v>C</v>
      </c>
      <c r="U890" s="2">
        <f t="shared" si="79"/>
        <v>301.25</v>
      </c>
      <c r="V890" s="2">
        <f t="shared" si="80"/>
        <v>17.226433176952217</v>
      </c>
      <c r="W890" s="2">
        <f t="shared" si="81"/>
        <v>5.71831806703808E-2</v>
      </c>
      <c r="X890" s="2" t="str">
        <f t="shared" si="82"/>
        <v>X</v>
      </c>
      <c r="Y890" s="2" t="str">
        <f t="shared" si="83"/>
        <v>CX</v>
      </c>
    </row>
    <row r="891" spans="1:25" x14ac:dyDescent="0.3">
      <c r="A891" s="2" t="s">
        <v>1353</v>
      </c>
      <c r="B891" s="2" t="s">
        <v>1354</v>
      </c>
      <c r="C891" s="2" t="s">
        <v>56</v>
      </c>
      <c r="D891" s="2">
        <v>269</v>
      </c>
      <c r="E891" s="2">
        <v>290</v>
      </c>
      <c r="F891" s="2">
        <v>280</v>
      </c>
      <c r="G891" s="2">
        <v>313</v>
      </c>
      <c r="H891" s="2">
        <v>309</v>
      </c>
      <c r="I891" s="2">
        <v>337</v>
      </c>
      <c r="J891" s="2">
        <v>306</v>
      </c>
      <c r="K891" s="2">
        <v>321</v>
      </c>
      <c r="L891" s="2">
        <v>303</v>
      </c>
      <c r="M891" s="2">
        <v>294</v>
      </c>
      <c r="N891" s="2">
        <v>303</v>
      </c>
      <c r="O891" s="2">
        <v>289</v>
      </c>
      <c r="P891" s="2">
        <v>3614</v>
      </c>
      <c r="Q891" s="2">
        <v>2</v>
      </c>
      <c r="R891" s="2">
        <v>7228</v>
      </c>
      <c r="S891" s="4">
        <f>SUM($R$2:R891) / SUM($R:$R)</f>
        <v>0.99955400970205854</v>
      </c>
      <c r="T891" s="3" t="str">
        <f t="shared" si="78"/>
        <v>C</v>
      </c>
      <c r="U891" s="2">
        <f t="shared" si="79"/>
        <v>301.16666666666669</v>
      </c>
      <c r="V891" s="2">
        <f t="shared" si="80"/>
        <v>18.379006469009113</v>
      </c>
      <c r="W891" s="2">
        <f t="shared" si="81"/>
        <v>6.1026031441092789E-2</v>
      </c>
      <c r="X891" s="2" t="str">
        <f t="shared" si="82"/>
        <v>X</v>
      </c>
      <c r="Y891" s="2" t="str">
        <f t="shared" si="83"/>
        <v>CX</v>
      </c>
    </row>
    <row r="892" spans="1:25" x14ac:dyDescent="0.3">
      <c r="A892" s="2" t="s">
        <v>1905</v>
      </c>
      <c r="B892" s="2" t="s">
        <v>1906</v>
      </c>
      <c r="C892" s="2" t="s">
        <v>25</v>
      </c>
      <c r="D892" s="2">
        <v>378</v>
      </c>
      <c r="E892" s="2">
        <v>413</v>
      </c>
      <c r="F892" s="2">
        <v>532</v>
      </c>
      <c r="G892" s="2">
        <v>48</v>
      </c>
      <c r="H892" s="2">
        <v>146</v>
      </c>
      <c r="I892" s="2">
        <v>154</v>
      </c>
      <c r="J892" s="2">
        <v>325</v>
      </c>
      <c r="K892" s="2">
        <v>344</v>
      </c>
      <c r="L892" s="2">
        <v>495</v>
      </c>
      <c r="M892" s="2">
        <v>240</v>
      </c>
      <c r="N892" s="2">
        <v>412</v>
      </c>
      <c r="O892" s="2">
        <v>114</v>
      </c>
      <c r="P892" s="2">
        <v>3601</v>
      </c>
      <c r="Q892" s="2">
        <v>2</v>
      </c>
      <c r="R892" s="2">
        <v>7202</v>
      </c>
      <c r="S892" s="4">
        <f>SUM($R$2:R892) / SUM($R:$R)</f>
        <v>0.99956072618183978</v>
      </c>
      <c r="T892" s="3" t="str">
        <f t="shared" si="78"/>
        <v>C</v>
      </c>
      <c r="U892" s="2">
        <f t="shared" si="79"/>
        <v>300.08333333333331</v>
      </c>
      <c r="V892" s="2">
        <f t="shared" si="80"/>
        <v>157.40478122190305</v>
      </c>
      <c r="W892" s="2">
        <f t="shared" si="81"/>
        <v>0.52453689937873837</v>
      </c>
      <c r="X892" s="2" t="str">
        <f t="shared" si="82"/>
        <v>Z</v>
      </c>
      <c r="Y892" s="2" t="str">
        <f t="shared" si="83"/>
        <v>CZ</v>
      </c>
    </row>
    <row r="893" spans="1:25" x14ac:dyDescent="0.3">
      <c r="A893" s="2" t="s">
        <v>1969</v>
      </c>
      <c r="B893" s="2" t="s">
        <v>1970</v>
      </c>
      <c r="C893" s="2" t="s">
        <v>41</v>
      </c>
      <c r="D893" s="2">
        <v>43</v>
      </c>
      <c r="E893" s="2">
        <v>64</v>
      </c>
      <c r="F893" s="2">
        <v>52</v>
      </c>
      <c r="G893" s="2">
        <v>79</v>
      </c>
      <c r="H893" s="2">
        <v>60</v>
      </c>
      <c r="I893" s="2">
        <v>59</v>
      </c>
      <c r="J893" s="2">
        <v>53</v>
      </c>
      <c r="K893" s="2">
        <v>61</v>
      </c>
      <c r="L893" s="2">
        <v>65</v>
      </c>
      <c r="M893" s="2">
        <v>54</v>
      </c>
      <c r="N893" s="2">
        <v>63</v>
      </c>
      <c r="O893" s="2">
        <v>66</v>
      </c>
      <c r="P893" s="2">
        <v>719</v>
      </c>
      <c r="Q893" s="2">
        <v>10</v>
      </c>
      <c r="R893" s="2">
        <v>7190</v>
      </c>
      <c r="S893" s="4">
        <f>SUM($R$2:R893) / SUM($R:$R)</f>
        <v>0.99956743147059668</v>
      </c>
      <c r="T893" s="3" t="str">
        <f t="shared" si="78"/>
        <v>C</v>
      </c>
      <c r="U893" s="2">
        <f t="shared" si="79"/>
        <v>59.916666666666664</v>
      </c>
      <c r="V893" s="2">
        <f t="shared" si="80"/>
        <v>8.9793534220893463</v>
      </c>
      <c r="W893" s="2">
        <f t="shared" si="81"/>
        <v>0.14986403486101829</v>
      </c>
      <c r="X893" s="2" t="str">
        <f t="shared" si="82"/>
        <v>X</v>
      </c>
      <c r="Y893" s="2" t="str">
        <f t="shared" si="83"/>
        <v>CX</v>
      </c>
    </row>
    <row r="894" spans="1:25" x14ac:dyDescent="0.3">
      <c r="A894" s="2" t="s">
        <v>949</v>
      </c>
      <c r="B894" s="2" t="s">
        <v>950</v>
      </c>
      <c r="C894" s="2" t="s">
        <v>36</v>
      </c>
      <c r="D894" s="2">
        <v>316</v>
      </c>
      <c r="E894" s="2">
        <v>286</v>
      </c>
      <c r="F894" s="2">
        <v>300</v>
      </c>
      <c r="G894" s="2">
        <v>284</v>
      </c>
      <c r="H894" s="2">
        <v>292</v>
      </c>
      <c r="I894" s="2">
        <v>319</v>
      </c>
      <c r="J894" s="2">
        <v>316</v>
      </c>
      <c r="K894" s="2">
        <v>283</v>
      </c>
      <c r="L894" s="2">
        <v>316</v>
      </c>
      <c r="M894" s="2">
        <v>294</v>
      </c>
      <c r="N894" s="2">
        <v>279</v>
      </c>
      <c r="O894" s="2">
        <v>298</v>
      </c>
      <c r="P894" s="2">
        <v>3583</v>
      </c>
      <c r="Q894" s="2">
        <v>2</v>
      </c>
      <c r="R894" s="2">
        <v>7166</v>
      </c>
      <c r="S894" s="4">
        <f>SUM($R$2:R894) / SUM($R:$R)</f>
        <v>0.99957411437730481</v>
      </c>
      <c r="T894" s="3" t="str">
        <f t="shared" si="78"/>
        <v>C</v>
      </c>
      <c r="U894" s="2">
        <f t="shared" si="79"/>
        <v>298.58333333333331</v>
      </c>
      <c r="V894" s="2">
        <f t="shared" si="80"/>
        <v>14.743000393612578</v>
      </c>
      <c r="W894" s="2">
        <f t="shared" si="81"/>
        <v>4.9376501457814942E-2</v>
      </c>
      <c r="X894" s="2" t="str">
        <f t="shared" si="82"/>
        <v>X</v>
      </c>
      <c r="Y894" s="2" t="str">
        <f t="shared" si="83"/>
        <v>CX</v>
      </c>
    </row>
    <row r="895" spans="1:25" x14ac:dyDescent="0.3">
      <c r="A895" s="2" t="s">
        <v>1315</v>
      </c>
      <c r="B895" s="2" t="s">
        <v>1316</v>
      </c>
      <c r="C895" s="2" t="s">
        <v>56</v>
      </c>
      <c r="D895" s="2">
        <v>63</v>
      </c>
      <c r="E895" s="2">
        <v>57</v>
      </c>
      <c r="F895" s="2">
        <v>54</v>
      </c>
      <c r="G895" s="2">
        <v>61</v>
      </c>
      <c r="H895" s="2">
        <v>52</v>
      </c>
      <c r="I895" s="2">
        <v>55</v>
      </c>
      <c r="J895" s="2">
        <v>59</v>
      </c>
      <c r="K895" s="2">
        <v>55</v>
      </c>
      <c r="L895" s="2">
        <v>68</v>
      </c>
      <c r="M895" s="2">
        <v>57</v>
      </c>
      <c r="N895" s="2">
        <v>65</v>
      </c>
      <c r="O895" s="2">
        <v>63</v>
      </c>
      <c r="P895" s="2">
        <v>709</v>
      </c>
      <c r="Q895" s="2">
        <v>10</v>
      </c>
      <c r="R895" s="2">
        <v>7090</v>
      </c>
      <c r="S895" s="4">
        <f>SUM($R$2:R895) / SUM($R:$R)</f>
        <v>0.99958072640752549</v>
      </c>
      <c r="T895" s="3" t="str">
        <f t="shared" si="78"/>
        <v>C</v>
      </c>
      <c r="U895" s="2">
        <f t="shared" si="79"/>
        <v>59.083333333333336</v>
      </c>
      <c r="V895" s="2">
        <f t="shared" si="80"/>
        <v>4.9259670639531805</v>
      </c>
      <c r="W895" s="2">
        <f t="shared" si="81"/>
        <v>8.3373208416696987E-2</v>
      </c>
      <c r="X895" s="2" t="str">
        <f t="shared" si="82"/>
        <v>X</v>
      </c>
      <c r="Y895" s="2" t="str">
        <f t="shared" si="83"/>
        <v>CX</v>
      </c>
    </row>
    <row r="896" spans="1:25" x14ac:dyDescent="0.3">
      <c r="A896" s="2" t="s">
        <v>34</v>
      </c>
      <c r="B896" s="2" t="s">
        <v>35</v>
      </c>
      <c r="C896" s="2" t="s">
        <v>36</v>
      </c>
      <c r="D896" s="2">
        <v>328</v>
      </c>
      <c r="E896" s="2">
        <v>294</v>
      </c>
      <c r="F896" s="2">
        <v>298</v>
      </c>
      <c r="G896" s="2">
        <v>297</v>
      </c>
      <c r="H896" s="2">
        <v>306</v>
      </c>
      <c r="I896" s="2">
        <v>294</v>
      </c>
      <c r="J896" s="2">
        <v>272</v>
      </c>
      <c r="K896" s="2">
        <v>274</v>
      </c>
      <c r="L896" s="2">
        <v>306</v>
      </c>
      <c r="M896" s="2">
        <v>286</v>
      </c>
      <c r="N896" s="2">
        <v>291</v>
      </c>
      <c r="O896" s="2">
        <v>297</v>
      </c>
      <c r="P896" s="2">
        <v>3543</v>
      </c>
      <c r="Q896" s="2">
        <v>2</v>
      </c>
      <c r="R896" s="2">
        <v>7086</v>
      </c>
      <c r="S896" s="4">
        <f>SUM($R$2:R896) / SUM($R:$R)</f>
        <v>0.99958733470740457</v>
      </c>
      <c r="T896" s="3" t="str">
        <f t="shared" si="78"/>
        <v>C</v>
      </c>
      <c r="U896" s="2">
        <f t="shared" si="79"/>
        <v>295.25</v>
      </c>
      <c r="V896" s="2">
        <f t="shared" si="80"/>
        <v>14.820900475648937</v>
      </c>
      <c r="W896" s="2">
        <f t="shared" si="81"/>
        <v>5.0197800086871927E-2</v>
      </c>
      <c r="X896" s="2" t="str">
        <f t="shared" si="82"/>
        <v>X</v>
      </c>
      <c r="Y896" s="2" t="str">
        <f t="shared" si="83"/>
        <v>CX</v>
      </c>
    </row>
    <row r="897" spans="1:25" x14ac:dyDescent="0.3">
      <c r="A897" s="2" t="s">
        <v>167</v>
      </c>
      <c r="B897" s="2" t="s">
        <v>168</v>
      </c>
      <c r="C897" s="2" t="s">
        <v>56</v>
      </c>
      <c r="D897" s="2">
        <v>283</v>
      </c>
      <c r="E897" s="2">
        <v>279</v>
      </c>
      <c r="F897" s="2">
        <v>257</v>
      </c>
      <c r="G897" s="2">
        <v>294</v>
      </c>
      <c r="H897" s="2">
        <v>299</v>
      </c>
      <c r="I897" s="2">
        <v>295</v>
      </c>
      <c r="J897" s="2">
        <v>267</v>
      </c>
      <c r="K897" s="2">
        <v>288</v>
      </c>
      <c r="L897" s="2">
        <v>283</v>
      </c>
      <c r="M897" s="2">
        <v>302</v>
      </c>
      <c r="N897" s="2">
        <v>279</v>
      </c>
      <c r="O897" s="2">
        <v>306</v>
      </c>
      <c r="P897" s="2">
        <v>3432</v>
      </c>
      <c r="Q897" s="2">
        <v>2</v>
      </c>
      <c r="R897" s="2">
        <v>6864</v>
      </c>
      <c r="S897" s="4">
        <f>SUM($R$2:R897) / SUM($R:$R)</f>
        <v>0.99959373597333323</v>
      </c>
      <c r="T897" s="3" t="str">
        <f t="shared" si="78"/>
        <v>C</v>
      </c>
      <c r="U897" s="2">
        <f t="shared" si="79"/>
        <v>286</v>
      </c>
      <c r="V897" s="2">
        <f t="shared" si="80"/>
        <v>14.434806419333665</v>
      </c>
      <c r="W897" s="2">
        <f t="shared" si="81"/>
        <v>5.0471351116551273E-2</v>
      </c>
      <c r="X897" s="2" t="str">
        <f t="shared" si="82"/>
        <v>X</v>
      </c>
      <c r="Y897" s="2" t="str">
        <f t="shared" si="83"/>
        <v>CX</v>
      </c>
    </row>
    <row r="898" spans="1:25" x14ac:dyDescent="0.3">
      <c r="A898" s="2" t="s">
        <v>1595</v>
      </c>
      <c r="B898" s="2" t="s">
        <v>1596</v>
      </c>
      <c r="C898" s="2" t="s">
        <v>25</v>
      </c>
      <c r="D898" s="2">
        <v>454</v>
      </c>
      <c r="E898" s="2">
        <v>33</v>
      </c>
      <c r="F898" s="2">
        <v>462</v>
      </c>
      <c r="G898" s="2">
        <v>532</v>
      </c>
      <c r="H898" s="2">
        <v>56</v>
      </c>
      <c r="I898" s="2">
        <v>588</v>
      </c>
      <c r="J898" s="2">
        <v>185</v>
      </c>
      <c r="K898" s="2">
        <v>188</v>
      </c>
      <c r="L898" s="2">
        <v>265</v>
      </c>
      <c r="M898" s="2">
        <v>176</v>
      </c>
      <c r="N898" s="2">
        <v>231</v>
      </c>
      <c r="O898" s="2">
        <v>242</v>
      </c>
      <c r="P898" s="2">
        <v>3412</v>
      </c>
      <c r="Q898" s="2">
        <v>2</v>
      </c>
      <c r="R898" s="2">
        <v>6824</v>
      </c>
      <c r="S898" s="4">
        <f>SUM($R$2:R898) / SUM($R:$R)</f>
        <v>0.99960009993584742</v>
      </c>
      <c r="T898" s="3" t="str">
        <f t="shared" si="78"/>
        <v>C</v>
      </c>
      <c r="U898" s="2">
        <f t="shared" si="79"/>
        <v>284.33333333333331</v>
      </c>
      <c r="V898" s="2">
        <f t="shared" si="80"/>
        <v>182.18438878002559</v>
      </c>
      <c r="W898" s="2">
        <f t="shared" si="81"/>
        <v>0.64074228175858949</v>
      </c>
      <c r="X898" s="2" t="str">
        <f t="shared" si="82"/>
        <v>Z</v>
      </c>
      <c r="Y898" s="2" t="str">
        <f t="shared" si="83"/>
        <v>CZ</v>
      </c>
    </row>
    <row r="899" spans="1:25" x14ac:dyDescent="0.3">
      <c r="A899" s="2" t="s">
        <v>327</v>
      </c>
      <c r="B899" s="2" t="s">
        <v>328</v>
      </c>
      <c r="C899" s="2" t="s">
        <v>25</v>
      </c>
      <c r="D899" s="2">
        <v>329</v>
      </c>
      <c r="E899" s="2">
        <v>476</v>
      </c>
      <c r="F899" s="2">
        <v>259</v>
      </c>
      <c r="G899" s="2">
        <v>263</v>
      </c>
      <c r="H899" s="2">
        <v>470</v>
      </c>
      <c r="I899" s="2">
        <v>138</v>
      </c>
      <c r="J899" s="2">
        <v>74</v>
      </c>
      <c r="K899" s="2">
        <v>291</v>
      </c>
      <c r="L899" s="2">
        <v>112</v>
      </c>
      <c r="M899" s="2">
        <v>336</v>
      </c>
      <c r="N899" s="2">
        <v>321</v>
      </c>
      <c r="O899" s="2">
        <v>341</v>
      </c>
      <c r="P899" s="2">
        <v>3410</v>
      </c>
      <c r="Q899" s="2">
        <v>2</v>
      </c>
      <c r="R899" s="2">
        <v>6820</v>
      </c>
      <c r="S899" s="4">
        <f>SUM($R$2:R899) / SUM($R:$R)</f>
        <v>0.99960646016802013</v>
      </c>
      <c r="T899" s="3" t="str">
        <f t="shared" ref="T899:T962" si="84">IF(S899&lt;=0.7, "A", IF(S899&lt;=0.9, "B", "C"))</f>
        <v>C</v>
      </c>
      <c r="U899" s="2">
        <f t="shared" ref="U899:U962" si="85">AVERAGE(D899:O899)</f>
        <v>284.16666666666669</v>
      </c>
      <c r="V899" s="2">
        <f t="shared" ref="V899:V962" si="86">_xlfn.STDEV.S(D899:O899)</f>
        <v>126.82187460681961</v>
      </c>
      <c r="W899" s="2">
        <f t="shared" ref="W899:W962" si="87">IF(U899=0,0,V899/U899)</f>
        <v>0.44629398688616867</v>
      </c>
      <c r="X899" s="2" t="str">
        <f t="shared" ref="X899:X962" si="88">(IF(W899&lt;=0.2, "X", IF(W899&lt;=0.5, "Y", "Z")))</f>
        <v>Y</v>
      </c>
      <c r="Y899" s="2" t="str">
        <f t="shared" ref="Y899:Y962" si="89">T899&amp;X899</f>
        <v>CY</v>
      </c>
    </row>
    <row r="900" spans="1:25" x14ac:dyDescent="0.3">
      <c r="A900" s="2" t="s">
        <v>301</v>
      </c>
      <c r="B900" s="2" t="s">
        <v>302</v>
      </c>
      <c r="C900" s="2" t="s">
        <v>41</v>
      </c>
      <c r="D900" s="2">
        <v>255</v>
      </c>
      <c r="E900" s="2">
        <v>265</v>
      </c>
      <c r="F900" s="2">
        <v>304</v>
      </c>
      <c r="G900" s="2">
        <v>284</v>
      </c>
      <c r="H900" s="2">
        <v>281</v>
      </c>
      <c r="I900" s="2">
        <v>315</v>
      </c>
      <c r="J900" s="2">
        <v>264</v>
      </c>
      <c r="K900" s="2">
        <v>244</v>
      </c>
      <c r="L900" s="2">
        <v>316</v>
      </c>
      <c r="M900" s="2">
        <v>227</v>
      </c>
      <c r="N900" s="2">
        <v>277</v>
      </c>
      <c r="O900" s="2">
        <v>298</v>
      </c>
      <c r="P900" s="2">
        <v>3330</v>
      </c>
      <c r="Q900" s="2">
        <v>2</v>
      </c>
      <c r="R900" s="2">
        <v>6660</v>
      </c>
      <c r="S900" s="4">
        <f>SUM($R$2:R900) / SUM($R:$R)</f>
        <v>0.99961267118653485</v>
      </c>
      <c r="T900" s="3" t="str">
        <f t="shared" si="84"/>
        <v>C</v>
      </c>
      <c r="U900" s="2">
        <f t="shared" si="85"/>
        <v>277.5</v>
      </c>
      <c r="V900" s="2">
        <f t="shared" si="86"/>
        <v>27.933362262225565</v>
      </c>
      <c r="W900" s="2">
        <f t="shared" si="87"/>
        <v>0.10066076490892095</v>
      </c>
      <c r="X900" s="2" t="str">
        <f t="shared" si="88"/>
        <v>X</v>
      </c>
      <c r="Y900" s="2" t="str">
        <f t="shared" si="89"/>
        <v>CX</v>
      </c>
    </row>
    <row r="901" spans="1:25" x14ac:dyDescent="0.3">
      <c r="A901" s="2" t="s">
        <v>1301</v>
      </c>
      <c r="B901" s="2" t="s">
        <v>1302</v>
      </c>
      <c r="C901" s="2" t="s">
        <v>36</v>
      </c>
      <c r="D901" s="2">
        <v>293</v>
      </c>
      <c r="E901" s="2">
        <v>275</v>
      </c>
      <c r="F901" s="2">
        <v>299</v>
      </c>
      <c r="G901" s="2">
        <v>282</v>
      </c>
      <c r="H901" s="2">
        <v>277</v>
      </c>
      <c r="I901" s="2">
        <v>252</v>
      </c>
      <c r="J901" s="2">
        <v>293</v>
      </c>
      <c r="K901" s="2">
        <v>268</v>
      </c>
      <c r="L901" s="2">
        <v>250</v>
      </c>
      <c r="M901" s="2">
        <v>290</v>
      </c>
      <c r="N901" s="2">
        <v>250</v>
      </c>
      <c r="O901" s="2">
        <v>297</v>
      </c>
      <c r="P901" s="2">
        <v>3326</v>
      </c>
      <c r="Q901" s="2">
        <v>2</v>
      </c>
      <c r="R901" s="2">
        <v>6652</v>
      </c>
      <c r="S901" s="4">
        <f>SUM($R$2:R901) / SUM($R:$R)</f>
        <v>0.99961887474436673</v>
      </c>
      <c r="T901" s="3" t="str">
        <f t="shared" si="84"/>
        <v>C</v>
      </c>
      <c r="U901" s="2">
        <f t="shared" si="85"/>
        <v>277.16666666666669</v>
      </c>
      <c r="V901" s="2">
        <f t="shared" si="86"/>
        <v>18.482588038639516</v>
      </c>
      <c r="W901" s="2">
        <f t="shared" si="87"/>
        <v>6.6684021787033726E-2</v>
      </c>
      <c r="X901" s="2" t="str">
        <f t="shared" si="88"/>
        <v>X</v>
      </c>
      <c r="Y901" s="2" t="str">
        <f t="shared" si="89"/>
        <v>CX</v>
      </c>
    </row>
    <row r="902" spans="1:25" x14ac:dyDescent="0.3">
      <c r="A902" s="2" t="s">
        <v>303</v>
      </c>
      <c r="B902" s="2" t="s">
        <v>304</v>
      </c>
      <c r="C902" s="2" t="s">
        <v>41</v>
      </c>
      <c r="D902" s="2">
        <v>286</v>
      </c>
      <c r="E902" s="2">
        <v>268</v>
      </c>
      <c r="F902" s="2">
        <v>275</v>
      </c>
      <c r="G902" s="2">
        <v>268</v>
      </c>
      <c r="H902" s="2">
        <v>275</v>
      </c>
      <c r="I902" s="2">
        <v>277</v>
      </c>
      <c r="J902" s="2">
        <v>293</v>
      </c>
      <c r="K902" s="2">
        <v>245</v>
      </c>
      <c r="L902" s="2">
        <v>287</v>
      </c>
      <c r="M902" s="2">
        <v>271</v>
      </c>
      <c r="N902" s="2">
        <v>258</v>
      </c>
      <c r="O902" s="2">
        <v>294</v>
      </c>
      <c r="P902" s="2">
        <v>3297</v>
      </c>
      <c r="Q902" s="2">
        <v>2</v>
      </c>
      <c r="R902" s="2">
        <v>6594</v>
      </c>
      <c r="S902" s="4">
        <f>SUM($R$2:R902) / SUM($R:$R)</f>
        <v>0.99962502421224753</v>
      </c>
      <c r="T902" s="3" t="str">
        <f t="shared" si="84"/>
        <v>C</v>
      </c>
      <c r="U902" s="2">
        <f t="shared" si="85"/>
        <v>274.75</v>
      </c>
      <c r="V902" s="2">
        <f t="shared" si="86"/>
        <v>14.321788867443772</v>
      </c>
      <c r="W902" s="2">
        <f t="shared" si="87"/>
        <v>5.2126620081687974E-2</v>
      </c>
      <c r="X902" s="2" t="str">
        <f t="shared" si="88"/>
        <v>X</v>
      </c>
      <c r="Y902" s="2" t="str">
        <f t="shared" si="89"/>
        <v>CX</v>
      </c>
    </row>
    <row r="903" spans="1:25" x14ac:dyDescent="0.3">
      <c r="A903" s="2" t="s">
        <v>897</v>
      </c>
      <c r="B903" s="2" t="s">
        <v>898</v>
      </c>
      <c r="C903" s="2" t="s">
        <v>41</v>
      </c>
      <c r="D903" s="2">
        <v>312</v>
      </c>
      <c r="E903" s="2">
        <v>261</v>
      </c>
      <c r="F903" s="2">
        <v>256</v>
      </c>
      <c r="G903" s="2">
        <v>278</v>
      </c>
      <c r="H903" s="2">
        <v>278</v>
      </c>
      <c r="I903" s="2">
        <v>291</v>
      </c>
      <c r="J903" s="2">
        <v>271</v>
      </c>
      <c r="K903" s="2">
        <v>255</v>
      </c>
      <c r="L903" s="2">
        <v>271</v>
      </c>
      <c r="M903" s="2">
        <v>265</v>
      </c>
      <c r="N903" s="2">
        <v>273</v>
      </c>
      <c r="O903" s="2">
        <v>283</v>
      </c>
      <c r="P903" s="2">
        <v>3294</v>
      </c>
      <c r="Q903" s="2">
        <v>2</v>
      </c>
      <c r="R903" s="2">
        <v>6588</v>
      </c>
      <c r="S903" s="4">
        <f>SUM($R$2:R903) / SUM($R:$R)</f>
        <v>0.99963116808461605</v>
      </c>
      <c r="T903" s="3" t="str">
        <f t="shared" si="84"/>
        <v>C</v>
      </c>
      <c r="U903" s="2">
        <f t="shared" si="85"/>
        <v>274.5</v>
      </c>
      <c r="V903" s="2">
        <f t="shared" si="86"/>
        <v>15.945931370500981</v>
      </c>
      <c r="W903" s="2">
        <f t="shared" si="87"/>
        <v>5.8090824664848745E-2</v>
      </c>
      <c r="X903" s="2" t="str">
        <f t="shared" si="88"/>
        <v>X</v>
      </c>
      <c r="Y903" s="2" t="str">
        <f t="shared" si="89"/>
        <v>CX</v>
      </c>
    </row>
    <row r="904" spans="1:25" x14ac:dyDescent="0.3">
      <c r="A904" s="2" t="s">
        <v>1479</v>
      </c>
      <c r="B904" s="2" t="s">
        <v>1480</v>
      </c>
      <c r="C904" s="2" t="s">
        <v>25</v>
      </c>
      <c r="D904" s="2">
        <v>73</v>
      </c>
      <c r="E904" s="2">
        <v>489</v>
      </c>
      <c r="F904" s="2">
        <v>191</v>
      </c>
      <c r="G904" s="2">
        <v>418</v>
      </c>
      <c r="H904" s="2">
        <v>449</v>
      </c>
      <c r="I904" s="2">
        <v>192</v>
      </c>
      <c r="J904" s="2">
        <v>22</v>
      </c>
      <c r="K904" s="2">
        <v>17</v>
      </c>
      <c r="L904" s="2">
        <v>414</v>
      </c>
      <c r="M904" s="2">
        <v>428</v>
      </c>
      <c r="N904" s="2">
        <v>305</v>
      </c>
      <c r="O904" s="2">
        <v>217</v>
      </c>
      <c r="P904" s="2">
        <v>3215</v>
      </c>
      <c r="Q904" s="2">
        <v>2</v>
      </c>
      <c r="R904" s="2">
        <v>6430</v>
      </c>
      <c r="S904" s="4">
        <f>SUM($R$2:R904) / SUM($R:$R)</f>
        <v>0.99963716460849739</v>
      </c>
      <c r="T904" s="3" t="str">
        <f t="shared" si="84"/>
        <v>C</v>
      </c>
      <c r="U904" s="2">
        <f t="shared" si="85"/>
        <v>267.91666666666669</v>
      </c>
      <c r="V904" s="2">
        <f t="shared" si="86"/>
        <v>172.74124544759968</v>
      </c>
      <c r="W904" s="2">
        <f t="shared" si="87"/>
        <v>0.64475737025542645</v>
      </c>
      <c r="X904" s="2" t="str">
        <f t="shared" si="88"/>
        <v>Z</v>
      </c>
      <c r="Y904" s="2" t="str">
        <f t="shared" si="89"/>
        <v>CZ</v>
      </c>
    </row>
    <row r="905" spans="1:25" x14ac:dyDescent="0.3">
      <c r="A905" s="2" t="s">
        <v>1081</v>
      </c>
      <c r="B905" s="2" t="s">
        <v>1082</v>
      </c>
      <c r="C905" s="2" t="s">
        <v>41</v>
      </c>
      <c r="D905" s="2">
        <v>240</v>
      </c>
      <c r="E905" s="2">
        <v>283</v>
      </c>
      <c r="F905" s="2">
        <v>242</v>
      </c>
      <c r="G905" s="2">
        <v>252</v>
      </c>
      <c r="H905" s="2">
        <v>263</v>
      </c>
      <c r="I905" s="2">
        <v>278</v>
      </c>
      <c r="J905" s="2">
        <v>262</v>
      </c>
      <c r="K905" s="2">
        <v>284</v>
      </c>
      <c r="L905" s="2">
        <v>276</v>
      </c>
      <c r="M905" s="2">
        <v>293</v>
      </c>
      <c r="N905" s="2">
        <v>266</v>
      </c>
      <c r="O905" s="2">
        <v>256</v>
      </c>
      <c r="P905" s="2">
        <v>3195</v>
      </c>
      <c r="Q905" s="2">
        <v>2</v>
      </c>
      <c r="R905" s="2">
        <v>6390</v>
      </c>
      <c r="S905" s="4">
        <f>SUM($R$2:R905) / SUM($R:$R)</f>
        <v>0.99964312382896425</v>
      </c>
      <c r="T905" s="3" t="str">
        <f t="shared" si="84"/>
        <v>C</v>
      </c>
      <c r="U905" s="2">
        <f t="shared" si="85"/>
        <v>266.25</v>
      </c>
      <c r="V905" s="2">
        <f t="shared" si="86"/>
        <v>16.9444278854034</v>
      </c>
      <c r="W905" s="2">
        <f t="shared" si="87"/>
        <v>6.3641043701045633E-2</v>
      </c>
      <c r="X905" s="2" t="str">
        <f t="shared" si="88"/>
        <v>X</v>
      </c>
      <c r="Y905" s="2" t="str">
        <f t="shared" si="89"/>
        <v>CX</v>
      </c>
    </row>
    <row r="906" spans="1:25" x14ac:dyDescent="0.3">
      <c r="A906" s="2" t="s">
        <v>1035</v>
      </c>
      <c r="B906" s="2" t="s">
        <v>1036</v>
      </c>
      <c r="C906" s="2" t="s">
        <v>56</v>
      </c>
      <c r="D906" s="2">
        <v>261</v>
      </c>
      <c r="E906" s="2">
        <v>280</v>
      </c>
      <c r="F906" s="2">
        <v>253</v>
      </c>
      <c r="G906" s="2">
        <v>283</v>
      </c>
      <c r="H906" s="2">
        <v>285</v>
      </c>
      <c r="I906" s="2">
        <v>251</v>
      </c>
      <c r="J906" s="2">
        <v>253</v>
      </c>
      <c r="K906" s="2">
        <v>263</v>
      </c>
      <c r="L906" s="2">
        <v>259</v>
      </c>
      <c r="M906" s="2">
        <v>287</v>
      </c>
      <c r="N906" s="2">
        <v>259</v>
      </c>
      <c r="O906" s="2">
        <v>254</v>
      </c>
      <c r="P906" s="2">
        <v>3188</v>
      </c>
      <c r="Q906" s="2">
        <v>2</v>
      </c>
      <c r="R906" s="2">
        <v>6376</v>
      </c>
      <c r="S906" s="4">
        <f>SUM($R$2:R906) / SUM($R:$R)</f>
        <v>0.99964906999323599</v>
      </c>
      <c r="T906" s="3" t="str">
        <f t="shared" si="84"/>
        <v>C</v>
      </c>
      <c r="U906" s="2">
        <f t="shared" si="85"/>
        <v>265.66666666666669</v>
      </c>
      <c r="V906" s="2">
        <f t="shared" si="86"/>
        <v>13.897896069244265</v>
      </c>
      <c r="W906" s="2">
        <f t="shared" si="87"/>
        <v>5.2313285078711157E-2</v>
      </c>
      <c r="X906" s="2" t="str">
        <f t="shared" si="88"/>
        <v>X</v>
      </c>
      <c r="Y906" s="2" t="str">
        <f t="shared" si="89"/>
        <v>CX</v>
      </c>
    </row>
    <row r="907" spans="1:25" x14ac:dyDescent="0.3">
      <c r="A907" s="2" t="s">
        <v>1673</v>
      </c>
      <c r="B907" s="2" t="s">
        <v>1674</v>
      </c>
      <c r="C907" s="2" t="s">
        <v>41</v>
      </c>
      <c r="D907" s="2">
        <v>245</v>
      </c>
      <c r="E907" s="2">
        <v>261</v>
      </c>
      <c r="F907" s="2">
        <v>258</v>
      </c>
      <c r="G907" s="2">
        <v>274</v>
      </c>
      <c r="H907" s="2">
        <v>234</v>
      </c>
      <c r="I907" s="2">
        <v>252</v>
      </c>
      <c r="J907" s="2">
        <v>251</v>
      </c>
      <c r="K907" s="2">
        <v>268</v>
      </c>
      <c r="L907" s="2">
        <v>246</v>
      </c>
      <c r="M907" s="2">
        <v>268</v>
      </c>
      <c r="N907" s="2">
        <v>273</v>
      </c>
      <c r="O907" s="2">
        <v>300</v>
      </c>
      <c r="P907" s="2">
        <v>3130</v>
      </c>
      <c r="Q907" s="2">
        <v>2</v>
      </c>
      <c r="R907" s="2">
        <v>6260</v>
      </c>
      <c r="S907" s="4">
        <f>SUM($R$2:R907) / SUM($R:$R)</f>
        <v>0.99965490797760559</v>
      </c>
      <c r="T907" s="3" t="str">
        <f t="shared" si="84"/>
        <v>C</v>
      </c>
      <c r="U907" s="2">
        <f t="shared" si="85"/>
        <v>260.83333333333331</v>
      </c>
      <c r="V907" s="2">
        <f t="shared" si="86"/>
        <v>17.403413110042177</v>
      </c>
      <c r="W907" s="2">
        <f t="shared" si="87"/>
        <v>6.6722350581631354E-2</v>
      </c>
      <c r="X907" s="2" t="str">
        <f t="shared" si="88"/>
        <v>X</v>
      </c>
      <c r="Y907" s="2" t="str">
        <f t="shared" si="89"/>
        <v>CX</v>
      </c>
    </row>
    <row r="908" spans="1:25" x14ac:dyDescent="0.3">
      <c r="A908" s="2" t="s">
        <v>535</v>
      </c>
      <c r="B908" s="2" t="s">
        <v>536</v>
      </c>
      <c r="C908" s="2" t="s">
        <v>41</v>
      </c>
      <c r="D908" s="2">
        <v>238</v>
      </c>
      <c r="E908" s="2">
        <v>241</v>
      </c>
      <c r="F908" s="2">
        <v>267</v>
      </c>
      <c r="G908" s="2">
        <v>268</v>
      </c>
      <c r="H908" s="2">
        <v>292</v>
      </c>
      <c r="I908" s="2">
        <v>252</v>
      </c>
      <c r="J908" s="2">
        <v>288</v>
      </c>
      <c r="K908" s="2">
        <v>250</v>
      </c>
      <c r="L908" s="2">
        <v>260</v>
      </c>
      <c r="M908" s="2">
        <v>254</v>
      </c>
      <c r="N908" s="2">
        <v>249</v>
      </c>
      <c r="O908" s="2">
        <v>248</v>
      </c>
      <c r="P908" s="2">
        <v>3107</v>
      </c>
      <c r="Q908" s="2">
        <v>2</v>
      </c>
      <c r="R908" s="2">
        <v>6214</v>
      </c>
      <c r="S908" s="4">
        <f>SUM($R$2:R908) / SUM($R:$R)</f>
        <v>0.99966070306304866</v>
      </c>
      <c r="T908" s="3" t="str">
        <f t="shared" si="84"/>
        <v>C</v>
      </c>
      <c r="U908" s="2">
        <f t="shared" si="85"/>
        <v>258.91666666666669</v>
      </c>
      <c r="V908" s="2">
        <f t="shared" si="86"/>
        <v>17.10108095112615</v>
      </c>
      <c r="W908" s="2">
        <f t="shared" si="87"/>
        <v>6.6048590734957766E-2</v>
      </c>
      <c r="X908" s="2" t="str">
        <f t="shared" si="88"/>
        <v>X</v>
      </c>
      <c r="Y908" s="2" t="str">
        <f t="shared" si="89"/>
        <v>CX</v>
      </c>
    </row>
    <row r="909" spans="1:25" x14ac:dyDescent="0.3">
      <c r="A909" s="2" t="s">
        <v>423</v>
      </c>
      <c r="B909" s="2" t="s">
        <v>424</v>
      </c>
      <c r="C909" s="2" t="s">
        <v>25</v>
      </c>
      <c r="D909" s="2">
        <v>302</v>
      </c>
      <c r="E909" s="2">
        <v>71</v>
      </c>
      <c r="F909" s="2">
        <v>310</v>
      </c>
      <c r="G909" s="2">
        <v>440</v>
      </c>
      <c r="H909" s="2">
        <v>333</v>
      </c>
      <c r="I909" s="2">
        <v>307</v>
      </c>
      <c r="J909" s="2">
        <v>213</v>
      </c>
      <c r="K909" s="2">
        <v>3</v>
      </c>
      <c r="L909" s="2">
        <v>373</v>
      </c>
      <c r="M909" s="2">
        <v>250</v>
      </c>
      <c r="N909" s="2">
        <v>234</v>
      </c>
      <c r="O909" s="2">
        <v>259</v>
      </c>
      <c r="P909" s="2">
        <v>3095</v>
      </c>
      <c r="Q909" s="2">
        <v>2</v>
      </c>
      <c r="R909" s="2">
        <v>6190</v>
      </c>
      <c r="S909" s="4">
        <f>SUM($R$2:R909) / SUM($R:$R)</f>
        <v>0.99966647576644296</v>
      </c>
      <c r="T909" s="3" t="str">
        <f t="shared" si="84"/>
        <v>C</v>
      </c>
      <c r="U909" s="2">
        <f t="shared" si="85"/>
        <v>257.91666666666669</v>
      </c>
      <c r="V909" s="2">
        <f t="shared" si="86"/>
        <v>121.23415235390436</v>
      </c>
      <c r="W909" s="2">
        <f t="shared" si="87"/>
        <v>0.47005164079058231</v>
      </c>
      <c r="X909" s="2" t="str">
        <f t="shared" si="88"/>
        <v>Y</v>
      </c>
      <c r="Y909" s="2" t="str">
        <f t="shared" si="89"/>
        <v>CY</v>
      </c>
    </row>
    <row r="910" spans="1:25" x14ac:dyDescent="0.3">
      <c r="A910" s="2" t="s">
        <v>345</v>
      </c>
      <c r="B910" s="2" t="s">
        <v>346</v>
      </c>
      <c r="C910" s="2" t="s">
        <v>25</v>
      </c>
      <c r="D910" s="2">
        <v>36</v>
      </c>
      <c r="E910" s="2">
        <v>365</v>
      </c>
      <c r="F910" s="2">
        <v>419</v>
      </c>
      <c r="G910" s="2">
        <v>378</v>
      </c>
      <c r="H910" s="2">
        <v>282</v>
      </c>
      <c r="I910" s="2">
        <v>206</v>
      </c>
      <c r="J910" s="2">
        <v>214</v>
      </c>
      <c r="K910" s="2">
        <v>283</v>
      </c>
      <c r="L910" s="2">
        <v>144</v>
      </c>
      <c r="M910" s="2">
        <v>63</v>
      </c>
      <c r="N910" s="2">
        <v>214</v>
      </c>
      <c r="O910" s="2">
        <v>462</v>
      </c>
      <c r="P910" s="2">
        <v>3066</v>
      </c>
      <c r="Q910" s="2">
        <v>2</v>
      </c>
      <c r="R910" s="2">
        <v>6132</v>
      </c>
      <c r="S910" s="4">
        <f>SUM($R$2:R910) / SUM($R:$R)</f>
        <v>0.99967219437988619</v>
      </c>
      <c r="T910" s="3" t="str">
        <f t="shared" si="84"/>
        <v>C</v>
      </c>
      <c r="U910" s="2">
        <f t="shared" si="85"/>
        <v>255.5</v>
      </c>
      <c r="V910" s="2">
        <f t="shared" si="86"/>
        <v>135.30873787547699</v>
      </c>
      <c r="W910" s="2">
        <f t="shared" si="87"/>
        <v>0.52958410127388256</v>
      </c>
      <c r="X910" s="2" t="str">
        <f t="shared" si="88"/>
        <v>Z</v>
      </c>
      <c r="Y910" s="2" t="str">
        <f t="shared" si="89"/>
        <v>CZ</v>
      </c>
    </row>
    <row r="911" spans="1:25" x14ac:dyDescent="0.3">
      <c r="A911" s="2" t="s">
        <v>1719</v>
      </c>
      <c r="B911" s="2" t="s">
        <v>1720</v>
      </c>
      <c r="C911" s="2" t="s">
        <v>56</v>
      </c>
      <c r="D911" s="2">
        <v>264</v>
      </c>
      <c r="E911" s="2">
        <v>252</v>
      </c>
      <c r="F911" s="2">
        <v>249</v>
      </c>
      <c r="G911" s="2">
        <v>258</v>
      </c>
      <c r="H911" s="2">
        <v>245</v>
      </c>
      <c r="I911" s="2">
        <v>280</v>
      </c>
      <c r="J911" s="2">
        <v>220</v>
      </c>
      <c r="K911" s="2">
        <v>267</v>
      </c>
      <c r="L911" s="2">
        <v>253</v>
      </c>
      <c r="M911" s="2">
        <v>230</v>
      </c>
      <c r="N911" s="2">
        <v>263</v>
      </c>
      <c r="O911" s="2">
        <v>268</v>
      </c>
      <c r="P911" s="2">
        <v>3049</v>
      </c>
      <c r="Q911" s="2">
        <v>2</v>
      </c>
      <c r="R911" s="2">
        <v>6098</v>
      </c>
      <c r="S911" s="4">
        <f>SUM($R$2:R911) / SUM($R:$R)</f>
        <v>0.99967788128542712</v>
      </c>
      <c r="T911" s="3" t="str">
        <f t="shared" si="84"/>
        <v>C</v>
      </c>
      <c r="U911" s="2">
        <f t="shared" si="85"/>
        <v>254.08333333333334</v>
      </c>
      <c r="V911" s="2">
        <f t="shared" si="86"/>
        <v>16.735690405039566</v>
      </c>
      <c r="W911" s="2">
        <f t="shared" si="87"/>
        <v>6.5866935014914654E-2</v>
      </c>
      <c r="X911" s="2" t="str">
        <f t="shared" si="88"/>
        <v>X</v>
      </c>
      <c r="Y911" s="2" t="str">
        <f t="shared" si="89"/>
        <v>CX</v>
      </c>
    </row>
    <row r="912" spans="1:25" x14ac:dyDescent="0.3">
      <c r="A912" s="2" t="s">
        <v>1743</v>
      </c>
      <c r="B912" s="2" t="s">
        <v>1744</v>
      </c>
      <c r="C912" s="2" t="s">
        <v>41</v>
      </c>
      <c r="D912" s="2">
        <v>239</v>
      </c>
      <c r="E912" s="2">
        <v>240</v>
      </c>
      <c r="F912" s="2">
        <v>254</v>
      </c>
      <c r="G912" s="2">
        <v>264</v>
      </c>
      <c r="H912" s="2">
        <v>239</v>
      </c>
      <c r="I912" s="2">
        <v>257</v>
      </c>
      <c r="J912" s="2">
        <v>224</v>
      </c>
      <c r="K912" s="2">
        <v>273</v>
      </c>
      <c r="L912" s="2">
        <v>262</v>
      </c>
      <c r="M912" s="2">
        <v>255</v>
      </c>
      <c r="N912" s="2">
        <v>275</v>
      </c>
      <c r="O912" s="2">
        <v>262</v>
      </c>
      <c r="P912" s="2">
        <v>3044</v>
      </c>
      <c r="Q912" s="2">
        <v>2</v>
      </c>
      <c r="R912" s="2">
        <v>6088</v>
      </c>
      <c r="S912" s="4">
        <f>SUM($R$2:R912) / SUM($R:$R)</f>
        <v>0.99968355886511451</v>
      </c>
      <c r="T912" s="3" t="str">
        <f t="shared" si="84"/>
        <v>C</v>
      </c>
      <c r="U912" s="2">
        <f t="shared" si="85"/>
        <v>253.66666666666666</v>
      </c>
      <c r="V912" s="2">
        <f t="shared" si="86"/>
        <v>15.32872130902304</v>
      </c>
      <c r="W912" s="2">
        <f t="shared" si="87"/>
        <v>6.0428599115728149E-2</v>
      </c>
      <c r="X912" s="2" t="str">
        <f t="shared" si="88"/>
        <v>X</v>
      </c>
      <c r="Y912" s="2" t="str">
        <f t="shared" si="89"/>
        <v>CX</v>
      </c>
    </row>
    <row r="913" spans="1:25" x14ac:dyDescent="0.3">
      <c r="A913" s="2" t="s">
        <v>107</v>
      </c>
      <c r="B913" s="2" t="s">
        <v>108</v>
      </c>
      <c r="C913" s="2" t="s">
        <v>36</v>
      </c>
      <c r="D913" s="2">
        <v>233</v>
      </c>
      <c r="E913" s="2">
        <v>251</v>
      </c>
      <c r="F913" s="2">
        <v>244</v>
      </c>
      <c r="G913" s="2">
        <v>262</v>
      </c>
      <c r="H913" s="2">
        <v>255</v>
      </c>
      <c r="I913" s="2">
        <v>254</v>
      </c>
      <c r="J913" s="2">
        <v>233</v>
      </c>
      <c r="K913" s="2">
        <v>263</v>
      </c>
      <c r="L913" s="2">
        <v>258</v>
      </c>
      <c r="M913" s="2">
        <v>285</v>
      </c>
      <c r="N913" s="2">
        <v>241</v>
      </c>
      <c r="O913" s="2">
        <v>258</v>
      </c>
      <c r="P913" s="2">
        <v>3037</v>
      </c>
      <c r="Q913" s="2">
        <v>2</v>
      </c>
      <c r="R913" s="2">
        <v>6074</v>
      </c>
      <c r="S913" s="4">
        <f>SUM($R$2:R913) / SUM($R:$R)</f>
        <v>0.99968922338860677</v>
      </c>
      <c r="T913" s="3" t="str">
        <f t="shared" si="84"/>
        <v>C</v>
      </c>
      <c r="U913" s="2">
        <f t="shared" si="85"/>
        <v>253.08333333333334</v>
      </c>
      <c r="V913" s="2">
        <f t="shared" si="86"/>
        <v>14.425093876066573</v>
      </c>
      <c r="W913" s="2">
        <f t="shared" si="87"/>
        <v>5.6997407478695708E-2</v>
      </c>
      <c r="X913" s="2" t="str">
        <f t="shared" si="88"/>
        <v>X</v>
      </c>
      <c r="Y913" s="2" t="str">
        <f t="shared" si="89"/>
        <v>CX</v>
      </c>
    </row>
    <row r="914" spans="1:25" x14ac:dyDescent="0.3">
      <c r="A914" s="2" t="s">
        <v>723</v>
      </c>
      <c r="B914" s="2" t="s">
        <v>724</v>
      </c>
      <c r="C914" s="2" t="s">
        <v>36</v>
      </c>
      <c r="D914" s="2">
        <v>41</v>
      </c>
      <c r="E914" s="2">
        <v>49</v>
      </c>
      <c r="F914" s="2">
        <v>49</v>
      </c>
      <c r="G914" s="2">
        <v>63</v>
      </c>
      <c r="H914" s="2">
        <v>44</v>
      </c>
      <c r="I914" s="2">
        <v>54</v>
      </c>
      <c r="J914" s="2">
        <v>50</v>
      </c>
      <c r="K914" s="2">
        <v>58</v>
      </c>
      <c r="L914" s="2">
        <v>56</v>
      </c>
      <c r="M914" s="2">
        <v>45</v>
      </c>
      <c r="N914" s="2">
        <v>48</v>
      </c>
      <c r="O914" s="2">
        <v>50</v>
      </c>
      <c r="P914" s="2">
        <v>607</v>
      </c>
      <c r="Q914" s="2">
        <v>10</v>
      </c>
      <c r="R914" s="2">
        <v>6070</v>
      </c>
      <c r="S914" s="4">
        <f>SUM($R$2:R914) / SUM($R:$R)</f>
        <v>0.99969488418175756</v>
      </c>
      <c r="T914" s="3" t="str">
        <f t="shared" si="84"/>
        <v>C</v>
      </c>
      <c r="U914" s="2">
        <f t="shared" si="85"/>
        <v>50.583333333333336</v>
      </c>
      <c r="V914" s="2">
        <f t="shared" si="86"/>
        <v>6.244391422902984</v>
      </c>
      <c r="W914" s="2">
        <f t="shared" si="87"/>
        <v>0.12344760638358453</v>
      </c>
      <c r="X914" s="2" t="str">
        <f t="shared" si="88"/>
        <v>X</v>
      </c>
      <c r="Y914" s="2" t="str">
        <f t="shared" si="89"/>
        <v>CX</v>
      </c>
    </row>
    <row r="915" spans="1:25" x14ac:dyDescent="0.3">
      <c r="A915" s="2" t="s">
        <v>1217</v>
      </c>
      <c r="B915" s="2" t="s">
        <v>1218</v>
      </c>
      <c r="C915" s="2" t="s">
        <v>36</v>
      </c>
      <c r="D915" s="2">
        <v>268</v>
      </c>
      <c r="E915" s="2">
        <v>231</v>
      </c>
      <c r="F915" s="2">
        <v>233</v>
      </c>
      <c r="G915" s="2">
        <v>230</v>
      </c>
      <c r="H915" s="2">
        <v>281</v>
      </c>
      <c r="I915" s="2">
        <v>258</v>
      </c>
      <c r="J915" s="2">
        <v>270</v>
      </c>
      <c r="K915" s="2">
        <v>244</v>
      </c>
      <c r="L915" s="2">
        <v>279</v>
      </c>
      <c r="M915" s="2">
        <v>252</v>
      </c>
      <c r="N915" s="2">
        <v>225</v>
      </c>
      <c r="O915" s="2">
        <v>255</v>
      </c>
      <c r="P915" s="2">
        <v>3026</v>
      </c>
      <c r="Q915" s="2">
        <v>2</v>
      </c>
      <c r="R915" s="2">
        <v>6052</v>
      </c>
      <c r="S915" s="4">
        <f>SUM($R$2:R915) / SUM($R:$R)</f>
        <v>0.99970052818837185</v>
      </c>
      <c r="T915" s="3" t="str">
        <f t="shared" si="84"/>
        <v>C</v>
      </c>
      <c r="U915" s="2">
        <f t="shared" si="85"/>
        <v>252.16666666666666</v>
      </c>
      <c r="V915" s="2">
        <f t="shared" si="86"/>
        <v>19.71078769392922</v>
      </c>
      <c r="W915" s="2">
        <f t="shared" si="87"/>
        <v>7.8165714582667106E-2</v>
      </c>
      <c r="X915" s="2" t="str">
        <f t="shared" si="88"/>
        <v>X</v>
      </c>
      <c r="Y915" s="2" t="str">
        <f t="shared" si="89"/>
        <v>CX</v>
      </c>
    </row>
    <row r="916" spans="1:25" x14ac:dyDescent="0.3">
      <c r="A916" s="2" t="s">
        <v>1621</v>
      </c>
      <c r="B916" s="2" t="s">
        <v>1622</v>
      </c>
      <c r="C916" s="2" t="s">
        <v>41</v>
      </c>
      <c r="D916" s="2">
        <v>226</v>
      </c>
      <c r="E916" s="2">
        <v>252</v>
      </c>
      <c r="F916" s="2">
        <v>250</v>
      </c>
      <c r="G916" s="2">
        <v>236</v>
      </c>
      <c r="H916" s="2">
        <v>252</v>
      </c>
      <c r="I916" s="2">
        <v>239</v>
      </c>
      <c r="J916" s="2">
        <v>254</v>
      </c>
      <c r="K916" s="2">
        <v>240</v>
      </c>
      <c r="L916" s="2">
        <v>296</v>
      </c>
      <c r="M916" s="2">
        <v>273</v>
      </c>
      <c r="N916" s="2">
        <v>251</v>
      </c>
      <c r="O916" s="2">
        <v>225</v>
      </c>
      <c r="P916" s="2">
        <v>2994</v>
      </c>
      <c r="Q916" s="2">
        <v>2</v>
      </c>
      <c r="R916" s="2">
        <v>5988</v>
      </c>
      <c r="S916" s="4">
        <f>SUM($R$2:R916) / SUM($R:$R)</f>
        <v>0.9997061125095229</v>
      </c>
      <c r="T916" s="3" t="str">
        <f t="shared" si="84"/>
        <v>C</v>
      </c>
      <c r="U916" s="2">
        <f t="shared" si="85"/>
        <v>249.5</v>
      </c>
      <c r="V916" s="2">
        <f t="shared" si="86"/>
        <v>19.736905901013323</v>
      </c>
      <c r="W916" s="2">
        <f t="shared" si="87"/>
        <v>7.9105835274602493E-2</v>
      </c>
      <c r="X916" s="2" t="str">
        <f t="shared" si="88"/>
        <v>X</v>
      </c>
      <c r="Y916" s="2" t="str">
        <f t="shared" si="89"/>
        <v>CX</v>
      </c>
    </row>
    <row r="917" spans="1:25" x14ac:dyDescent="0.3">
      <c r="A917" s="2" t="s">
        <v>1179</v>
      </c>
      <c r="B917" s="2" t="s">
        <v>1180</v>
      </c>
      <c r="C917" s="2" t="s">
        <v>56</v>
      </c>
      <c r="D917" s="2">
        <v>222</v>
      </c>
      <c r="E917" s="2">
        <v>267</v>
      </c>
      <c r="F917" s="2">
        <v>258</v>
      </c>
      <c r="G917" s="2">
        <v>228</v>
      </c>
      <c r="H917" s="2">
        <v>242</v>
      </c>
      <c r="I917" s="2">
        <v>262</v>
      </c>
      <c r="J917" s="2">
        <v>224</v>
      </c>
      <c r="K917" s="2">
        <v>236</v>
      </c>
      <c r="L917" s="2">
        <v>269</v>
      </c>
      <c r="M917" s="2">
        <v>258</v>
      </c>
      <c r="N917" s="2">
        <v>221</v>
      </c>
      <c r="O917" s="2">
        <v>272</v>
      </c>
      <c r="P917" s="2">
        <v>2959</v>
      </c>
      <c r="Q917" s="2">
        <v>2</v>
      </c>
      <c r="R917" s="2">
        <v>5918</v>
      </c>
      <c r="S917" s="4">
        <f>SUM($R$2:R917) / SUM($R:$R)</f>
        <v>0.99971163154969855</v>
      </c>
      <c r="T917" s="3" t="str">
        <f t="shared" si="84"/>
        <v>C</v>
      </c>
      <c r="U917" s="2">
        <f t="shared" si="85"/>
        <v>246.58333333333334</v>
      </c>
      <c r="V917" s="2">
        <f t="shared" si="86"/>
        <v>19.796502598982357</v>
      </c>
      <c r="W917" s="2">
        <f t="shared" si="87"/>
        <v>8.028321432503828E-2</v>
      </c>
      <c r="X917" s="2" t="str">
        <f t="shared" si="88"/>
        <v>X</v>
      </c>
      <c r="Y917" s="2" t="str">
        <f t="shared" si="89"/>
        <v>CX</v>
      </c>
    </row>
    <row r="918" spans="1:25" x14ac:dyDescent="0.3">
      <c r="A918" s="2" t="s">
        <v>891</v>
      </c>
      <c r="B918" s="2" t="s">
        <v>892</v>
      </c>
      <c r="C918" s="2" t="s">
        <v>41</v>
      </c>
      <c r="D918" s="2">
        <v>208</v>
      </c>
      <c r="E918" s="2">
        <v>255</v>
      </c>
      <c r="F918" s="2">
        <v>255</v>
      </c>
      <c r="G918" s="2">
        <v>266</v>
      </c>
      <c r="H918" s="2">
        <v>254</v>
      </c>
      <c r="I918" s="2">
        <v>262</v>
      </c>
      <c r="J918" s="2">
        <v>243</v>
      </c>
      <c r="K918" s="2">
        <v>248</v>
      </c>
      <c r="L918" s="2">
        <v>245</v>
      </c>
      <c r="M918" s="2">
        <v>241</v>
      </c>
      <c r="N918" s="2">
        <v>242</v>
      </c>
      <c r="O918" s="2">
        <v>239</v>
      </c>
      <c r="P918" s="2">
        <v>2958</v>
      </c>
      <c r="Q918" s="2">
        <v>2</v>
      </c>
      <c r="R918" s="2">
        <v>5916</v>
      </c>
      <c r="S918" s="4">
        <f>SUM($R$2:R918) / SUM($R:$R)</f>
        <v>0.99971714872470352</v>
      </c>
      <c r="T918" s="3" t="str">
        <f t="shared" si="84"/>
        <v>C</v>
      </c>
      <c r="U918" s="2">
        <f t="shared" si="85"/>
        <v>246.5</v>
      </c>
      <c r="V918" s="2">
        <f t="shared" si="86"/>
        <v>14.853833297716911</v>
      </c>
      <c r="W918" s="2">
        <f t="shared" si="87"/>
        <v>6.0258958611427632E-2</v>
      </c>
      <c r="X918" s="2" t="str">
        <f t="shared" si="88"/>
        <v>X</v>
      </c>
      <c r="Y918" s="2" t="str">
        <f t="shared" si="89"/>
        <v>CX</v>
      </c>
    </row>
    <row r="919" spans="1:25" x14ac:dyDescent="0.3">
      <c r="A919" s="2" t="s">
        <v>261</v>
      </c>
      <c r="B919" s="2" t="s">
        <v>262</v>
      </c>
      <c r="C919" s="2" t="s">
        <v>36</v>
      </c>
      <c r="D919" s="2">
        <v>234</v>
      </c>
      <c r="E919" s="2">
        <v>297</v>
      </c>
      <c r="F919" s="2">
        <v>242</v>
      </c>
      <c r="G919" s="2">
        <v>226</v>
      </c>
      <c r="H919" s="2">
        <v>270</v>
      </c>
      <c r="I919" s="2">
        <v>246</v>
      </c>
      <c r="J919" s="2">
        <v>232</v>
      </c>
      <c r="K919" s="2">
        <v>231</v>
      </c>
      <c r="L919" s="2">
        <v>246</v>
      </c>
      <c r="M919" s="2">
        <v>233</v>
      </c>
      <c r="N919" s="2">
        <v>259</v>
      </c>
      <c r="O919" s="2">
        <v>234</v>
      </c>
      <c r="P919" s="2">
        <v>2950</v>
      </c>
      <c r="Q919" s="2">
        <v>2</v>
      </c>
      <c r="R919" s="2">
        <v>5900</v>
      </c>
      <c r="S919" s="4">
        <f>SUM($R$2:R919) / SUM($R:$R)</f>
        <v>0.99972265097834268</v>
      </c>
      <c r="T919" s="3" t="str">
        <f t="shared" si="84"/>
        <v>C</v>
      </c>
      <c r="U919" s="2">
        <f t="shared" si="85"/>
        <v>245.83333333333334</v>
      </c>
      <c r="V919" s="2">
        <f t="shared" si="86"/>
        <v>20.537474985690881</v>
      </c>
      <c r="W919" s="2">
        <f t="shared" si="87"/>
        <v>8.3542271128234091E-2</v>
      </c>
      <c r="X919" s="2" t="str">
        <f t="shared" si="88"/>
        <v>X</v>
      </c>
      <c r="Y919" s="2" t="str">
        <f t="shared" si="89"/>
        <v>CX</v>
      </c>
    </row>
    <row r="920" spans="1:25" x14ac:dyDescent="0.3">
      <c r="A920" s="2" t="s">
        <v>861</v>
      </c>
      <c r="B920" s="2" t="s">
        <v>862</v>
      </c>
      <c r="C920" s="2" t="s">
        <v>41</v>
      </c>
      <c r="D920" s="2">
        <v>236</v>
      </c>
      <c r="E920" s="2">
        <v>272</v>
      </c>
      <c r="F920" s="2">
        <v>233</v>
      </c>
      <c r="G920" s="2">
        <v>252</v>
      </c>
      <c r="H920" s="2">
        <v>241</v>
      </c>
      <c r="I920" s="2">
        <v>231</v>
      </c>
      <c r="J920" s="2">
        <v>249</v>
      </c>
      <c r="K920" s="2">
        <v>236</v>
      </c>
      <c r="L920" s="2">
        <v>262</v>
      </c>
      <c r="M920" s="2">
        <v>260</v>
      </c>
      <c r="N920" s="2">
        <v>227</v>
      </c>
      <c r="O920" s="2">
        <v>229</v>
      </c>
      <c r="P920" s="2">
        <v>2928</v>
      </c>
      <c r="Q920" s="2">
        <v>2</v>
      </c>
      <c r="R920" s="2">
        <v>5856</v>
      </c>
      <c r="S920" s="4">
        <f>SUM($R$2:R920) / SUM($R:$R)</f>
        <v>0.99972811219822588</v>
      </c>
      <c r="T920" s="3" t="str">
        <f t="shared" si="84"/>
        <v>C</v>
      </c>
      <c r="U920" s="2">
        <f t="shared" si="85"/>
        <v>244</v>
      </c>
      <c r="V920" s="2">
        <f t="shared" si="86"/>
        <v>14.752503639598386</v>
      </c>
      <c r="W920" s="2">
        <f t="shared" si="87"/>
        <v>6.0461080490157318E-2</v>
      </c>
      <c r="X920" s="2" t="str">
        <f t="shared" si="88"/>
        <v>X</v>
      </c>
      <c r="Y920" s="2" t="str">
        <f t="shared" si="89"/>
        <v>CX</v>
      </c>
    </row>
    <row r="921" spans="1:25" x14ac:dyDescent="0.3">
      <c r="A921" s="2" t="s">
        <v>871</v>
      </c>
      <c r="B921" s="2" t="s">
        <v>872</v>
      </c>
      <c r="C921" s="2" t="s">
        <v>41</v>
      </c>
      <c r="D921" s="2">
        <v>236</v>
      </c>
      <c r="E921" s="2">
        <v>260</v>
      </c>
      <c r="F921" s="2">
        <v>244</v>
      </c>
      <c r="G921" s="2">
        <v>237</v>
      </c>
      <c r="H921" s="2">
        <v>267</v>
      </c>
      <c r="I921" s="2">
        <v>233</v>
      </c>
      <c r="J921" s="2">
        <v>258</v>
      </c>
      <c r="K921" s="2">
        <v>224</v>
      </c>
      <c r="L921" s="2">
        <v>252</v>
      </c>
      <c r="M921" s="2">
        <v>232</v>
      </c>
      <c r="N921" s="2">
        <v>248</v>
      </c>
      <c r="O921" s="2">
        <v>230</v>
      </c>
      <c r="P921" s="2">
        <v>2921</v>
      </c>
      <c r="Q921" s="2">
        <v>2</v>
      </c>
      <c r="R921" s="2">
        <v>5842</v>
      </c>
      <c r="S921" s="4">
        <f>SUM($R$2:R921) / SUM($R:$R)</f>
        <v>0.99973356036191396</v>
      </c>
      <c r="T921" s="3" t="str">
        <f t="shared" si="84"/>
        <v>C</v>
      </c>
      <c r="U921" s="2">
        <f t="shared" si="85"/>
        <v>243.41666666666666</v>
      </c>
      <c r="V921" s="2">
        <f t="shared" si="86"/>
        <v>13.587817627521643</v>
      </c>
      <c r="W921" s="2">
        <f t="shared" si="87"/>
        <v>5.5821229555035851E-2</v>
      </c>
      <c r="X921" s="2" t="str">
        <f t="shared" si="88"/>
        <v>X</v>
      </c>
      <c r="Y921" s="2" t="str">
        <f t="shared" si="89"/>
        <v>CX</v>
      </c>
    </row>
    <row r="922" spans="1:25" x14ac:dyDescent="0.3">
      <c r="A922" s="2" t="s">
        <v>183</v>
      </c>
      <c r="B922" s="2" t="s">
        <v>184</v>
      </c>
      <c r="C922" s="2" t="s">
        <v>56</v>
      </c>
      <c r="D922" s="2">
        <v>44</v>
      </c>
      <c r="E922" s="2">
        <v>42</v>
      </c>
      <c r="F922" s="2">
        <v>45</v>
      </c>
      <c r="G922" s="2">
        <v>50</v>
      </c>
      <c r="H922" s="2">
        <v>56</v>
      </c>
      <c r="I922" s="2">
        <v>51</v>
      </c>
      <c r="J922" s="2">
        <v>50</v>
      </c>
      <c r="K922" s="2">
        <v>47</v>
      </c>
      <c r="L922" s="2">
        <v>50</v>
      </c>
      <c r="M922" s="2">
        <v>47</v>
      </c>
      <c r="N922" s="2">
        <v>50</v>
      </c>
      <c r="O922" s="2">
        <v>49</v>
      </c>
      <c r="P922" s="2">
        <v>581</v>
      </c>
      <c r="Q922" s="2">
        <v>10</v>
      </c>
      <c r="R922" s="2">
        <v>5810</v>
      </c>
      <c r="S922" s="4">
        <f>SUM($R$2:R922) / SUM($R:$R)</f>
        <v>0.99973897868287054</v>
      </c>
      <c r="T922" s="3" t="str">
        <f t="shared" si="84"/>
        <v>C</v>
      </c>
      <c r="U922" s="2">
        <f t="shared" si="85"/>
        <v>48.416666666666664</v>
      </c>
      <c r="V922" s="2">
        <f t="shared" si="86"/>
        <v>3.7040109300185615</v>
      </c>
      <c r="W922" s="2">
        <f t="shared" si="87"/>
        <v>7.6502807504686299E-2</v>
      </c>
      <c r="X922" s="2" t="str">
        <f t="shared" si="88"/>
        <v>X</v>
      </c>
      <c r="Y922" s="2" t="str">
        <f t="shared" si="89"/>
        <v>CX</v>
      </c>
    </row>
    <row r="923" spans="1:25" x14ac:dyDescent="0.3">
      <c r="A923" s="2" t="s">
        <v>1709</v>
      </c>
      <c r="B923" s="2" t="s">
        <v>1710</v>
      </c>
      <c r="C923" s="2" t="s">
        <v>36</v>
      </c>
      <c r="D923" s="2">
        <v>233</v>
      </c>
      <c r="E923" s="2">
        <v>232</v>
      </c>
      <c r="F923" s="2">
        <v>228</v>
      </c>
      <c r="G923" s="2">
        <v>222</v>
      </c>
      <c r="H923" s="2">
        <v>248</v>
      </c>
      <c r="I923" s="2">
        <v>240</v>
      </c>
      <c r="J923" s="2">
        <v>239</v>
      </c>
      <c r="K923" s="2">
        <v>228</v>
      </c>
      <c r="L923" s="2">
        <v>270</v>
      </c>
      <c r="M923" s="2">
        <v>225</v>
      </c>
      <c r="N923" s="2">
        <v>252</v>
      </c>
      <c r="O923" s="2">
        <v>235</v>
      </c>
      <c r="P923" s="2">
        <v>2852</v>
      </c>
      <c r="Q923" s="2">
        <v>2</v>
      </c>
      <c r="R923" s="2">
        <v>5704</v>
      </c>
      <c r="S923" s="4">
        <f>SUM($R$2:R923) / SUM($R:$R)</f>
        <v>0.99974429814977861</v>
      </c>
      <c r="T923" s="3" t="str">
        <f t="shared" si="84"/>
        <v>C</v>
      </c>
      <c r="U923" s="2">
        <f t="shared" si="85"/>
        <v>237.66666666666666</v>
      </c>
      <c r="V923" s="2">
        <f t="shared" si="86"/>
        <v>13.546776425229417</v>
      </c>
      <c r="W923" s="2">
        <f t="shared" si="87"/>
        <v>5.6999059292690397E-2</v>
      </c>
      <c r="X923" s="2" t="str">
        <f t="shared" si="88"/>
        <v>X</v>
      </c>
      <c r="Y923" s="2" t="str">
        <f t="shared" si="89"/>
        <v>CX</v>
      </c>
    </row>
    <row r="924" spans="1:25" x14ac:dyDescent="0.3">
      <c r="A924" s="2" t="s">
        <v>475</v>
      </c>
      <c r="B924" s="2" t="s">
        <v>476</v>
      </c>
      <c r="C924" s="2" t="s">
        <v>41</v>
      </c>
      <c r="D924" s="2">
        <v>225</v>
      </c>
      <c r="E924" s="2">
        <v>249</v>
      </c>
      <c r="F924" s="2">
        <v>246</v>
      </c>
      <c r="G924" s="2">
        <v>242</v>
      </c>
      <c r="H924" s="2">
        <v>214</v>
      </c>
      <c r="I924" s="2">
        <v>242</v>
      </c>
      <c r="J924" s="2">
        <v>209</v>
      </c>
      <c r="K924" s="2">
        <v>242</v>
      </c>
      <c r="L924" s="2">
        <v>245</v>
      </c>
      <c r="M924" s="2">
        <v>222</v>
      </c>
      <c r="N924" s="2">
        <v>245</v>
      </c>
      <c r="O924" s="2">
        <v>235</v>
      </c>
      <c r="P924" s="2">
        <v>2816</v>
      </c>
      <c r="Q924" s="2">
        <v>2</v>
      </c>
      <c r="R924" s="2">
        <v>5632</v>
      </c>
      <c r="S924" s="4">
        <f>SUM($R$2:R924) / SUM($R:$R)</f>
        <v>0.99974955047054059</v>
      </c>
      <c r="T924" s="3" t="str">
        <f t="shared" si="84"/>
        <v>C</v>
      </c>
      <c r="U924" s="2">
        <f t="shared" si="85"/>
        <v>234.66666666666666</v>
      </c>
      <c r="V924" s="2">
        <f t="shared" si="86"/>
        <v>13.647066506851361</v>
      </c>
      <c r="W924" s="2">
        <f t="shared" si="87"/>
        <v>5.8155112955332509E-2</v>
      </c>
      <c r="X924" s="2" t="str">
        <f t="shared" si="88"/>
        <v>X</v>
      </c>
      <c r="Y924" s="2" t="str">
        <f t="shared" si="89"/>
        <v>CX</v>
      </c>
    </row>
    <row r="925" spans="1:25" x14ac:dyDescent="0.3">
      <c r="A925" s="2" t="s">
        <v>131</v>
      </c>
      <c r="B925" s="2" t="s">
        <v>132</v>
      </c>
      <c r="C925" s="2" t="s">
        <v>25</v>
      </c>
      <c r="D925" s="2">
        <v>52</v>
      </c>
      <c r="E925" s="2">
        <v>383</v>
      </c>
      <c r="F925" s="2">
        <v>4</v>
      </c>
      <c r="G925" s="2">
        <v>39</v>
      </c>
      <c r="H925" s="2">
        <v>431</v>
      </c>
      <c r="I925" s="2">
        <v>374</v>
      </c>
      <c r="J925" s="2">
        <v>372</v>
      </c>
      <c r="K925" s="2">
        <v>60</v>
      </c>
      <c r="L925" s="2">
        <v>126</v>
      </c>
      <c r="M925" s="2">
        <v>108</v>
      </c>
      <c r="N925" s="2">
        <v>393</v>
      </c>
      <c r="O925" s="2">
        <v>462</v>
      </c>
      <c r="P925" s="2">
        <v>2804</v>
      </c>
      <c r="Q925" s="2">
        <v>2</v>
      </c>
      <c r="R925" s="2">
        <v>5608</v>
      </c>
      <c r="S925" s="4">
        <f>SUM($R$2:R925) / SUM($R:$R)</f>
        <v>0.99975478040925392</v>
      </c>
      <c r="T925" s="3" t="str">
        <f t="shared" si="84"/>
        <v>C</v>
      </c>
      <c r="U925" s="2">
        <f t="shared" si="85"/>
        <v>233.66666666666666</v>
      </c>
      <c r="V925" s="2">
        <f t="shared" si="86"/>
        <v>180.60068122962898</v>
      </c>
      <c r="W925" s="2">
        <f t="shared" si="87"/>
        <v>0.77289877844349064</v>
      </c>
      <c r="X925" s="2" t="str">
        <f t="shared" si="88"/>
        <v>Z</v>
      </c>
      <c r="Y925" s="2" t="str">
        <f t="shared" si="89"/>
        <v>CZ</v>
      </c>
    </row>
    <row r="926" spans="1:25" x14ac:dyDescent="0.3">
      <c r="A926" s="2" t="s">
        <v>237</v>
      </c>
      <c r="B926" s="2" t="s">
        <v>238</v>
      </c>
      <c r="C926" s="2" t="s">
        <v>56</v>
      </c>
      <c r="D926" s="2">
        <v>225</v>
      </c>
      <c r="E926" s="2">
        <v>227</v>
      </c>
      <c r="F926" s="2">
        <v>217</v>
      </c>
      <c r="G926" s="2">
        <v>236</v>
      </c>
      <c r="H926" s="2">
        <v>220</v>
      </c>
      <c r="I926" s="2">
        <v>221</v>
      </c>
      <c r="J926" s="2">
        <v>240</v>
      </c>
      <c r="K926" s="2">
        <v>245</v>
      </c>
      <c r="L926" s="2">
        <v>228</v>
      </c>
      <c r="M926" s="2">
        <v>260</v>
      </c>
      <c r="N926" s="2">
        <v>239</v>
      </c>
      <c r="O926" s="2">
        <v>217</v>
      </c>
      <c r="P926" s="2">
        <v>2775</v>
      </c>
      <c r="Q926" s="2">
        <v>2</v>
      </c>
      <c r="R926" s="2">
        <v>5550</v>
      </c>
      <c r="S926" s="4">
        <f>SUM($R$2:R926) / SUM($R:$R)</f>
        <v>0.99975995625801617</v>
      </c>
      <c r="T926" s="3" t="str">
        <f t="shared" si="84"/>
        <v>C</v>
      </c>
      <c r="U926" s="2">
        <f t="shared" si="85"/>
        <v>231.25</v>
      </c>
      <c r="V926" s="2">
        <f t="shared" si="86"/>
        <v>13.074089573726278</v>
      </c>
      <c r="W926" s="2">
        <f t="shared" si="87"/>
        <v>5.6536603562059577E-2</v>
      </c>
      <c r="X926" s="2" t="str">
        <f t="shared" si="88"/>
        <v>X</v>
      </c>
      <c r="Y926" s="2" t="str">
        <f t="shared" si="89"/>
        <v>CX</v>
      </c>
    </row>
    <row r="927" spans="1:25" x14ac:dyDescent="0.3">
      <c r="A927" s="2" t="s">
        <v>1113</v>
      </c>
      <c r="B927" s="2" t="s">
        <v>1114</v>
      </c>
      <c r="C927" s="2" t="s">
        <v>56</v>
      </c>
      <c r="D927" s="2">
        <v>222</v>
      </c>
      <c r="E927" s="2">
        <v>255</v>
      </c>
      <c r="F927" s="2">
        <v>214</v>
      </c>
      <c r="G927" s="2">
        <v>225</v>
      </c>
      <c r="H927" s="2">
        <v>219</v>
      </c>
      <c r="I927" s="2">
        <v>231</v>
      </c>
      <c r="J927" s="2">
        <v>223</v>
      </c>
      <c r="K927" s="2">
        <v>245</v>
      </c>
      <c r="L927" s="2">
        <v>239</v>
      </c>
      <c r="M927" s="2">
        <v>212</v>
      </c>
      <c r="N927" s="2">
        <v>218</v>
      </c>
      <c r="O927" s="2">
        <v>216</v>
      </c>
      <c r="P927" s="2">
        <v>2719</v>
      </c>
      <c r="Q927" s="2">
        <v>2</v>
      </c>
      <c r="R927" s="2">
        <v>5438</v>
      </c>
      <c r="S927" s="4">
        <f>SUM($R$2:R927) / SUM($R:$R)</f>
        <v>0.99976502765721775</v>
      </c>
      <c r="T927" s="3" t="str">
        <f t="shared" si="84"/>
        <v>C</v>
      </c>
      <c r="U927" s="2">
        <f t="shared" si="85"/>
        <v>226.58333333333334</v>
      </c>
      <c r="V927" s="2">
        <f t="shared" si="86"/>
        <v>13.38559832148875</v>
      </c>
      <c r="W927" s="2">
        <f t="shared" si="87"/>
        <v>5.9075829296750641E-2</v>
      </c>
      <c r="X927" s="2" t="str">
        <f t="shared" si="88"/>
        <v>X</v>
      </c>
      <c r="Y927" s="2" t="str">
        <f t="shared" si="89"/>
        <v>CX</v>
      </c>
    </row>
    <row r="928" spans="1:25" x14ac:dyDescent="0.3">
      <c r="A928" s="2" t="s">
        <v>645</v>
      </c>
      <c r="B928" s="2" t="s">
        <v>646</v>
      </c>
      <c r="C928" s="2" t="s">
        <v>25</v>
      </c>
      <c r="D928" s="2">
        <v>349</v>
      </c>
      <c r="E928" s="2">
        <v>119</v>
      </c>
      <c r="F928" s="2">
        <v>177</v>
      </c>
      <c r="G928" s="2">
        <v>65</v>
      </c>
      <c r="H928" s="2">
        <v>128</v>
      </c>
      <c r="I928" s="2">
        <v>427</v>
      </c>
      <c r="J928" s="2">
        <v>157</v>
      </c>
      <c r="K928" s="2">
        <v>95</v>
      </c>
      <c r="L928" s="2">
        <v>179</v>
      </c>
      <c r="M928" s="2">
        <v>316</v>
      </c>
      <c r="N928" s="2">
        <v>387</v>
      </c>
      <c r="O928" s="2">
        <v>309</v>
      </c>
      <c r="P928" s="2">
        <v>2708</v>
      </c>
      <c r="Q928" s="2">
        <v>2</v>
      </c>
      <c r="R928" s="2">
        <v>5416</v>
      </c>
      <c r="S928" s="4">
        <f>SUM($R$2:R928) / SUM($R:$R)</f>
        <v>0.99977007853954147</v>
      </c>
      <c r="T928" s="3" t="str">
        <f t="shared" si="84"/>
        <v>C</v>
      </c>
      <c r="U928" s="2">
        <f t="shared" si="85"/>
        <v>225.66666666666666</v>
      </c>
      <c r="V928" s="2">
        <f t="shared" si="86"/>
        <v>124.2960785846245</v>
      </c>
      <c r="W928" s="2">
        <f t="shared" si="87"/>
        <v>0.55079503065564772</v>
      </c>
      <c r="X928" s="2" t="str">
        <f t="shared" si="88"/>
        <v>Z</v>
      </c>
      <c r="Y928" s="2" t="str">
        <f t="shared" si="89"/>
        <v>CZ</v>
      </c>
    </row>
    <row r="929" spans="1:25" x14ac:dyDescent="0.3">
      <c r="A929" s="2" t="s">
        <v>531</v>
      </c>
      <c r="B929" s="2" t="s">
        <v>532</v>
      </c>
      <c r="C929" s="2" t="s">
        <v>25</v>
      </c>
      <c r="D929" s="2">
        <v>259</v>
      </c>
      <c r="E929" s="2">
        <v>111</v>
      </c>
      <c r="F929" s="2">
        <v>346</v>
      </c>
      <c r="G929" s="2">
        <v>306</v>
      </c>
      <c r="H929" s="2">
        <v>82</v>
      </c>
      <c r="I929" s="2">
        <v>401</v>
      </c>
      <c r="J929" s="2">
        <v>29</v>
      </c>
      <c r="K929" s="2">
        <v>417</v>
      </c>
      <c r="L929" s="2">
        <v>248</v>
      </c>
      <c r="M929" s="2">
        <v>111</v>
      </c>
      <c r="N929" s="2">
        <v>61</v>
      </c>
      <c r="O929" s="2">
        <v>333</v>
      </c>
      <c r="P929" s="2">
        <v>2704</v>
      </c>
      <c r="Q929" s="2">
        <v>2</v>
      </c>
      <c r="R929" s="2">
        <v>5408</v>
      </c>
      <c r="S929" s="4">
        <f>SUM($R$2:R929) / SUM($R:$R)</f>
        <v>0.99977512196118223</v>
      </c>
      <c r="T929" s="3" t="str">
        <f t="shared" si="84"/>
        <v>C</v>
      </c>
      <c r="U929" s="2">
        <f t="shared" si="85"/>
        <v>225.33333333333334</v>
      </c>
      <c r="V929" s="2">
        <f t="shared" si="86"/>
        <v>139.52603753964758</v>
      </c>
      <c r="W929" s="2">
        <f t="shared" si="87"/>
        <v>0.61919839144814015</v>
      </c>
      <c r="X929" s="2" t="str">
        <f t="shared" si="88"/>
        <v>Z</v>
      </c>
      <c r="Y929" s="2" t="str">
        <f t="shared" si="89"/>
        <v>CZ</v>
      </c>
    </row>
    <row r="930" spans="1:25" x14ac:dyDescent="0.3">
      <c r="A930" s="2" t="s">
        <v>759</v>
      </c>
      <c r="B930" s="2" t="s">
        <v>760</v>
      </c>
      <c r="C930" s="2" t="s">
        <v>56</v>
      </c>
      <c r="D930" s="2">
        <v>221</v>
      </c>
      <c r="E930" s="2">
        <v>213</v>
      </c>
      <c r="F930" s="2">
        <v>197</v>
      </c>
      <c r="G930" s="2">
        <v>245</v>
      </c>
      <c r="H930" s="2">
        <v>240</v>
      </c>
      <c r="I930" s="2">
        <v>213</v>
      </c>
      <c r="J930" s="2">
        <v>223</v>
      </c>
      <c r="K930" s="2">
        <v>235</v>
      </c>
      <c r="L930" s="2">
        <v>214</v>
      </c>
      <c r="M930" s="2">
        <v>213</v>
      </c>
      <c r="N930" s="2">
        <v>220</v>
      </c>
      <c r="O930" s="2">
        <v>222</v>
      </c>
      <c r="P930" s="2">
        <v>2656</v>
      </c>
      <c r="Q930" s="2">
        <v>2</v>
      </c>
      <c r="R930" s="2">
        <v>5312</v>
      </c>
      <c r="S930" s="4">
        <f>SUM($R$2:R930) / SUM($R:$R)</f>
        <v>0.99978007585462825</v>
      </c>
      <c r="T930" s="3" t="str">
        <f t="shared" si="84"/>
        <v>C</v>
      </c>
      <c r="U930" s="2">
        <f t="shared" si="85"/>
        <v>221.33333333333334</v>
      </c>
      <c r="V930" s="2">
        <f t="shared" si="86"/>
        <v>13.330302685872129</v>
      </c>
      <c r="W930" s="2">
        <f t="shared" si="87"/>
        <v>6.0227271171109015E-2</v>
      </c>
      <c r="X930" s="2" t="str">
        <f t="shared" si="88"/>
        <v>X</v>
      </c>
      <c r="Y930" s="2" t="str">
        <f t="shared" si="89"/>
        <v>CX</v>
      </c>
    </row>
    <row r="931" spans="1:25" x14ac:dyDescent="0.3">
      <c r="A931" s="2" t="s">
        <v>1643</v>
      </c>
      <c r="B931" s="2" t="s">
        <v>1644</v>
      </c>
      <c r="C931" s="2" t="s">
        <v>41</v>
      </c>
      <c r="D931" s="2">
        <v>236</v>
      </c>
      <c r="E931" s="2">
        <v>209</v>
      </c>
      <c r="F931" s="2">
        <v>211</v>
      </c>
      <c r="G931" s="2">
        <v>204</v>
      </c>
      <c r="H931" s="2">
        <v>232</v>
      </c>
      <c r="I931" s="2">
        <v>224</v>
      </c>
      <c r="J931" s="2">
        <v>194</v>
      </c>
      <c r="K931" s="2">
        <v>235</v>
      </c>
      <c r="L931" s="2">
        <v>236</v>
      </c>
      <c r="M931" s="2">
        <v>208</v>
      </c>
      <c r="N931" s="2">
        <v>223</v>
      </c>
      <c r="O931" s="2">
        <v>240</v>
      </c>
      <c r="P931" s="2">
        <v>2652</v>
      </c>
      <c r="Q931" s="2">
        <v>2</v>
      </c>
      <c r="R931" s="2">
        <v>5304</v>
      </c>
      <c r="S931" s="4">
        <f>SUM($R$2:R931) / SUM($R:$R)</f>
        <v>0.9997850222873913</v>
      </c>
      <c r="T931" s="3" t="str">
        <f t="shared" si="84"/>
        <v>C</v>
      </c>
      <c r="U931" s="2">
        <f t="shared" si="85"/>
        <v>221</v>
      </c>
      <c r="V931" s="2">
        <f t="shared" si="86"/>
        <v>15.2911144727316</v>
      </c>
      <c r="W931" s="2">
        <f t="shared" si="87"/>
        <v>6.9190563225029866E-2</v>
      </c>
      <c r="X931" s="2" t="str">
        <f t="shared" si="88"/>
        <v>X</v>
      </c>
      <c r="Y931" s="2" t="str">
        <f t="shared" si="89"/>
        <v>CX</v>
      </c>
    </row>
    <row r="932" spans="1:25" x14ac:dyDescent="0.3">
      <c r="A932" s="2" t="s">
        <v>1199</v>
      </c>
      <c r="B932" s="2" t="s">
        <v>1200</v>
      </c>
      <c r="C932" s="2" t="s">
        <v>41</v>
      </c>
      <c r="D932" s="2">
        <v>204</v>
      </c>
      <c r="E932" s="2">
        <v>202</v>
      </c>
      <c r="F932" s="2">
        <v>213</v>
      </c>
      <c r="G932" s="2">
        <v>214</v>
      </c>
      <c r="H932" s="2">
        <v>227</v>
      </c>
      <c r="I932" s="2">
        <v>197</v>
      </c>
      <c r="J932" s="2">
        <v>224</v>
      </c>
      <c r="K932" s="2">
        <v>270</v>
      </c>
      <c r="L932" s="2">
        <v>238</v>
      </c>
      <c r="M932" s="2">
        <v>222</v>
      </c>
      <c r="N932" s="2">
        <v>205</v>
      </c>
      <c r="O932" s="2">
        <v>219</v>
      </c>
      <c r="P932" s="2">
        <v>2635</v>
      </c>
      <c r="Q932" s="2">
        <v>2</v>
      </c>
      <c r="R932" s="2">
        <v>5270</v>
      </c>
      <c r="S932" s="4">
        <f>SUM($R$2:R932) / SUM($R:$R)</f>
        <v>0.99978993701225205</v>
      </c>
      <c r="T932" s="3" t="str">
        <f t="shared" si="84"/>
        <v>C</v>
      </c>
      <c r="U932" s="2">
        <f t="shared" si="85"/>
        <v>219.58333333333334</v>
      </c>
      <c r="V932" s="2">
        <f t="shared" si="86"/>
        <v>19.796502598982354</v>
      </c>
      <c r="W932" s="2">
        <f t="shared" si="87"/>
        <v>9.0154850545650186E-2</v>
      </c>
      <c r="X932" s="2" t="str">
        <f t="shared" si="88"/>
        <v>X</v>
      </c>
      <c r="Y932" s="2" t="str">
        <f t="shared" si="89"/>
        <v>CX</v>
      </c>
    </row>
    <row r="933" spans="1:25" x14ac:dyDescent="0.3">
      <c r="A933" s="2" t="s">
        <v>1489</v>
      </c>
      <c r="B933" s="2" t="s">
        <v>1490</v>
      </c>
      <c r="C933" s="2" t="s">
        <v>25</v>
      </c>
      <c r="D933" s="2">
        <v>272</v>
      </c>
      <c r="E933" s="2">
        <v>255</v>
      </c>
      <c r="F933" s="2">
        <v>104</v>
      </c>
      <c r="G933" s="2">
        <v>219</v>
      </c>
      <c r="H933" s="2">
        <v>140</v>
      </c>
      <c r="I933" s="2">
        <v>83</v>
      </c>
      <c r="J933" s="2">
        <v>109</v>
      </c>
      <c r="K933" s="2">
        <v>271</v>
      </c>
      <c r="L933" s="2">
        <v>39</v>
      </c>
      <c r="M933" s="2">
        <v>415</v>
      </c>
      <c r="N933" s="2">
        <v>353</v>
      </c>
      <c r="O933" s="2">
        <v>336</v>
      </c>
      <c r="P933" s="2">
        <v>2596</v>
      </c>
      <c r="Q933" s="2">
        <v>2</v>
      </c>
      <c r="R933" s="2">
        <v>5192</v>
      </c>
      <c r="S933" s="4">
        <f>SUM($R$2:R933) / SUM($R:$R)</f>
        <v>0.99979477899545444</v>
      </c>
      <c r="T933" s="3" t="str">
        <f t="shared" si="84"/>
        <v>C</v>
      </c>
      <c r="U933" s="2">
        <f t="shared" si="85"/>
        <v>216.33333333333334</v>
      </c>
      <c r="V933" s="2">
        <f t="shared" si="86"/>
        <v>120.32027965795996</v>
      </c>
      <c r="W933" s="2">
        <f t="shared" si="87"/>
        <v>0.5561800292355622</v>
      </c>
      <c r="X933" s="2" t="str">
        <f t="shared" si="88"/>
        <v>Z</v>
      </c>
      <c r="Y933" s="2" t="str">
        <f t="shared" si="89"/>
        <v>CZ</v>
      </c>
    </row>
    <row r="934" spans="1:25" x14ac:dyDescent="0.3">
      <c r="A934" s="2" t="s">
        <v>1913</v>
      </c>
      <c r="B934" s="2" t="s">
        <v>1914</v>
      </c>
      <c r="C934" s="2" t="s">
        <v>41</v>
      </c>
      <c r="D934" s="2">
        <v>223</v>
      </c>
      <c r="E934" s="2">
        <v>194</v>
      </c>
      <c r="F934" s="2">
        <v>225</v>
      </c>
      <c r="G934" s="2">
        <v>213</v>
      </c>
      <c r="H934" s="2">
        <v>206</v>
      </c>
      <c r="I934" s="2">
        <v>207</v>
      </c>
      <c r="J934" s="2">
        <v>220</v>
      </c>
      <c r="K934" s="2">
        <v>212</v>
      </c>
      <c r="L934" s="2">
        <v>212</v>
      </c>
      <c r="M934" s="2">
        <v>212</v>
      </c>
      <c r="N934" s="2">
        <v>217</v>
      </c>
      <c r="O934" s="2">
        <v>233</v>
      </c>
      <c r="P934" s="2">
        <v>2574</v>
      </c>
      <c r="Q934" s="2">
        <v>2</v>
      </c>
      <c r="R934" s="2">
        <v>5148</v>
      </c>
      <c r="S934" s="4">
        <f>SUM($R$2:R934) / SUM($R:$R)</f>
        <v>0.99979957994490098</v>
      </c>
      <c r="T934" s="3" t="str">
        <f t="shared" si="84"/>
        <v>C</v>
      </c>
      <c r="U934" s="2">
        <f t="shared" si="85"/>
        <v>214.5</v>
      </c>
      <c r="V934" s="2">
        <f t="shared" si="86"/>
        <v>10.139930069688933</v>
      </c>
      <c r="W934" s="2">
        <f t="shared" si="87"/>
        <v>4.7272401257291062E-2</v>
      </c>
      <c r="X934" s="2" t="str">
        <f t="shared" si="88"/>
        <v>X</v>
      </c>
      <c r="Y934" s="2" t="str">
        <f t="shared" si="89"/>
        <v>CX</v>
      </c>
    </row>
    <row r="935" spans="1:25" x14ac:dyDescent="0.3">
      <c r="A935" s="2" t="s">
        <v>1971</v>
      </c>
      <c r="B935" s="2" t="s">
        <v>1972</v>
      </c>
      <c r="C935" s="2" t="s">
        <v>25</v>
      </c>
      <c r="D935" s="2">
        <v>106</v>
      </c>
      <c r="E935" s="2">
        <v>8</v>
      </c>
      <c r="F935" s="2">
        <v>46</v>
      </c>
      <c r="G935" s="2">
        <v>107</v>
      </c>
      <c r="H935" s="2">
        <v>476</v>
      </c>
      <c r="I935" s="2">
        <v>258</v>
      </c>
      <c r="J935" s="2">
        <v>133</v>
      </c>
      <c r="K935" s="2">
        <v>145</v>
      </c>
      <c r="L935" s="2">
        <v>415</v>
      </c>
      <c r="M935" s="2">
        <v>110</v>
      </c>
      <c r="N935" s="2">
        <v>358</v>
      </c>
      <c r="O935" s="2">
        <v>343</v>
      </c>
      <c r="P935" s="2">
        <v>2505</v>
      </c>
      <c r="Q935" s="2">
        <v>2</v>
      </c>
      <c r="R935" s="2">
        <v>5010</v>
      </c>
      <c r="S935" s="4">
        <f>SUM($R$2:R935) / SUM($R:$R)</f>
        <v>0.99980425219756741</v>
      </c>
      <c r="T935" s="3" t="str">
        <f t="shared" si="84"/>
        <v>C</v>
      </c>
      <c r="U935" s="2">
        <f t="shared" si="85"/>
        <v>208.75</v>
      </c>
      <c r="V935" s="2">
        <f t="shared" si="86"/>
        <v>154.90121485526305</v>
      </c>
      <c r="W935" s="2">
        <f t="shared" si="87"/>
        <v>0.74204174780964338</v>
      </c>
      <c r="X935" s="2" t="str">
        <f t="shared" si="88"/>
        <v>Z</v>
      </c>
      <c r="Y935" s="2" t="str">
        <f t="shared" si="89"/>
        <v>CZ</v>
      </c>
    </row>
    <row r="936" spans="1:25" x14ac:dyDescent="0.3">
      <c r="A936" s="2" t="s">
        <v>1365</v>
      </c>
      <c r="B936" s="2" t="s">
        <v>1366</v>
      </c>
      <c r="C936" s="2" t="s">
        <v>41</v>
      </c>
      <c r="D936" s="2">
        <v>251</v>
      </c>
      <c r="E936" s="2">
        <v>187</v>
      </c>
      <c r="F936" s="2">
        <v>206</v>
      </c>
      <c r="G936" s="2">
        <v>209</v>
      </c>
      <c r="H936" s="2">
        <v>204</v>
      </c>
      <c r="I936" s="2">
        <v>210</v>
      </c>
      <c r="J936" s="2">
        <v>214</v>
      </c>
      <c r="K936" s="2">
        <v>206</v>
      </c>
      <c r="L936" s="2">
        <v>209</v>
      </c>
      <c r="M936" s="2">
        <v>201</v>
      </c>
      <c r="N936" s="2">
        <v>184</v>
      </c>
      <c r="O936" s="2">
        <v>208</v>
      </c>
      <c r="P936" s="2">
        <v>2489</v>
      </c>
      <c r="Q936" s="2">
        <v>2</v>
      </c>
      <c r="R936" s="2">
        <v>4978</v>
      </c>
      <c r="S936" s="4">
        <f>SUM($R$2:R936) / SUM($R:$R)</f>
        <v>0.99980889460750233</v>
      </c>
      <c r="T936" s="3" t="str">
        <f t="shared" si="84"/>
        <v>C</v>
      </c>
      <c r="U936" s="2">
        <f t="shared" si="85"/>
        <v>207.41666666666666</v>
      </c>
      <c r="V936" s="2">
        <f t="shared" si="86"/>
        <v>16.450799004266869</v>
      </c>
      <c r="W936" s="2">
        <f t="shared" si="87"/>
        <v>7.9312811591483498E-2</v>
      </c>
      <c r="X936" s="2" t="str">
        <f t="shared" si="88"/>
        <v>X</v>
      </c>
      <c r="Y936" s="2" t="str">
        <f t="shared" si="89"/>
        <v>CX</v>
      </c>
    </row>
    <row r="937" spans="1:25" x14ac:dyDescent="0.3">
      <c r="A937" s="2" t="s">
        <v>785</v>
      </c>
      <c r="B937" s="2" t="s">
        <v>786</v>
      </c>
      <c r="C937" s="2" t="s">
        <v>25</v>
      </c>
      <c r="D937" s="2">
        <v>393</v>
      </c>
      <c r="E937" s="2">
        <v>7</v>
      </c>
      <c r="F937" s="2">
        <v>8</v>
      </c>
      <c r="G937" s="2">
        <v>8</v>
      </c>
      <c r="H937" s="2">
        <v>503</v>
      </c>
      <c r="I937" s="2">
        <v>527</v>
      </c>
      <c r="J937" s="2">
        <v>59</v>
      </c>
      <c r="K937" s="2">
        <v>207</v>
      </c>
      <c r="L937" s="2">
        <v>148</v>
      </c>
      <c r="M937" s="2">
        <v>302</v>
      </c>
      <c r="N937" s="2">
        <v>311</v>
      </c>
      <c r="O937" s="2">
        <v>12</v>
      </c>
      <c r="P937" s="2">
        <v>2485</v>
      </c>
      <c r="Q937" s="2">
        <v>2</v>
      </c>
      <c r="R937" s="2">
        <v>4970</v>
      </c>
      <c r="S937" s="4">
        <f>SUM($R$2:R937) / SUM($R:$R)</f>
        <v>0.99981352955675429</v>
      </c>
      <c r="T937" s="3" t="str">
        <f t="shared" si="84"/>
        <v>C</v>
      </c>
      <c r="U937" s="2">
        <f t="shared" si="85"/>
        <v>207.08333333333334</v>
      </c>
      <c r="V937" s="2">
        <f t="shared" si="86"/>
        <v>197.03827885295115</v>
      </c>
      <c r="W937" s="2">
        <f t="shared" si="87"/>
        <v>0.95149269466213826</v>
      </c>
      <c r="X937" s="2" t="str">
        <f t="shared" si="88"/>
        <v>Z</v>
      </c>
      <c r="Y937" s="2" t="str">
        <f t="shared" si="89"/>
        <v>CZ</v>
      </c>
    </row>
    <row r="938" spans="1:25" x14ac:dyDescent="0.3">
      <c r="A938" s="2" t="s">
        <v>1591</v>
      </c>
      <c r="B938" s="2" t="s">
        <v>1592</v>
      </c>
      <c r="C938" s="2" t="s">
        <v>56</v>
      </c>
      <c r="D938" s="2">
        <v>198</v>
      </c>
      <c r="E938" s="2">
        <v>228</v>
      </c>
      <c r="F938" s="2">
        <v>200</v>
      </c>
      <c r="G938" s="2">
        <v>198</v>
      </c>
      <c r="H938" s="2">
        <v>201</v>
      </c>
      <c r="I938" s="2">
        <v>204</v>
      </c>
      <c r="J938" s="2">
        <v>205</v>
      </c>
      <c r="K938" s="2">
        <v>202</v>
      </c>
      <c r="L938" s="2">
        <v>205</v>
      </c>
      <c r="M938" s="2">
        <v>198</v>
      </c>
      <c r="N938" s="2">
        <v>205</v>
      </c>
      <c r="O938" s="2">
        <v>208</v>
      </c>
      <c r="P938" s="2">
        <v>2452</v>
      </c>
      <c r="Q938" s="2">
        <v>2</v>
      </c>
      <c r="R938" s="2">
        <v>4904</v>
      </c>
      <c r="S938" s="4">
        <f>SUM($R$2:R938) / SUM($R:$R)</f>
        <v>0.99981810295537232</v>
      </c>
      <c r="T938" s="3" t="str">
        <f t="shared" si="84"/>
        <v>C</v>
      </c>
      <c r="U938" s="2">
        <f t="shared" si="85"/>
        <v>204.33333333333334</v>
      </c>
      <c r="V938" s="2">
        <f t="shared" si="86"/>
        <v>8.1501068964917511</v>
      </c>
      <c r="W938" s="2">
        <f t="shared" si="87"/>
        <v>3.9886330651672519E-2</v>
      </c>
      <c r="X938" s="2" t="str">
        <f t="shared" si="88"/>
        <v>X</v>
      </c>
      <c r="Y938" s="2" t="str">
        <f t="shared" si="89"/>
        <v>CX</v>
      </c>
    </row>
    <row r="939" spans="1:25" x14ac:dyDescent="0.3">
      <c r="A939" s="2" t="s">
        <v>1727</v>
      </c>
      <c r="B939" s="2" t="s">
        <v>1728</v>
      </c>
      <c r="C939" s="2" t="s">
        <v>41</v>
      </c>
      <c r="D939" s="2">
        <v>226</v>
      </c>
      <c r="E939" s="2">
        <v>203</v>
      </c>
      <c r="F939" s="2">
        <v>188</v>
      </c>
      <c r="G939" s="2">
        <v>194</v>
      </c>
      <c r="H939" s="2">
        <v>190</v>
      </c>
      <c r="I939" s="2">
        <v>212</v>
      </c>
      <c r="J939" s="2">
        <v>209</v>
      </c>
      <c r="K939" s="2">
        <v>190</v>
      </c>
      <c r="L939" s="2">
        <v>193</v>
      </c>
      <c r="M939" s="2">
        <v>199</v>
      </c>
      <c r="N939" s="2">
        <v>196</v>
      </c>
      <c r="O939" s="2">
        <v>203</v>
      </c>
      <c r="P939" s="2">
        <v>2403</v>
      </c>
      <c r="Q939" s="2">
        <v>2</v>
      </c>
      <c r="R939" s="2">
        <v>4806</v>
      </c>
      <c r="S939" s="4">
        <f>SUM($R$2:R939) / SUM($R:$R)</f>
        <v>0.99982258496062482</v>
      </c>
      <c r="T939" s="3" t="str">
        <f t="shared" si="84"/>
        <v>C</v>
      </c>
      <c r="U939" s="2">
        <f t="shared" si="85"/>
        <v>200.25</v>
      </c>
      <c r="V939" s="2">
        <f t="shared" si="86"/>
        <v>11.136549163575189</v>
      </c>
      <c r="W939" s="2">
        <f t="shared" si="87"/>
        <v>5.5613229281274351E-2</v>
      </c>
      <c r="X939" s="2" t="str">
        <f t="shared" si="88"/>
        <v>X</v>
      </c>
      <c r="Y939" s="2" t="str">
        <f t="shared" si="89"/>
        <v>CX</v>
      </c>
    </row>
    <row r="940" spans="1:25" x14ac:dyDescent="0.3">
      <c r="A940" s="2" t="s">
        <v>779</v>
      </c>
      <c r="B940" s="2" t="s">
        <v>780</v>
      </c>
      <c r="C940" s="2" t="s">
        <v>25</v>
      </c>
      <c r="D940" s="2">
        <v>257</v>
      </c>
      <c r="E940" s="2">
        <v>502</v>
      </c>
      <c r="F940" s="2">
        <v>360</v>
      </c>
      <c r="G940" s="2">
        <v>121</v>
      </c>
      <c r="H940" s="2">
        <v>22</v>
      </c>
      <c r="I940" s="2">
        <v>106</v>
      </c>
      <c r="J940" s="2">
        <v>50</v>
      </c>
      <c r="K940" s="2">
        <v>32</v>
      </c>
      <c r="L940" s="2">
        <v>543</v>
      </c>
      <c r="M940" s="2">
        <v>85</v>
      </c>
      <c r="N940" s="2">
        <v>59</v>
      </c>
      <c r="O940" s="2">
        <v>214</v>
      </c>
      <c r="P940" s="2">
        <v>2351</v>
      </c>
      <c r="Q940" s="2">
        <v>2</v>
      </c>
      <c r="R940" s="2">
        <v>4702</v>
      </c>
      <c r="S940" s="4">
        <f>SUM($R$2:R940) / SUM($R:$R)</f>
        <v>0.9998269699769996</v>
      </c>
      <c r="T940" s="3" t="str">
        <f t="shared" si="84"/>
        <v>C</v>
      </c>
      <c r="U940" s="2">
        <f t="shared" si="85"/>
        <v>195.91666666666666</v>
      </c>
      <c r="V940" s="2">
        <f t="shared" si="86"/>
        <v>182.97762323863705</v>
      </c>
      <c r="W940" s="2">
        <f t="shared" si="87"/>
        <v>0.93395639254089524</v>
      </c>
      <c r="X940" s="2" t="str">
        <f t="shared" si="88"/>
        <v>Z</v>
      </c>
      <c r="Y940" s="2" t="str">
        <f t="shared" si="89"/>
        <v>CZ</v>
      </c>
    </row>
    <row r="941" spans="1:25" x14ac:dyDescent="0.3">
      <c r="A941" s="2" t="s">
        <v>1763</v>
      </c>
      <c r="B941" s="2" t="s">
        <v>1764</v>
      </c>
      <c r="C941" s="2" t="s">
        <v>36</v>
      </c>
      <c r="D941" s="2">
        <v>191</v>
      </c>
      <c r="E941" s="2">
        <v>168</v>
      </c>
      <c r="F941" s="2">
        <v>188</v>
      </c>
      <c r="G941" s="2">
        <v>232</v>
      </c>
      <c r="H941" s="2">
        <v>195</v>
      </c>
      <c r="I941" s="2">
        <v>194</v>
      </c>
      <c r="J941" s="2">
        <v>197</v>
      </c>
      <c r="K941" s="2">
        <v>187</v>
      </c>
      <c r="L941" s="2">
        <v>184</v>
      </c>
      <c r="M941" s="2">
        <v>209</v>
      </c>
      <c r="N941" s="2">
        <v>193</v>
      </c>
      <c r="O941" s="2">
        <v>198</v>
      </c>
      <c r="P941" s="2">
        <v>2336</v>
      </c>
      <c r="Q941" s="2">
        <v>2</v>
      </c>
      <c r="R941" s="2">
        <v>4672</v>
      </c>
      <c r="S941" s="4">
        <f>SUM($R$2:R941) / SUM($R:$R)</f>
        <v>0.99983132701581356</v>
      </c>
      <c r="T941" s="3" t="str">
        <f t="shared" si="84"/>
        <v>C</v>
      </c>
      <c r="U941" s="2">
        <f t="shared" si="85"/>
        <v>194.66666666666666</v>
      </c>
      <c r="V941" s="2">
        <f t="shared" si="86"/>
        <v>15.257387679018935</v>
      </c>
      <c r="W941" s="2">
        <f t="shared" si="87"/>
        <v>7.8376991501809601E-2</v>
      </c>
      <c r="X941" s="2" t="str">
        <f t="shared" si="88"/>
        <v>X</v>
      </c>
      <c r="Y941" s="2" t="str">
        <f t="shared" si="89"/>
        <v>CX</v>
      </c>
    </row>
    <row r="942" spans="1:25" x14ac:dyDescent="0.3">
      <c r="A942" s="2" t="s">
        <v>551</v>
      </c>
      <c r="B942" s="2" t="s">
        <v>552</v>
      </c>
      <c r="C942" s="2" t="s">
        <v>56</v>
      </c>
      <c r="D942" s="2">
        <v>189</v>
      </c>
      <c r="E942" s="2">
        <v>197</v>
      </c>
      <c r="F942" s="2">
        <v>177</v>
      </c>
      <c r="G942" s="2">
        <v>206</v>
      </c>
      <c r="H942" s="2">
        <v>191</v>
      </c>
      <c r="I942" s="2">
        <v>184</v>
      </c>
      <c r="J942" s="2">
        <v>204</v>
      </c>
      <c r="K942" s="2">
        <v>198</v>
      </c>
      <c r="L942" s="2">
        <v>212</v>
      </c>
      <c r="M942" s="2">
        <v>189</v>
      </c>
      <c r="N942" s="2">
        <v>209</v>
      </c>
      <c r="O942" s="2">
        <v>167</v>
      </c>
      <c r="P942" s="2">
        <v>2323</v>
      </c>
      <c r="Q942" s="2">
        <v>2</v>
      </c>
      <c r="R942" s="2">
        <v>4646</v>
      </c>
      <c r="S942" s="4">
        <f>SUM($R$2:R942) / SUM($R:$R)</f>
        <v>0.99983565980740807</v>
      </c>
      <c r="T942" s="3" t="str">
        <f t="shared" si="84"/>
        <v>C</v>
      </c>
      <c r="U942" s="2">
        <f t="shared" si="85"/>
        <v>193.58333333333334</v>
      </c>
      <c r="V942" s="2">
        <f t="shared" si="86"/>
        <v>13.460098158046337</v>
      </c>
      <c r="W942" s="2">
        <f t="shared" si="87"/>
        <v>6.9531286223226879E-2</v>
      </c>
      <c r="X942" s="2" t="str">
        <f t="shared" si="88"/>
        <v>X</v>
      </c>
      <c r="Y942" s="2" t="str">
        <f t="shared" si="89"/>
        <v>CX</v>
      </c>
    </row>
    <row r="943" spans="1:25" x14ac:dyDescent="0.3">
      <c r="A943" s="2" t="s">
        <v>1715</v>
      </c>
      <c r="B943" s="2" t="s">
        <v>1716</v>
      </c>
      <c r="C943" s="2" t="s">
        <v>41</v>
      </c>
      <c r="D943" s="2">
        <v>202</v>
      </c>
      <c r="E943" s="2">
        <v>179</v>
      </c>
      <c r="F943" s="2">
        <v>187</v>
      </c>
      <c r="G943" s="2">
        <v>177</v>
      </c>
      <c r="H943" s="2">
        <v>202</v>
      </c>
      <c r="I943" s="2">
        <v>187</v>
      </c>
      <c r="J943" s="2">
        <v>187</v>
      </c>
      <c r="K943" s="2">
        <v>201</v>
      </c>
      <c r="L943" s="2">
        <v>212</v>
      </c>
      <c r="M943" s="2">
        <v>213</v>
      </c>
      <c r="N943" s="2">
        <v>169</v>
      </c>
      <c r="O943" s="2">
        <v>157</v>
      </c>
      <c r="P943" s="2">
        <v>2273</v>
      </c>
      <c r="Q943" s="2">
        <v>2</v>
      </c>
      <c r="R943" s="2">
        <v>4546</v>
      </c>
      <c r="S943" s="4">
        <f>SUM($R$2:R943) / SUM($R:$R)</f>
        <v>0.99983989934046635</v>
      </c>
      <c r="T943" s="3" t="str">
        <f t="shared" si="84"/>
        <v>C</v>
      </c>
      <c r="U943" s="2">
        <f t="shared" si="85"/>
        <v>189.41666666666666</v>
      </c>
      <c r="V943" s="2">
        <f t="shared" si="86"/>
        <v>17.228192187824177</v>
      </c>
      <c r="W943" s="2">
        <f t="shared" si="87"/>
        <v>9.0953940278878195E-2</v>
      </c>
      <c r="X943" s="2" t="str">
        <f t="shared" si="88"/>
        <v>X</v>
      </c>
      <c r="Y943" s="2" t="str">
        <f t="shared" si="89"/>
        <v>CX</v>
      </c>
    </row>
    <row r="944" spans="1:25" x14ac:dyDescent="0.3">
      <c r="A944" s="2" t="s">
        <v>507</v>
      </c>
      <c r="B944" s="2" t="s">
        <v>508</v>
      </c>
      <c r="C944" s="2" t="s">
        <v>56</v>
      </c>
      <c r="D944" s="2">
        <v>188</v>
      </c>
      <c r="E944" s="2">
        <v>199</v>
      </c>
      <c r="F944" s="2">
        <v>194</v>
      </c>
      <c r="G944" s="2">
        <v>199</v>
      </c>
      <c r="H944" s="2">
        <v>170</v>
      </c>
      <c r="I944" s="2">
        <v>180</v>
      </c>
      <c r="J944" s="2">
        <v>196</v>
      </c>
      <c r="K944" s="2">
        <v>201</v>
      </c>
      <c r="L944" s="2">
        <v>188</v>
      </c>
      <c r="M944" s="2">
        <v>178</v>
      </c>
      <c r="N944" s="2">
        <v>179</v>
      </c>
      <c r="O944" s="2">
        <v>188</v>
      </c>
      <c r="P944" s="2">
        <v>2260</v>
      </c>
      <c r="Q944" s="2">
        <v>2</v>
      </c>
      <c r="R944" s="2">
        <v>4520</v>
      </c>
      <c r="S944" s="4">
        <f>SUM($R$2:R944) / SUM($R:$R)</f>
        <v>0.99984411462630507</v>
      </c>
      <c r="T944" s="3" t="str">
        <f t="shared" si="84"/>
        <v>C</v>
      </c>
      <c r="U944" s="2">
        <f t="shared" si="85"/>
        <v>188.33333333333334</v>
      </c>
      <c r="V944" s="2">
        <f t="shared" si="86"/>
        <v>9.9025555318112737</v>
      </c>
      <c r="W944" s="2">
        <f t="shared" si="87"/>
        <v>5.2579940876874016E-2</v>
      </c>
      <c r="X944" s="2" t="str">
        <f t="shared" si="88"/>
        <v>X</v>
      </c>
      <c r="Y944" s="2" t="str">
        <f t="shared" si="89"/>
        <v>CX</v>
      </c>
    </row>
    <row r="945" spans="1:25" x14ac:dyDescent="0.3">
      <c r="A945" s="2" t="s">
        <v>187</v>
      </c>
      <c r="B945" s="2" t="s">
        <v>188</v>
      </c>
      <c r="C945" s="2" t="s">
        <v>25</v>
      </c>
      <c r="D945" s="2">
        <v>281</v>
      </c>
      <c r="E945" s="2">
        <v>203</v>
      </c>
      <c r="F945" s="2">
        <v>28</v>
      </c>
      <c r="G945" s="2">
        <v>408</v>
      </c>
      <c r="H945" s="2">
        <v>266</v>
      </c>
      <c r="I945" s="2">
        <v>33</v>
      </c>
      <c r="J945" s="2">
        <v>12</v>
      </c>
      <c r="K945" s="2">
        <v>116</v>
      </c>
      <c r="L945" s="2">
        <v>128</v>
      </c>
      <c r="M945" s="2">
        <v>430</v>
      </c>
      <c r="N945" s="2">
        <v>253</v>
      </c>
      <c r="O945" s="2">
        <v>84</v>
      </c>
      <c r="P945" s="2">
        <v>2242</v>
      </c>
      <c r="Q945" s="2">
        <v>2</v>
      </c>
      <c r="R945" s="2">
        <v>4484</v>
      </c>
      <c r="S945" s="4">
        <f>SUM($R$2:R945) / SUM($R:$R)</f>
        <v>0.99984829633907091</v>
      </c>
      <c r="T945" s="3" t="str">
        <f t="shared" si="84"/>
        <v>C</v>
      </c>
      <c r="U945" s="2">
        <f t="shared" si="85"/>
        <v>186.83333333333334</v>
      </c>
      <c r="V945" s="2">
        <f t="shared" si="86"/>
        <v>143.44199545672134</v>
      </c>
      <c r="W945" s="2">
        <f t="shared" si="87"/>
        <v>0.76775376694052455</v>
      </c>
      <c r="X945" s="2" t="str">
        <f t="shared" si="88"/>
        <v>Z</v>
      </c>
      <c r="Y945" s="2" t="str">
        <f t="shared" si="89"/>
        <v>CZ</v>
      </c>
    </row>
    <row r="946" spans="1:25" x14ac:dyDescent="0.3">
      <c r="A946" s="2" t="s">
        <v>1151</v>
      </c>
      <c r="B946" s="2" t="s">
        <v>1152</v>
      </c>
      <c r="C946" s="2" t="s">
        <v>41</v>
      </c>
      <c r="D946" s="2">
        <v>180</v>
      </c>
      <c r="E946" s="2">
        <v>206</v>
      </c>
      <c r="F946" s="2">
        <v>186</v>
      </c>
      <c r="G946" s="2">
        <v>189</v>
      </c>
      <c r="H946" s="2">
        <v>199</v>
      </c>
      <c r="I946" s="2">
        <v>184</v>
      </c>
      <c r="J946" s="2">
        <v>183</v>
      </c>
      <c r="K946" s="2">
        <v>181</v>
      </c>
      <c r="L946" s="2">
        <v>176</v>
      </c>
      <c r="M946" s="2">
        <v>182</v>
      </c>
      <c r="N946" s="2">
        <v>180</v>
      </c>
      <c r="O946" s="2">
        <v>179</v>
      </c>
      <c r="P946" s="2">
        <v>2225</v>
      </c>
      <c r="Q946" s="2">
        <v>2</v>
      </c>
      <c r="R946" s="2">
        <v>4450</v>
      </c>
      <c r="S946" s="4">
        <f>SUM($R$2:R946) / SUM($R:$R)</f>
        <v>0.99985244634393433</v>
      </c>
      <c r="T946" s="3" t="str">
        <f t="shared" si="84"/>
        <v>C</v>
      </c>
      <c r="U946" s="2">
        <f t="shared" si="85"/>
        <v>185.41666666666666</v>
      </c>
      <c r="V946" s="2">
        <f t="shared" si="86"/>
        <v>8.7848871605867789</v>
      </c>
      <c r="W946" s="2">
        <f t="shared" si="87"/>
        <v>4.737916670878263E-2</v>
      </c>
      <c r="X946" s="2" t="str">
        <f t="shared" si="88"/>
        <v>X</v>
      </c>
      <c r="Y946" s="2" t="str">
        <f t="shared" si="89"/>
        <v>CX</v>
      </c>
    </row>
    <row r="947" spans="1:25" x14ac:dyDescent="0.3">
      <c r="A947" s="2" t="s">
        <v>501</v>
      </c>
      <c r="B947" s="2" t="s">
        <v>502</v>
      </c>
      <c r="C947" s="2" t="s">
        <v>41</v>
      </c>
      <c r="D947" s="2">
        <v>208</v>
      </c>
      <c r="E947" s="2">
        <v>162</v>
      </c>
      <c r="F947" s="2">
        <v>182</v>
      </c>
      <c r="G947" s="2">
        <v>182</v>
      </c>
      <c r="H947" s="2">
        <v>161</v>
      </c>
      <c r="I947" s="2">
        <v>177</v>
      </c>
      <c r="J947" s="2">
        <v>198</v>
      </c>
      <c r="K947" s="2">
        <v>194</v>
      </c>
      <c r="L947" s="2">
        <v>197</v>
      </c>
      <c r="M947" s="2">
        <v>197</v>
      </c>
      <c r="N947" s="2">
        <v>163</v>
      </c>
      <c r="O947" s="2">
        <v>177</v>
      </c>
      <c r="P947" s="2">
        <v>2198</v>
      </c>
      <c r="Q947" s="2">
        <v>2</v>
      </c>
      <c r="R947" s="2">
        <v>4396</v>
      </c>
      <c r="S947" s="4">
        <f>SUM($R$2:R947) / SUM($R:$R)</f>
        <v>0.99985654598918816</v>
      </c>
      <c r="T947" s="3" t="str">
        <f t="shared" si="84"/>
        <v>C</v>
      </c>
      <c r="U947" s="2">
        <f t="shared" si="85"/>
        <v>183.16666666666666</v>
      </c>
      <c r="V947" s="2">
        <f t="shared" si="86"/>
        <v>15.844892112621217</v>
      </c>
      <c r="W947" s="2">
        <f t="shared" si="87"/>
        <v>8.6505325455620841E-2</v>
      </c>
      <c r="X947" s="2" t="str">
        <f t="shared" si="88"/>
        <v>X</v>
      </c>
      <c r="Y947" s="2" t="str">
        <f t="shared" si="89"/>
        <v>CX</v>
      </c>
    </row>
    <row r="948" spans="1:25" x14ac:dyDescent="0.3">
      <c r="A948" s="2" t="s">
        <v>1013</v>
      </c>
      <c r="B948" s="2" t="s">
        <v>1014</v>
      </c>
      <c r="C948" s="2" t="s">
        <v>25</v>
      </c>
      <c r="D948" s="2">
        <v>166</v>
      </c>
      <c r="E948" s="2">
        <v>29</v>
      </c>
      <c r="F948" s="2">
        <v>134</v>
      </c>
      <c r="G948" s="2">
        <v>353</v>
      </c>
      <c r="H948" s="2">
        <v>17</v>
      </c>
      <c r="I948" s="2">
        <v>125</v>
      </c>
      <c r="J948" s="2">
        <v>375</v>
      </c>
      <c r="K948" s="2">
        <v>109</v>
      </c>
      <c r="L948" s="2">
        <v>160</v>
      </c>
      <c r="M948" s="2">
        <v>76</v>
      </c>
      <c r="N948" s="2">
        <v>254</v>
      </c>
      <c r="O948" s="2">
        <v>388</v>
      </c>
      <c r="P948" s="2">
        <v>2186</v>
      </c>
      <c r="Q948" s="2">
        <v>2</v>
      </c>
      <c r="R948" s="2">
        <v>4372</v>
      </c>
      <c r="S948" s="4">
        <f>SUM($R$2:R948) / SUM($R:$R)</f>
        <v>0.99986062325239333</v>
      </c>
      <c r="T948" s="3" t="str">
        <f t="shared" si="84"/>
        <v>C</v>
      </c>
      <c r="U948" s="2">
        <f t="shared" si="85"/>
        <v>182.16666666666666</v>
      </c>
      <c r="V948" s="2">
        <f t="shared" si="86"/>
        <v>130.59363296002209</v>
      </c>
      <c r="W948" s="2">
        <f t="shared" si="87"/>
        <v>0.71689094031119172</v>
      </c>
      <c r="X948" s="2" t="str">
        <f t="shared" si="88"/>
        <v>Z</v>
      </c>
      <c r="Y948" s="2" t="str">
        <f t="shared" si="89"/>
        <v>CZ</v>
      </c>
    </row>
    <row r="949" spans="1:25" x14ac:dyDescent="0.3">
      <c r="A949" s="2" t="s">
        <v>1773</v>
      </c>
      <c r="B949" s="2" t="s">
        <v>1774</v>
      </c>
      <c r="C949" s="2" t="s">
        <v>41</v>
      </c>
      <c r="D949" s="2">
        <v>171</v>
      </c>
      <c r="E949" s="2">
        <v>195</v>
      </c>
      <c r="F949" s="2">
        <v>180</v>
      </c>
      <c r="G949" s="2">
        <v>157</v>
      </c>
      <c r="H949" s="2">
        <v>167</v>
      </c>
      <c r="I949" s="2">
        <v>187</v>
      </c>
      <c r="J949" s="2">
        <v>185</v>
      </c>
      <c r="K949" s="2">
        <v>178</v>
      </c>
      <c r="L949" s="2">
        <v>198</v>
      </c>
      <c r="M949" s="2">
        <v>180</v>
      </c>
      <c r="N949" s="2">
        <v>167</v>
      </c>
      <c r="O949" s="2">
        <v>171</v>
      </c>
      <c r="P949" s="2">
        <v>2136</v>
      </c>
      <c r="Q949" s="2">
        <v>2</v>
      </c>
      <c r="R949" s="2">
        <v>4272</v>
      </c>
      <c r="S949" s="4">
        <f>SUM($R$2:R949) / SUM($R:$R)</f>
        <v>0.99986460725706217</v>
      </c>
      <c r="T949" s="3" t="str">
        <f t="shared" si="84"/>
        <v>C</v>
      </c>
      <c r="U949" s="2">
        <f t="shared" si="85"/>
        <v>178</v>
      </c>
      <c r="V949" s="2">
        <f t="shared" si="86"/>
        <v>12.090567322579126</v>
      </c>
      <c r="W949" s="2">
        <f t="shared" si="87"/>
        <v>6.7924535520107451E-2</v>
      </c>
      <c r="X949" s="2" t="str">
        <f t="shared" si="88"/>
        <v>X</v>
      </c>
      <c r="Y949" s="2" t="str">
        <f t="shared" si="89"/>
        <v>CX</v>
      </c>
    </row>
    <row r="950" spans="1:25" x14ac:dyDescent="0.3">
      <c r="A950" s="2" t="s">
        <v>977</v>
      </c>
      <c r="B950" s="2" t="s">
        <v>978</v>
      </c>
      <c r="C950" s="2" t="s">
        <v>56</v>
      </c>
      <c r="D950" s="2">
        <v>158</v>
      </c>
      <c r="E950" s="2">
        <v>175</v>
      </c>
      <c r="F950" s="2">
        <v>181</v>
      </c>
      <c r="G950" s="2">
        <v>190</v>
      </c>
      <c r="H950" s="2">
        <v>181</v>
      </c>
      <c r="I950" s="2">
        <v>183</v>
      </c>
      <c r="J950" s="2">
        <v>191</v>
      </c>
      <c r="K950" s="2">
        <v>168</v>
      </c>
      <c r="L950" s="2">
        <v>171</v>
      </c>
      <c r="M950" s="2">
        <v>161</v>
      </c>
      <c r="N950" s="2">
        <v>202</v>
      </c>
      <c r="O950" s="2">
        <v>173</v>
      </c>
      <c r="P950" s="2">
        <v>2134</v>
      </c>
      <c r="Q950" s="2">
        <v>2</v>
      </c>
      <c r="R950" s="2">
        <v>4268</v>
      </c>
      <c r="S950" s="4">
        <f>SUM($R$2:R950) / SUM($R:$R)</f>
        <v>0.99986858753138963</v>
      </c>
      <c r="T950" s="3" t="str">
        <f t="shared" si="84"/>
        <v>C</v>
      </c>
      <c r="U950" s="2">
        <f t="shared" si="85"/>
        <v>177.83333333333334</v>
      </c>
      <c r="V950" s="2">
        <f t="shared" si="86"/>
        <v>12.80506528564759</v>
      </c>
      <c r="W950" s="2">
        <f t="shared" si="87"/>
        <v>7.2005990359780253E-2</v>
      </c>
      <c r="X950" s="2" t="str">
        <f t="shared" si="88"/>
        <v>X</v>
      </c>
      <c r="Y950" s="2" t="str">
        <f t="shared" si="89"/>
        <v>CX</v>
      </c>
    </row>
    <row r="951" spans="1:25" x14ac:dyDescent="0.3">
      <c r="A951" s="2" t="s">
        <v>1347</v>
      </c>
      <c r="B951" s="2" t="s">
        <v>1348</v>
      </c>
      <c r="C951" s="2" t="s">
        <v>36</v>
      </c>
      <c r="D951" s="2">
        <v>193</v>
      </c>
      <c r="E951" s="2">
        <v>170</v>
      </c>
      <c r="F951" s="2">
        <v>184</v>
      </c>
      <c r="G951" s="2">
        <v>167</v>
      </c>
      <c r="H951" s="2">
        <v>169</v>
      </c>
      <c r="I951" s="2">
        <v>173</v>
      </c>
      <c r="J951" s="2">
        <v>192</v>
      </c>
      <c r="K951" s="2">
        <v>191</v>
      </c>
      <c r="L951" s="2">
        <v>166</v>
      </c>
      <c r="M951" s="2">
        <v>166</v>
      </c>
      <c r="N951" s="2">
        <v>143</v>
      </c>
      <c r="O951" s="2">
        <v>190</v>
      </c>
      <c r="P951" s="2">
        <v>2104</v>
      </c>
      <c r="Q951" s="2">
        <v>2</v>
      </c>
      <c r="R951" s="2">
        <v>4208</v>
      </c>
      <c r="S951" s="4">
        <f>SUM($R$2:R951) / SUM($R:$R)</f>
        <v>0.99987251185059534</v>
      </c>
      <c r="T951" s="3" t="str">
        <f t="shared" si="84"/>
        <v>C</v>
      </c>
      <c r="U951" s="2">
        <f t="shared" si="85"/>
        <v>175.33333333333334</v>
      </c>
      <c r="V951" s="2">
        <f t="shared" si="86"/>
        <v>15.041357127680476</v>
      </c>
      <c r="W951" s="2">
        <f t="shared" si="87"/>
        <v>8.5787207952550237E-2</v>
      </c>
      <c r="X951" s="2" t="str">
        <f t="shared" si="88"/>
        <v>X</v>
      </c>
      <c r="Y951" s="2" t="str">
        <f t="shared" si="89"/>
        <v>CX</v>
      </c>
    </row>
    <row r="952" spans="1:25" x14ac:dyDescent="0.3">
      <c r="A952" s="2" t="s">
        <v>1817</v>
      </c>
      <c r="B952" s="2" t="s">
        <v>1818</v>
      </c>
      <c r="C952" s="2" t="s">
        <v>41</v>
      </c>
      <c r="D952" s="2">
        <v>164</v>
      </c>
      <c r="E952" s="2">
        <v>173</v>
      </c>
      <c r="F952" s="2">
        <v>186</v>
      </c>
      <c r="G952" s="2">
        <v>181</v>
      </c>
      <c r="H952" s="2">
        <v>164</v>
      </c>
      <c r="I952" s="2">
        <v>157</v>
      </c>
      <c r="J952" s="2">
        <v>167</v>
      </c>
      <c r="K952" s="2">
        <v>148</v>
      </c>
      <c r="L952" s="2">
        <v>177</v>
      </c>
      <c r="M952" s="2">
        <v>161</v>
      </c>
      <c r="N952" s="2">
        <v>178</v>
      </c>
      <c r="O952" s="2">
        <v>200</v>
      </c>
      <c r="P952" s="2">
        <v>2056</v>
      </c>
      <c r="Q952" s="2">
        <v>2</v>
      </c>
      <c r="R952" s="2">
        <v>4112</v>
      </c>
      <c r="S952" s="4">
        <f>SUM($R$2:R952) / SUM($R:$R)</f>
        <v>0.99987634664160618</v>
      </c>
      <c r="T952" s="3" t="str">
        <f t="shared" si="84"/>
        <v>C</v>
      </c>
      <c r="U952" s="2">
        <f t="shared" si="85"/>
        <v>171.33333333333334</v>
      </c>
      <c r="V952" s="2">
        <f t="shared" si="86"/>
        <v>14.118545723031582</v>
      </c>
      <c r="W952" s="2">
        <f t="shared" si="87"/>
        <v>8.2403963363997551E-2</v>
      </c>
      <c r="X952" s="2" t="str">
        <f t="shared" si="88"/>
        <v>X</v>
      </c>
      <c r="Y952" s="2" t="str">
        <f t="shared" si="89"/>
        <v>CX</v>
      </c>
    </row>
    <row r="953" spans="1:25" x14ac:dyDescent="0.3">
      <c r="A953" s="2" t="s">
        <v>1631</v>
      </c>
      <c r="B953" s="2" t="s">
        <v>1632</v>
      </c>
      <c r="C953" s="2" t="s">
        <v>25</v>
      </c>
      <c r="D953" s="2">
        <v>38</v>
      </c>
      <c r="E953" s="2">
        <v>95</v>
      </c>
      <c r="F953" s="2">
        <v>254</v>
      </c>
      <c r="G953" s="2">
        <v>33</v>
      </c>
      <c r="H953" s="2">
        <v>108</v>
      </c>
      <c r="I953" s="2">
        <v>366</v>
      </c>
      <c r="J953" s="2">
        <v>393</v>
      </c>
      <c r="K953" s="2">
        <v>2</v>
      </c>
      <c r="L953" s="2">
        <v>427</v>
      </c>
      <c r="M953" s="2">
        <v>186</v>
      </c>
      <c r="N953" s="2">
        <v>99</v>
      </c>
      <c r="O953" s="2">
        <v>12</v>
      </c>
      <c r="P953" s="2">
        <v>2013</v>
      </c>
      <c r="Q953" s="2">
        <v>2</v>
      </c>
      <c r="R953" s="2">
        <v>4026</v>
      </c>
      <c r="S953" s="4">
        <f>SUM($R$2:R953) / SUM($R:$R)</f>
        <v>0.99988010123027593</v>
      </c>
      <c r="T953" s="3" t="str">
        <f t="shared" si="84"/>
        <v>C</v>
      </c>
      <c r="U953" s="2">
        <f t="shared" si="85"/>
        <v>167.75</v>
      </c>
      <c r="V953" s="2">
        <f t="shared" si="86"/>
        <v>155.31090519576296</v>
      </c>
      <c r="W953" s="2">
        <f t="shared" si="87"/>
        <v>0.92584742292556155</v>
      </c>
      <c r="X953" s="2" t="str">
        <f t="shared" si="88"/>
        <v>Z</v>
      </c>
      <c r="Y953" s="2" t="str">
        <f t="shared" si="89"/>
        <v>CZ</v>
      </c>
    </row>
    <row r="954" spans="1:25" x14ac:dyDescent="0.3">
      <c r="A954" s="2" t="s">
        <v>1999</v>
      </c>
      <c r="B954" s="2" t="s">
        <v>2000</v>
      </c>
      <c r="C954" s="2" t="s">
        <v>41</v>
      </c>
      <c r="D954" s="2">
        <v>144</v>
      </c>
      <c r="E954" s="2">
        <v>172</v>
      </c>
      <c r="F954" s="2">
        <v>151</v>
      </c>
      <c r="G954" s="2">
        <v>181</v>
      </c>
      <c r="H954" s="2">
        <v>171</v>
      </c>
      <c r="I954" s="2">
        <v>197</v>
      </c>
      <c r="J954" s="2">
        <v>165</v>
      </c>
      <c r="K954" s="2">
        <v>143</v>
      </c>
      <c r="L954" s="2">
        <v>183</v>
      </c>
      <c r="M954" s="2">
        <v>183</v>
      </c>
      <c r="N954" s="2">
        <v>165</v>
      </c>
      <c r="O954" s="2">
        <v>143</v>
      </c>
      <c r="P954" s="2">
        <v>1998</v>
      </c>
      <c r="Q954" s="2">
        <v>2</v>
      </c>
      <c r="R954" s="2">
        <v>3996</v>
      </c>
      <c r="S954" s="4">
        <f>SUM($R$2:R954) / SUM($R:$R)</f>
        <v>0.99988382784138474</v>
      </c>
      <c r="T954" s="3" t="str">
        <f t="shared" si="84"/>
        <v>C</v>
      </c>
      <c r="U954" s="2">
        <f t="shared" si="85"/>
        <v>166.5</v>
      </c>
      <c r="V954" s="2">
        <f t="shared" si="86"/>
        <v>18.068053172783873</v>
      </c>
      <c r="W954" s="2">
        <f t="shared" si="87"/>
        <v>0.10851683587257581</v>
      </c>
      <c r="X954" s="2" t="str">
        <f t="shared" si="88"/>
        <v>X</v>
      </c>
      <c r="Y954" s="2" t="str">
        <f t="shared" si="89"/>
        <v>CX</v>
      </c>
    </row>
    <row r="955" spans="1:25" x14ac:dyDescent="0.3">
      <c r="A955" s="2" t="s">
        <v>1321</v>
      </c>
      <c r="B955" s="2" t="s">
        <v>1322</v>
      </c>
      <c r="C955" s="2" t="s">
        <v>25</v>
      </c>
      <c r="D955" s="2">
        <v>60</v>
      </c>
      <c r="E955" s="2">
        <v>28</v>
      </c>
      <c r="F955" s="2">
        <v>279</v>
      </c>
      <c r="G955" s="2">
        <v>83</v>
      </c>
      <c r="H955" s="2">
        <v>9</v>
      </c>
      <c r="I955" s="2">
        <v>200</v>
      </c>
      <c r="J955" s="2">
        <v>253</v>
      </c>
      <c r="K955" s="2">
        <v>208</v>
      </c>
      <c r="L955" s="2">
        <v>152</v>
      </c>
      <c r="M955" s="2">
        <v>36</v>
      </c>
      <c r="N955" s="2">
        <v>257</v>
      </c>
      <c r="O955" s="2">
        <v>427</v>
      </c>
      <c r="P955" s="2">
        <v>1992</v>
      </c>
      <c r="Q955" s="2">
        <v>2</v>
      </c>
      <c r="R955" s="2">
        <v>3984</v>
      </c>
      <c r="S955" s="4">
        <f>SUM($R$2:R955) / SUM($R:$R)</f>
        <v>0.99988754326146922</v>
      </c>
      <c r="T955" s="3" t="str">
        <f t="shared" si="84"/>
        <v>C</v>
      </c>
      <c r="U955" s="2">
        <f t="shared" si="85"/>
        <v>166</v>
      </c>
      <c r="V955" s="2">
        <f t="shared" si="86"/>
        <v>127.41271522104849</v>
      </c>
      <c r="W955" s="2">
        <f t="shared" si="87"/>
        <v>0.76754647723523184</v>
      </c>
      <c r="X955" s="2" t="str">
        <f t="shared" si="88"/>
        <v>Z</v>
      </c>
      <c r="Y955" s="2" t="str">
        <f t="shared" si="89"/>
        <v>CZ</v>
      </c>
    </row>
    <row r="956" spans="1:25" x14ac:dyDescent="0.3">
      <c r="A956" s="2" t="s">
        <v>1043</v>
      </c>
      <c r="B956" s="2" t="s">
        <v>1044</v>
      </c>
      <c r="C956" s="2" t="s">
        <v>41</v>
      </c>
      <c r="D956" s="2">
        <v>168</v>
      </c>
      <c r="E956" s="2">
        <v>160</v>
      </c>
      <c r="F956" s="2">
        <v>159</v>
      </c>
      <c r="G956" s="2">
        <v>169</v>
      </c>
      <c r="H956" s="2">
        <v>185</v>
      </c>
      <c r="I956" s="2">
        <v>158</v>
      </c>
      <c r="J956" s="2">
        <v>156</v>
      </c>
      <c r="K956" s="2">
        <v>146</v>
      </c>
      <c r="L956" s="2">
        <v>204</v>
      </c>
      <c r="M956" s="2">
        <v>146</v>
      </c>
      <c r="N956" s="2">
        <v>156</v>
      </c>
      <c r="O956" s="2">
        <v>178</v>
      </c>
      <c r="P956" s="2">
        <v>1985</v>
      </c>
      <c r="Q956" s="2">
        <v>2</v>
      </c>
      <c r="R956" s="2">
        <v>3970</v>
      </c>
      <c r="S956" s="4">
        <f>SUM($R$2:R956) / SUM($R:$R)</f>
        <v>0.99989124562535858</v>
      </c>
      <c r="T956" s="3" t="str">
        <f t="shared" si="84"/>
        <v>C</v>
      </c>
      <c r="U956" s="2">
        <f t="shared" si="85"/>
        <v>165.41666666666666</v>
      </c>
      <c r="V956" s="2">
        <f t="shared" si="86"/>
        <v>16.806158683559122</v>
      </c>
      <c r="W956" s="2">
        <f t="shared" si="87"/>
        <v>0.10159894418272518</v>
      </c>
      <c r="X956" s="2" t="str">
        <f t="shared" si="88"/>
        <v>X</v>
      </c>
      <c r="Y956" s="2" t="str">
        <f t="shared" si="89"/>
        <v>CX</v>
      </c>
    </row>
    <row r="957" spans="1:25" x14ac:dyDescent="0.3">
      <c r="A957" s="2" t="s">
        <v>2017</v>
      </c>
      <c r="B957" s="2" t="s">
        <v>2018</v>
      </c>
      <c r="C957" s="2" t="s">
        <v>25</v>
      </c>
      <c r="D957" s="2">
        <v>69</v>
      </c>
      <c r="E957" s="2">
        <v>136</v>
      </c>
      <c r="F957" s="2">
        <v>107</v>
      </c>
      <c r="G957" s="2">
        <v>306</v>
      </c>
      <c r="H957" s="2">
        <v>66</v>
      </c>
      <c r="I957" s="2">
        <v>202</v>
      </c>
      <c r="J957" s="2">
        <v>269</v>
      </c>
      <c r="K957" s="2">
        <v>349</v>
      </c>
      <c r="L957" s="2">
        <v>3</v>
      </c>
      <c r="M957" s="2">
        <v>307</v>
      </c>
      <c r="N957" s="2">
        <v>89</v>
      </c>
      <c r="O957" s="2">
        <v>46</v>
      </c>
      <c r="P957" s="2">
        <v>1949</v>
      </c>
      <c r="Q957" s="2">
        <v>2</v>
      </c>
      <c r="R957" s="2">
        <v>3898</v>
      </c>
      <c r="S957" s="4">
        <f>SUM($R$2:R957) / SUM($R:$R)</f>
        <v>0.99989488084310196</v>
      </c>
      <c r="T957" s="3" t="str">
        <f t="shared" si="84"/>
        <v>C</v>
      </c>
      <c r="U957" s="2">
        <f t="shared" si="85"/>
        <v>162.41666666666666</v>
      </c>
      <c r="V957" s="2">
        <f t="shared" si="86"/>
        <v>118.86161421305592</v>
      </c>
      <c r="W957" s="2">
        <f t="shared" si="87"/>
        <v>0.73183138561142691</v>
      </c>
      <c r="X957" s="2" t="str">
        <f t="shared" si="88"/>
        <v>Z</v>
      </c>
      <c r="Y957" s="2" t="str">
        <f t="shared" si="89"/>
        <v>CZ</v>
      </c>
    </row>
    <row r="958" spans="1:25" x14ac:dyDescent="0.3">
      <c r="A958" s="2" t="s">
        <v>1829</v>
      </c>
      <c r="B958" s="2" t="s">
        <v>1830</v>
      </c>
      <c r="C958" s="2" t="s">
        <v>56</v>
      </c>
      <c r="D958" s="2">
        <v>176</v>
      </c>
      <c r="E958" s="2">
        <v>157</v>
      </c>
      <c r="F958" s="2">
        <v>152</v>
      </c>
      <c r="G958" s="2">
        <v>153</v>
      </c>
      <c r="H958" s="2">
        <v>150</v>
      </c>
      <c r="I958" s="2">
        <v>156</v>
      </c>
      <c r="J958" s="2">
        <v>179</v>
      </c>
      <c r="K958" s="2">
        <v>155</v>
      </c>
      <c r="L958" s="2">
        <v>162</v>
      </c>
      <c r="M958" s="2">
        <v>171</v>
      </c>
      <c r="N958" s="2">
        <v>155</v>
      </c>
      <c r="O958" s="2">
        <v>161</v>
      </c>
      <c r="P958" s="2">
        <v>1927</v>
      </c>
      <c r="Q958" s="2">
        <v>2</v>
      </c>
      <c r="R958" s="2">
        <v>3854</v>
      </c>
      <c r="S958" s="4">
        <f>SUM($R$2:R958) / SUM($R:$R)</f>
        <v>0.99989847502708928</v>
      </c>
      <c r="T958" s="3" t="str">
        <f t="shared" si="84"/>
        <v>C</v>
      </c>
      <c r="U958" s="2">
        <f t="shared" si="85"/>
        <v>160.58333333333334</v>
      </c>
      <c r="V958" s="2">
        <f t="shared" si="86"/>
        <v>9.6620940073081787</v>
      </c>
      <c r="W958" s="2">
        <f t="shared" si="87"/>
        <v>6.0168722411882793E-2</v>
      </c>
      <c r="X958" s="2" t="str">
        <f t="shared" si="88"/>
        <v>X</v>
      </c>
      <c r="Y958" s="2" t="str">
        <f t="shared" si="89"/>
        <v>CX</v>
      </c>
    </row>
    <row r="959" spans="1:25" x14ac:dyDescent="0.3">
      <c r="A959" s="2" t="s">
        <v>589</v>
      </c>
      <c r="B959" s="2" t="s">
        <v>590</v>
      </c>
      <c r="C959" s="2" t="s">
        <v>36</v>
      </c>
      <c r="D959" s="2">
        <v>163</v>
      </c>
      <c r="E959" s="2">
        <v>144</v>
      </c>
      <c r="F959" s="2">
        <v>163</v>
      </c>
      <c r="G959" s="2">
        <v>154</v>
      </c>
      <c r="H959" s="2">
        <v>160</v>
      </c>
      <c r="I959" s="2">
        <v>154</v>
      </c>
      <c r="J959" s="2">
        <v>165</v>
      </c>
      <c r="K959" s="2">
        <v>165</v>
      </c>
      <c r="L959" s="2">
        <v>159</v>
      </c>
      <c r="M959" s="2">
        <v>163</v>
      </c>
      <c r="N959" s="2">
        <v>156</v>
      </c>
      <c r="O959" s="2">
        <v>164</v>
      </c>
      <c r="P959" s="2">
        <v>1910</v>
      </c>
      <c r="Q959" s="2">
        <v>2</v>
      </c>
      <c r="R959" s="2">
        <v>3820</v>
      </c>
      <c r="S959" s="4">
        <f>SUM($R$2:R959) / SUM($R:$R)</f>
        <v>0.9999020375031743</v>
      </c>
      <c r="T959" s="3" t="str">
        <f t="shared" si="84"/>
        <v>C</v>
      </c>
      <c r="U959" s="2">
        <f t="shared" si="85"/>
        <v>159.16666666666666</v>
      </c>
      <c r="V959" s="2">
        <f t="shared" si="86"/>
        <v>6.2498484830118928</v>
      </c>
      <c r="W959" s="2">
        <f t="shared" si="87"/>
        <v>3.926606376761399E-2</v>
      </c>
      <c r="X959" s="2" t="str">
        <f t="shared" si="88"/>
        <v>X</v>
      </c>
      <c r="Y959" s="2" t="str">
        <f t="shared" si="89"/>
        <v>CX</v>
      </c>
    </row>
    <row r="960" spans="1:25" x14ac:dyDescent="0.3">
      <c r="A960" s="2" t="s">
        <v>1147</v>
      </c>
      <c r="B960" s="2" t="s">
        <v>1148</v>
      </c>
      <c r="C960" s="2" t="s">
        <v>36</v>
      </c>
      <c r="D960" s="2">
        <v>161</v>
      </c>
      <c r="E960" s="2">
        <v>124</v>
      </c>
      <c r="F960" s="2">
        <v>156</v>
      </c>
      <c r="G960" s="2">
        <v>173</v>
      </c>
      <c r="H960" s="2">
        <v>165</v>
      </c>
      <c r="I960" s="2">
        <v>174</v>
      </c>
      <c r="J960" s="2">
        <v>166</v>
      </c>
      <c r="K960" s="2">
        <v>159</v>
      </c>
      <c r="L960" s="2">
        <v>143</v>
      </c>
      <c r="M960" s="2">
        <v>143</v>
      </c>
      <c r="N960" s="2">
        <v>162</v>
      </c>
      <c r="O960" s="2">
        <v>160</v>
      </c>
      <c r="P960" s="2">
        <v>1886</v>
      </c>
      <c r="Q960" s="2">
        <v>2</v>
      </c>
      <c r="R960" s="2">
        <v>3772</v>
      </c>
      <c r="S960" s="4">
        <f>SUM($R$2:R960) / SUM($R:$R)</f>
        <v>0.99990555521516189</v>
      </c>
      <c r="T960" s="3" t="str">
        <f t="shared" si="84"/>
        <v>C</v>
      </c>
      <c r="U960" s="2">
        <f t="shared" si="85"/>
        <v>157.16666666666666</v>
      </c>
      <c r="V960" s="2">
        <f t="shared" si="86"/>
        <v>14.224392195567914</v>
      </c>
      <c r="W960" s="2">
        <f t="shared" si="87"/>
        <v>9.0505146525352589E-2</v>
      </c>
      <c r="X960" s="2" t="str">
        <f t="shared" si="88"/>
        <v>X</v>
      </c>
      <c r="Y960" s="2" t="str">
        <f t="shared" si="89"/>
        <v>CX</v>
      </c>
    </row>
    <row r="961" spans="1:25" x14ac:dyDescent="0.3">
      <c r="A961" s="2" t="s">
        <v>357</v>
      </c>
      <c r="B961" s="2" t="s">
        <v>358</v>
      </c>
      <c r="C961" s="2" t="s">
        <v>41</v>
      </c>
      <c r="D961" s="2">
        <v>146</v>
      </c>
      <c r="E961" s="2">
        <v>161</v>
      </c>
      <c r="F961" s="2">
        <v>152</v>
      </c>
      <c r="G961" s="2">
        <v>127</v>
      </c>
      <c r="H961" s="2">
        <v>140</v>
      </c>
      <c r="I961" s="2">
        <v>166</v>
      </c>
      <c r="J961" s="2">
        <v>150</v>
      </c>
      <c r="K961" s="2">
        <v>161</v>
      </c>
      <c r="L961" s="2">
        <v>193</v>
      </c>
      <c r="M961" s="2">
        <v>151</v>
      </c>
      <c r="N961" s="2">
        <v>154</v>
      </c>
      <c r="O961" s="2">
        <v>153</v>
      </c>
      <c r="P961" s="2">
        <v>1854</v>
      </c>
      <c r="Q961" s="2">
        <v>2</v>
      </c>
      <c r="R961" s="2">
        <v>3708</v>
      </c>
      <c r="S961" s="4">
        <f>SUM($R$2:R961) / SUM($R:$R)</f>
        <v>0.99990901324168635</v>
      </c>
      <c r="T961" s="3" t="str">
        <f t="shared" si="84"/>
        <v>C</v>
      </c>
      <c r="U961" s="2">
        <f t="shared" si="85"/>
        <v>154.5</v>
      </c>
      <c r="V961" s="2">
        <f t="shared" si="86"/>
        <v>15.894538799108442</v>
      </c>
      <c r="W961" s="2">
        <f t="shared" si="87"/>
        <v>0.10287727378063717</v>
      </c>
      <c r="X961" s="2" t="str">
        <f t="shared" si="88"/>
        <v>X</v>
      </c>
      <c r="Y961" s="2" t="str">
        <f t="shared" si="89"/>
        <v>CX</v>
      </c>
    </row>
    <row r="962" spans="1:25" x14ac:dyDescent="0.3">
      <c r="A962" s="2" t="s">
        <v>445</v>
      </c>
      <c r="B962" s="2" t="s">
        <v>446</v>
      </c>
      <c r="C962" s="2" t="s">
        <v>25</v>
      </c>
      <c r="D962" s="2">
        <v>321</v>
      </c>
      <c r="E962" s="2">
        <v>150</v>
      </c>
      <c r="F962" s="2">
        <v>190</v>
      </c>
      <c r="G962" s="2">
        <v>33</v>
      </c>
      <c r="H962" s="2">
        <v>129</v>
      </c>
      <c r="I962" s="2">
        <v>181</v>
      </c>
      <c r="J962" s="2">
        <v>248</v>
      </c>
      <c r="K962" s="2">
        <v>96</v>
      </c>
      <c r="L962" s="2">
        <v>146</v>
      </c>
      <c r="M962" s="2">
        <v>157</v>
      </c>
      <c r="N962" s="2">
        <v>27</v>
      </c>
      <c r="O962" s="2">
        <v>145</v>
      </c>
      <c r="P962" s="2">
        <v>1823</v>
      </c>
      <c r="Q962" s="2">
        <v>2</v>
      </c>
      <c r="R962" s="2">
        <v>3646</v>
      </c>
      <c r="S962" s="4">
        <f>SUM($R$2:R962) / SUM($R:$R)</f>
        <v>0.99991241344791826</v>
      </c>
      <c r="T962" s="3" t="str">
        <f t="shared" si="84"/>
        <v>C</v>
      </c>
      <c r="U962" s="2">
        <f t="shared" si="85"/>
        <v>151.91666666666666</v>
      </c>
      <c r="V962" s="2">
        <f t="shared" si="86"/>
        <v>81.812933333343224</v>
      </c>
      <c r="W962" s="2">
        <f t="shared" si="87"/>
        <v>0.53853823368081122</v>
      </c>
      <c r="X962" s="2" t="str">
        <f t="shared" si="88"/>
        <v>Z</v>
      </c>
      <c r="Y962" s="2" t="str">
        <f t="shared" si="89"/>
        <v>CZ</v>
      </c>
    </row>
    <row r="963" spans="1:25" x14ac:dyDescent="0.3">
      <c r="A963" s="2" t="s">
        <v>1389</v>
      </c>
      <c r="B963" s="2" t="s">
        <v>1390</v>
      </c>
      <c r="C963" s="2" t="s">
        <v>25</v>
      </c>
      <c r="D963" s="2">
        <v>97</v>
      </c>
      <c r="E963" s="2">
        <v>212</v>
      </c>
      <c r="F963" s="2">
        <v>103</v>
      </c>
      <c r="G963" s="2">
        <v>140</v>
      </c>
      <c r="H963" s="2">
        <v>131</v>
      </c>
      <c r="I963" s="2">
        <v>57</v>
      </c>
      <c r="J963" s="2">
        <v>206</v>
      </c>
      <c r="K963" s="2">
        <v>258</v>
      </c>
      <c r="L963" s="2">
        <v>44</v>
      </c>
      <c r="M963" s="2">
        <v>58</v>
      </c>
      <c r="N963" s="2">
        <v>428</v>
      </c>
      <c r="O963" s="2">
        <v>76</v>
      </c>
      <c r="P963" s="2">
        <v>1810</v>
      </c>
      <c r="Q963" s="2">
        <v>2</v>
      </c>
      <c r="R963" s="2">
        <v>3620</v>
      </c>
      <c r="S963" s="4">
        <f>SUM($R$2:R963) / SUM($R:$R)</f>
        <v>0.99991578940693071</v>
      </c>
      <c r="T963" s="3" t="str">
        <f t="shared" ref="T963:T1001" si="90">IF(S963&lt;=0.7, "A", IF(S963&lt;=0.9, "B", "C"))</f>
        <v>C</v>
      </c>
      <c r="U963" s="2">
        <f t="shared" ref="U963:U1001" si="91">AVERAGE(D963:O963)</f>
        <v>150.83333333333334</v>
      </c>
      <c r="V963" s="2">
        <f t="shared" ref="V963:V1001" si="92">_xlfn.STDEV.S(D963:O963)</f>
        <v>110.87407544624942</v>
      </c>
      <c r="W963" s="2">
        <f t="shared" ref="W963:W1001" si="93">IF(U963=0,0,V963/U963)</f>
        <v>0.73507674329005135</v>
      </c>
      <c r="X963" s="2" t="str">
        <f t="shared" ref="X963:X1001" si="94">(IF(W963&lt;=0.2, "X", IF(W963&lt;=0.5, "Y", "Z")))</f>
        <v>Z</v>
      </c>
      <c r="Y963" s="2" t="str">
        <f t="shared" ref="Y963:Y1001" si="95">T963&amp;X963</f>
        <v>CZ</v>
      </c>
    </row>
    <row r="964" spans="1:25" x14ac:dyDescent="0.3">
      <c r="A964" s="2" t="s">
        <v>1859</v>
      </c>
      <c r="B964" s="2" t="s">
        <v>1860</v>
      </c>
      <c r="C964" s="2" t="s">
        <v>41</v>
      </c>
      <c r="D964" s="2">
        <v>155</v>
      </c>
      <c r="E964" s="2">
        <v>151</v>
      </c>
      <c r="F964" s="2">
        <v>151</v>
      </c>
      <c r="G964" s="2">
        <v>152</v>
      </c>
      <c r="H964" s="2">
        <v>172</v>
      </c>
      <c r="I964" s="2">
        <v>130</v>
      </c>
      <c r="J964" s="2">
        <v>170</v>
      </c>
      <c r="K964" s="2">
        <v>134</v>
      </c>
      <c r="L964" s="2">
        <v>145</v>
      </c>
      <c r="M964" s="2">
        <v>158</v>
      </c>
      <c r="N964" s="2">
        <v>150</v>
      </c>
      <c r="O964" s="2">
        <v>135</v>
      </c>
      <c r="P964" s="2">
        <v>1803</v>
      </c>
      <c r="Q964" s="2">
        <v>2</v>
      </c>
      <c r="R964" s="2">
        <v>3606</v>
      </c>
      <c r="S964" s="4">
        <f>SUM($R$2:R964) / SUM($R:$R)</f>
        <v>0.99991915230974815</v>
      </c>
      <c r="T964" s="3" t="str">
        <f t="shared" si="90"/>
        <v>C</v>
      </c>
      <c r="U964" s="2">
        <f t="shared" si="91"/>
        <v>150.25</v>
      </c>
      <c r="V964" s="2">
        <f t="shared" si="92"/>
        <v>13.087988941982436</v>
      </c>
      <c r="W964" s="2">
        <f t="shared" si="93"/>
        <v>8.7108079480748321E-2</v>
      </c>
      <c r="X964" s="2" t="str">
        <f t="shared" si="94"/>
        <v>X</v>
      </c>
      <c r="Y964" s="2" t="str">
        <f t="shared" si="95"/>
        <v>CX</v>
      </c>
    </row>
    <row r="965" spans="1:25" x14ac:dyDescent="0.3">
      <c r="A965" s="2" t="s">
        <v>1951</v>
      </c>
      <c r="B965" s="2" t="s">
        <v>1952</v>
      </c>
      <c r="C965" s="2" t="s">
        <v>56</v>
      </c>
      <c r="D965" s="2">
        <v>154</v>
      </c>
      <c r="E965" s="2">
        <v>129</v>
      </c>
      <c r="F965" s="2">
        <v>153</v>
      </c>
      <c r="G965" s="2">
        <v>143</v>
      </c>
      <c r="H965" s="2">
        <v>161</v>
      </c>
      <c r="I965" s="2">
        <v>156</v>
      </c>
      <c r="J965" s="2">
        <v>149</v>
      </c>
      <c r="K965" s="2">
        <v>147</v>
      </c>
      <c r="L965" s="2">
        <v>132</v>
      </c>
      <c r="M965" s="2">
        <v>137</v>
      </c>
      <c r="N965" s="2">
        <v>167</v>
      </c>
      <c r="O965" s="2">
        <v>145</v>
      </c>
      <c r="P965" s="2">
        <v>1773</v>
      </c>
      <c r="Q965" s="2">
        <v>2</v>
      </c>
      <c r="R965" s="2">
        <v>3546</v>
      </c>
      <c r="S965" s="4">
        <f>SUM($R$2:R965) / SUM($R:$R)</f>
        <v>0.99992245925744383</v>
      </c>
      <c r="T965" s="3" t="str">
        <f t="shared" si="90"/>
        <v>C</v>
      </c>
      <c r="U965" s="2">
        <f t="shared" si="91"/>
        <v>147.75</v>
      </c>
      <c r="V965" s="2">
        <f t="shared" si="92"/>
        <v>11.394775517354832</v>
      </c>
      <c r="W965" s="2">
        <f t="shared" si="93"/>
        <v>7.7122000117460787E-2</v>
      </c>
      <c r="X965" s="2" t="str">
        <f t="shared" si="94"/>
        <v>X</v>
      </c>
      <c r="Y965" s="2" t="str">
        <f t="shared" si="95"/>
        <v>CX</v>
      </c>
    </row>
    <row r="966" spans="1:25" x14ac:dyDescent="0.3">
      <c r="A966" s="2" t="s">
        <v>1017</v>
      </c>
      <c r="B966" s="2" t="s">
        <v>1018</v>
      </c>
      <c r="C966" s="2" t="s">
        <v>25</v>
      </c>
      <c r="D966" s="2">
        <v>344</v>
      </c>
      <c r="E966" s="2">
        <v>374</v>
      </c>
      <c r="F966" s="2">
        <v>376</v>
      </c>
      <c r="G966" s="2">
        <v>120</v>
      </c>
      <c r="H966" s="2">
        <v>18</v>
      </c>
      <c r="I966" s="2">
        <v>160</v>
      </c>
      <c r="J966" s="2">
        <v>82</v>
      </c>
      <c r="K966" s="2">
        <v>22</v>
      </c>
      <c r="L966" s="2">
        <v>35</v>
      </c>
      <c r="M966" s="2">
        <v>210</v>
      </c>
      <c r="N966" s="2">
        <v>12</v>
      </c>
      <c r="O966" s="2">
        <v>16</v>
      </c>
      <c r="P966" s="2">
        <v>1769</v>
      </c>
      <c r="Q966" s="2">
        <v>2</v>
      </c>
      <c r="R966" s="2">
        <v>3538</v>
      </c>
      <c r="S966" s="4">
        <f>SUM($R$2:R966) / SUM($R:$R)</f>
        <v>0.99992575874445655</v>
      </c>
      <c r="T966" s="3" t="str">
        <f t="shared" si="90"/>
        <v>C</v>
      </c>
      <c r="U966" s="2">
        <f t="shared" si="91"/>
        <v>147.41666666666666</v>
      </c>
      <c r="V966" s="2">
        <f t="shared" si="92"/>
        <v>145.24741170176011</v>
      </c>
      <c r="W966" s="2">
        <f t="shared" si="93"/>
        <v>0.98528487304755308</v>
      </c>
      <c r="X966" s="2" t="str">
        <f t="shared" si="94"/>
        <v>Z</v>
      </c>
      <c r="Y966" s="2" t="str">
        <f t="shared" si="95"/>
        <v>CZ</v>
      </c>
    </row>
    <row r="967" spans="1:25" x14ac:dyDescent="0.3">
      <c r="A967" s="2" t="s">
        <v>273</v>
      </c>
      <c r="B967" s="2" t="s">
        <v>274</v>
      </c>
      <c r="C967" s="2" t="s">
        <v>41</v>
      </c>
      <c r="D967" s="2">
        <v>161</v>
      </c>
      <c r="E967" s="2">
        <v>148</v>
      </c>
      <c r="F967" s="2">
        <v>137</v>
      </c>
      <c r="G967" s="2">
        <v>115</v>
      </c>
      <c r="H967" s="2">
        <v>133</v>
      </c>
      <c r="I967" s="2">
        <v>117</v>
      </c>
      <c r="J967" s="2">
        <v>161</v>
      </c>
      <c r="K967" s="2">
        <v>133</v>
      </c>
      <c r="L967" s="2">
        <v>146</v>
      </c>
      <c r="M967" s="2">
        <v>137</v>
      </c>
      <c r="N967" s="2">
        <v>138</v>
      </c>
      <c r="O967" s="2">
        <v>152</v>
      </c>
      <c r="P967" s="2">
        <v>1678</v>
      </c>
      <c r="Q967" s="2">
        <v>2</v>
      </c>
      <c r="R967" s="2">
        <v>3356</v>
      </c>
      <c r="S967" s="4">
        <f>SUM($R$2:R967) / SUM($R:$R)</f>
        <v>0.99992888850093342</v>
      </c>
      <c r="T967" s="3" t="str">
        <f t="shared" si="90"/>
        <v>C</v>
      </c>
      <c r="U967" s="2">
        <f t="shared" si="91"/>
        <v>139.83333333333334</v>
      </c>
      <c r="V967" s="2">
        <f t="shared" si="92"/>
        <v>14.769953119475845</v>
      </c>
      <c r="W967" s="2">
        <f t="shared" si="93"/>
        <v>0.10562540967443988</v>
      </c>
      <c r="X967" s="2" t="str">
        <f t="shared" si="94"/>
        <v>X</v>
      </c>
      <c r="Y967" s="2" t="str">
        <f t="shared" si="95"/>
        <v>CX</v>
      </c>
    </row>
    <row r="968" spans="1:25" x14ac:dyDescent="0.3">
      <c r="A968" s="2" t="s">
        <v>973</v>
      </c>
      <c r="B968" s="2" t="s">
        <v>974</v>
      </c>
      <c r="C968" s="2" t="s">
        <v>41</v>
      </c>
      <c r="D968" s="2">
        <v>129</v>
      </c>
      <c r="E968" s="2">
        <v>130</v>
      </c>
      <c r="F968" s="2">
        <v>149</v>
      </c>
      <c r="G968" s="2">
        <v>156</v>
      </c>
      <c r="H968" s="2">
        <v>140</v>
      </c>
      <c r="I968" s="2">
        <v>129</v>
      </c>
      <c r="J968" s="2">
        <v>124</v>
      </c>
      <c r="K968" s="2">
        <v>129</v>
      </c>
      <c r="L968" s="2">
        <v>131</v>
      </c>
      <c r="M968" s="2">
        <v>132</v>
      </c>
      <c r="N968" s="2">
        <v>162</v>
      </c>
      <c r="O968" s="2">
        <v>134</v>
      </c>
      <c r="P968" s="2">
        <v>1645</v>
      </c>
      <c r="Q968" s="2">
        <v>2</v>
      </c>
      <c r="R968" s="2">
        <v>3290</v>
      </c>
      <c r="S968" s="4">
        <f>SUM($R$2:R968) / SUM($R:$R)</f>
        <v>0.99993195670677626</v>
      </c>
      <c r="T968" s="3" t="str">
        <f t="shared" si="90"/>
        <v>C</v>
      </c>
      <c r="U968" s="2">
        <f t="shared" si="91"/>
        <v>137.08333333333334</v>
      </c>
      <c r="V968" s="2">
        <f t="shared" si="92"/>
        <v>12.131539161386012</v>
      </c>
      <c r="W968" s="2">
        <f t="shared" si="93"/>
        <v>8.8497550113454185E-2</v>
      </c>
      <c r="X968" s="2" t="str">
        <f t="shared" si="94"/>
        <v>X</v>
      </c>
      <c r="Y968" s="2" t="str">
        <f t="shared" si="95"/>
        <v>CX</v>
      </c>
    </row>
    <row r="969" spans="1:25" x14ac:dyDescent="0.3">
      <c r="A969" s="2" t="s">
        <v>1531</v>
      </c>
      <c r="B969" s="2" t="s">
        <v>1532</v>
      </c>
      <c r="C969" s="2" t="s">
        <v>41</v>
      </c>
      <c r="D969" s="2">
        <v>124</v>
      </c>
      <c r="E969" s="2">
        <v>122</v>
      </c>
      <c r="F969" s="2">
        <v>127</v>
      </c>
      <c r="G969" s="2">
        <v>133</v>
      </c>
      <c r="H969" s="2">
        <v>142</v>
      </c>
      <c r="I969" s="2">
        <v>155</v>
      </c>
      <c r="J969" s="2">
        <v>158</v>
      </c>
      <c r="K969" s="2">
        <v>134</v>
      </c>
      <c r="L969" s="2">
        <v>145</v>
      </c>
      <c r="M969" s="2">
        <v>121</v>
      </c>
      <c r="N969" s="2">
        <v>132</v>
      </c>
      <c r="O969" s="2">
        <v>130</v>
      </c>
      <c r="P969" s="2">
        <v>1623</v>
      </c>
      <c r="Q969" s="2">
        <v>2</v>
      </c>
      <c r="R969" s="2">
        <v>3246</v>
      </c>
      <c r="S969" s="4">
        <f>SUM($R$2:R969) / SUM($R:$R)</f>
        <v>0.99993498387886315</v>
      </c>
      <c r="T969" s="3" t="str">
        <f t="shared" si="90"/>
        <v>C</v>
      </c>
      <c r="U969" s="2">
        <f t="shared" si="91"/>
        <v>135.25</v>
      </c>
      <c r="V969" s="2">
        <f t="shared" si="92"/>
        <v>12.307610358118781</v>
      </c>
      <c r="W969" s="2">
        <f t="shared" si="93"/>
        <v>9.0998967527680455E-2</v>
      </c>
      <c r="X969" s="2" t="str">
        <f t="shared" si="94"/>
        <v>X</v>
      </c>
      <c r="Y969" s="2" t="str">
        <f t="shared" si="95"/>
        <v>CX</v>
      </c>
    </row>
    <row r="970" spans="1:25" x14ac:dyDescent="0.3">
      <c r="A970" s="2" t="s">
        <v>781</v>
      </c>
      <c r="B970" s="2" t="s">
        <v>782</v>
      </c>
      <c r="C970" s="2" t="s">
        <v>56</v>
      </c>
      <c r="D970" s="2">
        <v>138</v>
      </c>
      <c r="E970" s="2">
        <v>133</v>
      </c>
      <c r="F970" s="2">
        <v>140</v>
      </c>
      <c r="G970" s="2">
        <v>126</v>
      </c>
      <c r="H970" s="2">
        <v>137</v>
      </c>
      <c r="I970" s="2">
        <v>144</v>
      </c>
      <c r="J970" s="2">
        <v>139</v>
      </c>
      <c r="K970" s="2">
        <v>132</v>
      </c>
      <c r="L970" s="2">
        <v>134</v>
      </c>
      <c r="M970" s="2">
        <v>137</v>
      </c>
      <c r="N970" s="2">
        <v>112</v>
      </c>
      <c r="O970" s="2">
        <v>123</v>
      </c>
      <c r="P970" s="2">
        <v>1595</v>
      </c>
      <c r="Q970" s="2">
        <v>2</v>
      </c>
      <c r="R970" s="2">
        <v>3190</v>
      </c>
      <c r="S970" s="4">
        <f>SUM($R$2:R970) / SUM($R:$R)</f>
        <v>0.99993795882616976</v>
      </c>
      <c r="T970" s="3" t="str">
        <f t="shared" si="90"/>
        <v>C</v>
      </c>
      <c r="U970" s="2">
        <f t="shared" si="91"/>
        <v>132.91666666666666</v>
      </c>
      <c r="V970" s="2">
        <f t="shared" si="92"/>
        <v>8.81587754960883</v>
      </c>
      <c r="W970" s="2">
        <f t="shared" si="93"/>
        <v>6.6326351470411271E-2</v>
      </c>
      <c r="X970" s="2" t="str">
        <f t="shared" si="94"/>
        <v>X</v>
      </c>
      <c r="Y970" s="2" t="str">
        <f t="shared" si="95"/>
        <v>CX</v>
      </c>
    </row>
    <row r="971" spans="1:25" x14ac:dyDescent="0.3">
      <c r="A971" s="2" t="s">
        <v>23</v>
      </c>
      <c r="B971" s="2" t="s">
        <v>24</v>
      </c>
      <c r="C971" s="2" t="s">
        <v>25</v>
      </c>
      <c r="D971" s="2">
        <v>61</v>
      </c>
      <c r="E971" s="2">
        <v>175</v>
      </c>
      <c r="F971" s="2">
        <v>38</v>
      </c>
      <c r="G971" s="2">
        <v>43</v>
      </c>
      <c r="H971" s="2">
        <v>15</v>
      </c>
      <c r="I971" s="2">
        <v>161</v>
      </c>
      <c r="J971" s="2">
        <v>224</v>
      </c>
      <c r="K971" s="2">
        <v>41</v>
      </c>
      <c r="L971" s="2">
        <v>387</v>
      </c>
      <c r="M971" s="2">
        <v>340</v>
      </c>
      <c r="N971" s="2">
        <v>70</v>
      </c>
      <c r="O971" s="2">
        <v>21</v>
      </c>
      <c r="P971" s="2">
        <v>1576</v>
      </c>
      <c r="Q971" s="2">
        <v>2</v>
      </c>
      <c r="R971" s="2">
        <v>3152</v>
      </c>
      <c r="S971" s="4">
        <f>SUM($R$2:R971) / SUM($R:$R)</f>
        <v>0.99994089833523259</v>
      </c>
      <c r="T971" s="3" t="str">
        <f t="shared" si="90"/>
        <v>C</v>
      </c>
      <c r="U971" s="2">
        <f t="shared" si="91"/>
        <v>131.33333333333334</v>
      </c>
      <c r="V971" s="2">
        <f t="shared" si="92"/>
        <v>127.69661014460894</v>
      </c>
      <c r="W971" s="2">
        <f t="shared" si="93"/>
        <v>0.97230921429905282</v>
      </c>
      <c r="X971" s="2" t="str">
        <f t="shared" si="94"/>
        <v>Z</v>
      </c>
      <c r="Y971" s="2" t="str">
        <f t="shared" si="95"/>
        <v>CZ</v>
      </c>
    </row>
    <row r="972" spans="1:25" x14ac:dyDescent="0.3">
      <c r="A972" s="2" t="s">
        <v>1753</v>
      </c>
      <c r="B972" s="2" t="s">
        <v>1754</v>
      </c>
      <c r="C972" s="2" t="s">
        <v>56</v>
      </c>
      <c r="D972" s="2">
        <v>124</v>
      </c>
      <c r="E972" s="2">
        <v>128</v>
      </c>
      <c r="F972" s="2">
        <v>131</v>
      </c>
      <c r="G972" s="2">
        <v>144</v>
      </c>
      <c r="H972" s="2">
        <v>119</v>
      </c>
      <c r="I972" s="2">
        <v>137</v>
      </c>
      <c r="J972" s="2">
        <v>116</v>
      </c>
      <c r="K972" s="2">
        <v>133</v>
      </c>
      <c r="L972" s="2">
        <v>136</v>
      </c>
      <c r="M972" s="2">
        <v>122</v>
      </c>
      <c r="N972" s="2">
        <v>132</v>
      </c>
      <c r="O972" s="2">
        <v>133</v>
      </c>
      <c r="P972" s="2">
        <v>1555</v>
      </c>
      <c r="Q972" s="2">
        <v>2</v>
      </c>
      <c r="R972" s="2">
        <v>3110</v>
      </c>
      <c r="S972" s="4">
        <f>SUM($R$2:R972) / SUM($R:$R)</f>
        <v>0.99994379867571015</v>
      </c>
      <c r="T972" s="3" t="str">
        <f t="shared" si="90"/>
        <v>C</v>
      </c>
      <c r="U972" s="2">
        <f t="shared" si="91"/>
        <v>129.58333333333334</v>
      </c>
      <c r="V972" s="2">
        <f t="shared" si="92"/>
        <v>8.10676858986964</v>
      </c>
      <c r="W972" s="2">
        <f t="shared" si="93"/>
        <v>6.2560272076164422E-2</v>
      </c>
      <c r="X972" s="2" t="str">
        <f t="shared" si="94"/>
        <v>X</v>
      </c>
      <c r="Y972" s="2" t="str">
        <f t="shared" si="95"/>
        <v>CX</v>
      </c>
    </row>
    <row r="973" spans="1:25" x14ac:dyDescent="0.3">
      <c r="A973" s="2" t="s">
        <v>865</v>
      </c>
      <c r="B973" s="2" t="s">
        <v>866</v>
      </c>
      <c r="C973" s="2" t="s">
        <v>41</v>
      </c>
      <c r="D973" s="2">
        <v>118</v>
      </c>
      <c r="E973" s="2">
        <v>135</v>
      </c>
      <c r="F973" s="2">
        <v>114</v>
      </c>
      <c r="G973" s="2">
        <v>120</v>
      </c>
      <c r="H973" s="2">
        <v>110</v>
      </c>
      <c r="I973" s="2">
        <v>118</v>
      </c>
      <c r="J973" s="2">
        <v>127</v>
      </c>
      <c r="K973" s="2">
        <v>130</v>
      </c>
      <c r="L973" s="2">
        <v>133</v>
      </c>
      <c r="M973" s="2">
        <v>128</v>
      </c>
      <c r="N973" s="2">
        <v>135</v>
      </c>
      <c r="O973" s="2">
        <v>119</v>
      </c>
      <c r="P973" s="2">
        <v>1487</v>
      </c>
      <c r="Q973" s="2">
        <v>2</v>
      </c>
      <c r="R973" s="2">
        <v>2974</v>
      </c>
      <c r="S973" s="4">
        <f>SUM($R$2:R973) / SUM($R:$R)</f>
        <v>0.99994657218457839</v>
      </c>
      <c r="T973" s="3" t="str">
        <f t="shared" si="90"/>
        <v>C</v>
      </c>
      <c r="U973" s="2">
        <f t="shared" si="91"/>
        <v>123.91666666666667</v>
      </c>
      <c r="V973" s="2">
        <f t="shared" si="92"/>
        <v>8.4901904179666872</v>
      </c>
      <c r="W973" s="2">
        <f t="shared" si="93"/>
        <v>6.85153228080701E-2</v>
      </c>
      <c r="X973" s="2" t="str">
        <f t="shared" si="94"/>
        <v>X</v>
      </c>
      <c r="Y973" s="2" t="str">
        <f t="shared" si="95"/>
        <v>CX</v>
      </c>
    </row>
    <row r="974" spans="1:25" x14ac:dyDescent="0.3">
      <c r="A974" s="2" t="s">
        <v>1271</v>
      </c>
      <c r="B974" s="2" t="s">
        <v>1272</v>
      </c>
      <c r="C974" s="2" t="s">
        <v>56</v>
      </c>
      <c r="D974" s="2">
        <v>112</v>
      </c>
      <c r="E974" s="2">
        <v>113</v>
      </c>
      <c r="F974" s="2">
        <v>114</v>
      </c>
      <c r="G974" s="2">
        <v>109</v>
      </c>
      <c r="H974" s="2">
        <v>115</v>
      </c>
      <c r="I974" s="2">
        <v>117</v>
      </c>
      <c r="J974" s="2">
        <v>112</v>
      </c>
      <c r="K974" s="2">
        <v>123</v>
      </c>
      <c r="L974" s="2">
        <v>93</v>
      </c>
      <c r="M974" s="2">
        <v>128</v>
      </c>
      <c r="N974" s="2">
        <v>128</v>
      </c>
      <c r="O974" s="2">
        <v>98</v>
      </c>
      <c r="P974" s="2">
        <v>1362</v>
      </c>
      <c r="Q974" s="2">
        <v>2</v>
      </c>
      <c r="R974" s="2">
        <v>2724</v>
      </c>
      <c r="S974" s="4">
        <f>SUM($R$2:R974) / SUM($R:$R)</f>
        <v>0.99994911254710606</v>
      </c>
      <c r="T974" s="3" t="str">
        <f t="shared" si="90"/>
        <v>C</v>
      </c>
      <c r="U974" s="2">
        <f t="shared" si="91"/>
        <v>113.5</v>
      </c>
      <c r="V974" s="2">
        <f t="shared" si="92"/>
        <v>10.492421507493354</v>
      </c>
      <c r="W974" s="2">
        <f t="shared" si="93"/>
        <v>9.2444242356769638E-2</v>
      </c>
      <c r="X974" s="2" t="str">
        <f t="shared" si="94"/>
        <v>X</v>
      </c>
      <c r="Y974" s="2" t="str">
        <f t="shared" si="95"/>
        <v>CX</v>
      </c>
    </row>
    <row r="975" spans="1:25" x14ac:dyDescent="0.3">
      <c r="A975" s="2" t="s">
        <v>675</v>
      </c>
      <c r="B975" s="2" t="s">
        <v>676</v>
      </c>
      <c r="C975" s="2" t="s">
        <v>41</v>
      </c>
      <c r="D975" s="2">
        <v>104</v>
      </c>
      <c r="E975" s="2">
        <v>105</v>
      </c>
      <c r="F975" s="2">
        <v>122</v>
      </c>
      <c r="G975" s="2">
        <v>90</v>
      </c>
      <c r="H975" s="2">
        <v>109</v>
      </c>
      <c r="I975" s="2">
        <v>101</v>
      </c>
      <c r="J975" s="2">
        <v>119</v>
      </c>
      <c r="K975" s="2">
        <v>93</v>
      </c>
      <c r="L975" s="2">
        <v>112</v>
      </c>
      <c r="M975" s="2">
        <v>102</v>
      </c>
      <c r="N975" s="2">
        <v>100</v>
      </c>
      <c r="O975" s="2">
        <v>113</v>
      </c>
      <c r="P975" s="2">
        <v>1270</v>
      </c>
      <c r="Q975" s="2">
        <v>2</v>
      </c>
      <c r="R975" s="2">
        <v>2540</v>
      </c>
      <c r="S975" s="4">
        <f>SUM($R$2:R975) / SUM($R:$R)</f>
        <v>0.99995148131392697</v>
      </c>
      <c r="T975" s="3" t="str">
        <f t="shared" si="90"/>
        <v>C</v>
      </c>
      <c r="U975" s="2">
        <f t="shared" si="91"/>
        <v>105.83333333333333</v>
      </c>
      <c r="V975" s="2">
        <f t="shared" si="92"/>
        <v>9.6562116920883749</v>
      </c>
      <c r="W975" s="2">
        <f t="shared" si="93"/>
        <v>9.1239795515795669E-2</v>
      </c>
      <c r="X975" s="2" t="str">
        <f t="shared" si="94"/>
        <v>X</v>
      </c>
      <c r="Y975" s="2" t="str">
        <f t="shared" si="95"/>
        <v>CX</v>
      </c>
    </row>
    <row r="976" spans="1:25" x14ac:dyDescent="0.3">
      <c r="A976" s="2" t="s">
        <v>1413</v>
      </c>
      <c r="B976" s="2" t="s">
        <v>1414</v>
      </c>
      <c r="C976" s="2" t="s">
        <v>56</v>
      </c>
      <c r="D976" s="2">
        <v>108</v>
      </c>
      <c r="E976" s="2">
        <v>88</v>
      </c>
      <c r="F976" s="2">
        <v>114</v>
      </c>
      <c r="G976" s="2">
        <v>123</v>
      </c>
      <c r="H976" s="2">
        <v>99</v>
      </c>
      <c r="I976" s="2">
        <v>99</v>
      </c>
      <c r="J976" s="2">
        <v>98</v>
      </c>
      <c r="K976" s="2">
        <v>102</v>
      </c>
      <c r="L976" s="2">
        <v>102</v>
      </c>
      <c r="M976" s="2">
        <v>109</v>
      </c>
      <c r="N976" s="2">
        <v>109</v>
      </c>
      <c r="O976" s="2">
        <v>115</v>
      </c>
      <c r="P976" s="2">
        <v>1266</v>
      </c>
      <c r="Q976" s="2">
        <v>2</v>
      </c>
      <c r="R976" s="2">
        <v>2532</v>
      </c>
      <c r="S976" s="4">
        <f>SUM($R$2:R976) / SUM($R:$R)</f>
        <v>0.99995384262006504</v>
      </c>
      <c r="T976" s="3" t="str">
        <f t="shared" si="90"/>
        <v>C</v>
      </c>
      <c r="U976" s="2">
        <f t="shared" si="91"/>
        <v>105.5</v>
      </c>
      <c r="V976" s="2">
        <f t="shared" si="92"/>
        <v>9.3953566868281939</v>
      </c>
      <c r="W976" s="2">
        <f t="shared" si="93"/>
        <v>8.9055513619224591E-2</v>
      </c>
      <c r="X976" s="2" t="str">
        <f t="shared" si="94"/>
        <v>X</v>
      </c>
      <c r="Y976" s="2" t="str">
        <f t="shared" si="95"/>
        <v>CX</v>
      </c>
    </row>
    <row r="977" spans="1:25" x14ac:dyDescent="0.3">
      <c r="A977" s="2" t="s">
        <v>1651</v>
      </c>
      <c r="B977" s="2" t="s">
        <v>1652</v>
      </c>
      <c r="C977" s="2" t="s">
        <v>56</v>
      </c>
      <c r="D977" s="2">
        <v>108</v>
      </c>
      <c r="E977" s="2">
        <v>118</v>
      </c>
      <c r="F977" s="2">
        <v>90</v>
      </c>
      <c r="G977" s="2">
        <v>86</v>
      </c>
      <c r="H977" s="2">
        <v>105</v>
      </c>
      <c r="I977" s="2">
        <v>118</v>
      </c>
      <c r="J977" s="2">
        <v>101</v>
      </c>
      <c r="K977" s="2">
        <v>101</v>
      </c>
      <c r="L977" s="2">
        <v>95</v>
      </c>
      <c r="M977" s="2">
        <v>108</v>
      </c>
      <c r="N977" s="2">
        <v>114</v>
      </c>
      <c r="O977" s="2">
        <v>91</v>
      </c>
      <c r="P977" s="2">
        <v>1235</v>
      </c>
      <c r="Q977" s="2">
        <v>2</v>
      </c>
      <c r="R977" s="2">
        <v>2470</v>
      </c>
      <c r="S977" s="4">
        <f>SUM($R$2:R977) / SUM($R:$R)</f>
        <v>0.99995614610591055</v>
      </c>
      <c r="T977" s="3" t="str">
        <f t="shared" si="90"/>
        <v>C</v>
      </c>
      <c r="U977" s="2">
        <f t="shared" si="91"/>
        <v>102.91666666666667</v>
      </c>
      <c r="V977" s="2">
        <f t="shared" si="92"/>
        <v>10.866615541802046</v>
      </c>
      <c r="W977" s="2">
        <f t="shared" si="93"/>
        <v>0.10558654777459478</v>
      </c>
      <c r="X977" s="2" t="str">
        <f t="shared" si="94"/>
        <v>X</v>
      </c>
      <c r="Y977" s="2" t="str">
        <f t="shared" si="95"/>
        <v>CX</v>
      </c>
    </row>
    <row r="978" spans="1:25" x14ac:dyDescent="0.3">
      <c r="A978" s="2" t="s">
        <v>437</v>
      </c>
      <c r="B978" s="2" t="s">
        <v>438</v>
      </c>
      <c r="C978" s="2" t="s">
        <v>36</v>
      </c>
      <c r="D978" s="2">
        <v>111</v>
      </c>
      <c r="E978" s="2">
        <v>137</v>
      </c>
      <c r="F978" s="2">
        <v>107</v>
      </c>
      <c r="G978" s="2">
        <v>104</v>
      </c>
      <c r="H978" s="2">
        <v>99</v>
      </c>
      <c r="I978" s="2">
        <v>107</v>
      </c>
      <c r="J978" s="2">
        <v>105</v>
      </c>
      <c r="K978" s="2">
        <v>73</v>
      </c>
      <c r="L978" s="2">
        <v>101</v>
      </c>
      <c r="M978" s="2">
        <v>95</v>
      </c>
      <c r="N978" s="2">
        <v>86</v>
      </c>
      <c r="O978" s="2">
        <v>108</v>
      </c>
      <c r="P978" s="2">
        <v>1233</v>
      </c>
      <c r="Q978" s="2">
        <v>2</v>
      </c>
      <c r="R978" s="2">
        <v>2466</v>
      </c>
      <c r="S978" s="4">
        <f>SUM($R$2:R978) / SUM($R:$R)</f>
        <v>0.99995844586141469</v>
      </c>
      <c r="T978" s="3" t="str">
        <f t="shared" si="90"/>
        <v>C</v>
      </c>
      <c r="U978" s="2">
        <f t="shared" si="91"/>
        <v>102.75</v>
      </c>
      <c r="V978" s="2">
        <f t="shared" si="92"/>
        <v>15.238259265892069</v>
      </c>
      <c r="W978" s="2">
        <f t="shared" si="93"/>
        <v>0.14830422643203961</v>
      </c>
      <c r="X978" s="2" t="str">
        <f t="shared" si="94"/>
        <v>X</v>
      </c>
      <c r="Y978" s="2" t="str">
        <f t="shared" si="95"/>
        <v>CX</v>
      </c>
    </row>
    <row r="979" spans="1:25" x14ac:dyDescent="0.3">
      <c r="A979" s="2" t="s">
        <v>305</v>
      </c>
      <c r="B979" s="2" t="s">
        <v>306</v>
      </c>
      <c r="C979" s="2" t="s">
        <v>36</v>
      </c>
      <c r="D979" s="2">
        <v>110</v>
      </c>
      <c r="E979" s="2">
        <v>105</v>
      </c>
      <c r="F979" s="2">
        <v>112</v>
      </c>
      <c r="G979" s="2">
        <v>101</v>
      </c>
      <c r="H979" s="2">
        <v>94</v>
      </c>
      <c r="I979" s="2">
        <v>93</v>
      </c>
      <c r="J979" s="2">
        <v>107</v>
      </c>
      <c r="K979" s="2">
        <v>101</v>
      </c>
      <c r="L979" s="2">
        <v>92</v>
      </c>
      <c r="M979" s="2">
        <v>97</v>
      </c>
      <c r="N979" s="2">
        <v>94</v>
      </c>
      <c r="O979" s="2">
        <v>103</v>
      </c>
      <c r="P979" s="2">
        <v>1209</v>
      </c>
      <c r="Q979" s="2">
        <v>2</v>
      </c>
      <c r="R979" s="2">
        <v>2418</v>
      </c>
      <c r="S979" s="4">
        <f>SUM($R$2:R979) / SUM($R:$R)</f>
        <v>0.99996070085282129</v>
      </c>
      <c r="T979" s="3" t="str">
        <f t="shared" si="90"/>
        <v>C</v>
      </c>
      <c r="U979" s="2">
        <f t="shared" si="91"/>
        <v>100.75</v>
      </c>
      <c r="V979" s="2">
        <f t="shared" si="92"/>
        <v>6.8506801254925183</v>
      </c>
      <c r="W979" s="2">
        <f t="shared" si="93"/>
        <v>6.7996825066923255E-2</v>
      </c>
      <c r="X979" s="2" t="str">
        <f t="shared" si="94"/>
        <v>X</v>
      </c>
      <c r="Y979" s="2" t="str">
        <f t="shared" si="95"/>
        <v>CX</v>
      </c>
    </row>
    <row r="980" spans="1:25" x14ac:dyDescent="0.3">
      <c r="A980" s="2" t="s">
        <v>1981</v>
      </c>
      <c r="B980" s="2" t="s">
        <v>1982</v>
      </c>
      <c r="C980" s="2" t="s">
        <v>56</v>
      </c>
      <c r="D980" s="2">
        <v>96</v>
      </c>
      <c r="E980" s="2">
        <v>97</v>
      </c>
      <c r="F980" s="2">
        <v>104</v>
      </c>
      <c r="G980" s="2">
        <v>87</v>
      </c>
      <c r="H980" s="2">
        <v>111</v>
      </c>
      <c r="I980" s="2">
        <v>110</v>
      </c>
      <c r="J980" s="2">
        <v>103</v>
      </c>
      <c r="K980" s="2">
        <v>86</v>
      </c>
      <c r="L980" s="2">
        <v>98</v>
      </c>
      <c r="M980" s="2">
        <v>116</v>
      </c>
      <c r="N980" s="2">
        <v>85</v>
      </c>
      <c r="O980" s="2">
        <v>96</v>
      </c>
      <c r="P980" s="2">
        <v>1189</v>
      </c>
      <c r="Q980" s="2">
        <v>2</v>
      </c>
      <c r="R980" s="2">
        <v>2378</v>
      </c>
      <c r="S980" s="4">
        <f>SUM($R$2:R980) / SUM($R:$R)</f>
        <v>0.99996291854081354</v>
      </c>
      <c r="T980" s="3" t="str">
        <f t="shared" si="90"/>
        <v>C</v>
      </c>
      <c r="U980" s="2">
        <f t="shared" si="91"/>
        <v>99.083333333333329</v>
      </c>
      <c r="V980" s="2">
        <f t="shared" si="92"/>
        <v>10.12160904683488</v>
      </c>
      <c r="W980" s="2">
        <f t="shared" si="93"/>
        <v>0.10215248827755977</v>
      </c>
      <c r="X980" s="2" t="str">
        <f t="shared" si="94"/>
        <v>X</v>
      </c>
      <c r="Y980" s="2" t="str">
        <f t="shared" si="95"/>
        <v>CX</v>
      </c>
    </row>
    <row r="981" spans="1:25" x14ac:dyDescent="0.3">
      <c r="A981" s="2" t="s">
        <v>245</v>
      </c>
      <c r="B981" s="2" t="s">
        <v>246</v>
      </c>
      <c r="C981" s="2" t="s">
        <v>56</v>
      </c>
      <c r="D981" s="2">
        <v>111</v>
      </c>
      <c r="E981" s="2">
        <v>119</v>
      </c>
      <c r="F981" s="2">
        <v>85</v>
      </c>
      <c r="G981" s="2">
        <v>102</v>
      </c>
      <c r="H981" s="2">
        <v>95</v>
      </c>
      <c r="I981" s="2">
        <v>97</v>
      </c>
      <c r="J981" s="2">
        <v>101</v>
      </c>
      <c r="K981" s="2">
        <v>113</v>
      </c>
      <c r="L981" s="2">
        <v>101</v>
      </c>
      <c r="M981" s="2">
        <v>87</v>
      </c>
      <c r="N981" s="2">
        <v>95</v>
      </c>
      <c r="O981" s="2">
        <v>80</v>
      </c>
      <c r="P981" s="2">
        <v>1186</v>
      </c>
      <c r="Q981" s="2">
        <v>2</v>
      </c>
      <c r="R981" s="2">
        <v>2372</v>
      </c>
      <c r="S981" s="4">
        <f>SUM($R$2:R981) / SUM($R:$R)</f>
        <v>0.99996513063329351</v>
      </c>
      <c r="T981" s="3" t="str">
        <f t="shared" si="90"/>
        <v>C</v>
      </c>
      <c r="U981" s="2">
        <f t="shared" si="91"/>
        <v>98.833333333333329</v>
      </c>
      <c r="V981" s="2">
        <f t="shared" si="92"/>
        <v>11.652805618728875</v>
      </c>
      <c r="W981" s="2">
        <f t="shared" si="93"/>
        <v>0.11790359816589081</v>
      </c>
      <c r="X981" s="2" t="str">
        <f t="shared" si="94"/>
        <v>X</v>
      </c>
      <c r="Y981" s="2" t="str">
        <f t="shared" si="95"/>
        <v>CX</v>
      </c>
    </row>
    <row r="982" spans="1:25" x14ac:dyDescent="0.3">
      <c r="A982" s="2" t="s">
        <v>1165</v>
      </c>
      <c r="B982" s="2" t="s">
        <v>1166</v>
      </c>
      <c r="C982" s="2" t="s">
        <v>36</v>
      </c>
      <c r="D982" s="2">
        <v>82</v>
      </c>
      <c r="E982" s="2">
        <v>106</v>
      </c>
      <c r="F982" s="2">
        <v>109</v>
      </c>
      <c r="G982" s="2">
        <v>100</v>
      </c>
      <c r="H982" s="2">
        <v>107</v>
      </c>
      <c r="I982" s="2">
        <v>81</v>
      </c>
      <c r="J982" s="2">
        <v>96</v>
      </c>
      <c r="K982" s="2">
        <v>97</v>
      </c>
      <c r="L982" s="2">
        <v>101</v>
      </c>
      <c r="M982" s="2">
        <v>90</v>
      </c>
      <c r="N982" s="2">
        <v>89</v>
      </c>
      <c r="O982" s="2">
        <v>93</v>
      </c>
      <c r="P982" s="2">
        <v>1151</v>
      </c>
      <c r="Q982" s="2">
        <v>2</v>
      </c>
      <c r="R982" s="2">
        <v>2302</v>
      </c>
      <c r="S982" s="4">
        <f>SUM($R$2:R982) / SUM($R:$R)</f>
        <v>0.99996727744479819</v>
      </c>
      <c r="T982" s="3" t="str">
        <f t="shared" si="90"/>
        <v>C</v>
      </c>
      <c r="U982" s="2">
        <f t="shared" si="91"/>
        <v>95.916666666666671</v>
      </c>
      <c r="V982" s="2">
        <f t="shared" si="92"/>
        <v>9.2781104398111864</v>
      </c>
      <c r="W982" s="2">
        <f t="shared" si="93"/>
        <v>9.6730951587953279E-2</v>
      </c>
      <c r="X982" s="2" t="str">
        <f t="shared" si="94"/>
        <v>X</v>
      </c>
      <c r="Y982" s="2" t="str">
        <f t="shared" si="95"/>
        <v>CX</v>
      </c>
    </row>
    <row r="983" spans="1:25" x14ac:dyDescent="0.3">
      <c r="A983" s="2" t="s">
        <v>671</v>
      </c>
      <c r="B983" s="2" t="s">
        <v>672</v>
      </c>
      <c r="C983" s="2" t="s">
        <v>41</v>
      </c>
      <c r="D983" s="2">
        <v>94</v>
      </c>
      <c r="E983" s="2">
        <v>90</v>
      </c>
      <c r="F983" s="2">
        <v>115</v>
      </c>
      <c r="G983" s="2">
        <v>95</v>
      </c>
      <c r="H983" s="2">
        <v>112</v>
      </c>
      <c r="I983" s="2">
        <v>90</v>
      </c>
      <c r="J983" s="2">
        <v>90</v>
      </c>
      <c r="K983" s="2">
        <v>90</v>
      </c>
      <c r="L983" s="2">
        <v>88</v>
      </c>
      <c r="M983" s="2">
        <v>98</v>
      </c>
      <c r="N983" s="2">
        <v>86</v>
      </c>
      <c r="O983" s="2">
        <v>102</v>
      </c>
      <c r="P983" s="2">
        <v>1150</v>
      </c>
      <c r="Q983" s="2">
        <v>2</v>
      </c>
      <c r="R983" s="2">
        <v>2300</v>
      </c>
      <c r="S983" s="4">
        <f>SUM($R$2:R983) / SUM($R:$R)</f>
        <v>0.99996942239113207</v>
      </c>
      <c r="T983" s="3" t="str">
        <f t="shared" si="90"/>
        <v>C</v>
      </c>
      <c r="U983" s="2">
        <f t="shared" si="91"/>
        <v>95.833333333333329</v>
      </c>
      <c r="V983" s="2">
        <f t="shared" si="92"/>
        <v>9.3889038311996327</v>
      </c>
      <c r="W983" s="2">
        <f t="shared" si="93"/>
        <v>9.7971170412517905E-2</v>
      </c>
      <c r="X983" s="2" t="str">
        <f t="shared" si="94"/>
        <v>X</v>
      </c>
      <c r="Y983" s="2" t="str">
        <f t="shared" si="95"/>
        <v>CX</v>
      </c>
    </row>
    <row r="984" spans="1:25" x14ac:dyDescent="0.3">
      <c r="A984" s="2" t="s">
        <v>505</v>
      </c>
      <c r="B984" s="2" t="s">
        <v>506</v>
      </c>
      <c r="C984" s="2" t="s">
        <v>41</v>
      </c>
      <c r="D984" s="2">
        <v>89</v>
      </c>
      <c r="E984" s="2">
        <v>88</v>
      </c>
      <c r="F984" s="2">
        <v>121</v>
      </c>
      <c r="G984" s="2">
        <v>87</v>
      </c>
      <c r="H984" s="2">
        <v>86</v>
      </c>
      <c r="I984" s="2">
        <v>111</v>
      </c>
      <c r="J984" s="2">
        <v>79</v>
      </c>
      <c r="K984" s="2">
        <v>107</v>
      </c>
      <c r="L984" s="2">
        <v>84</v>
      </c>
      <c r="M984" s="2">
        <v>98</v>
      </c>
      <c r="N984" s="2">
        <v>95</v>
      </c>
      <c r="O984" s="2">
        <v>100</v>
      </c>
      <c r="P984" s="2">
        <v>1145</v>
      </c>
      <c r="Q984" s="2">
        <v>2</v>
      </c>
      <c r="R984" s="2">
        <v>2290</v>
      </c>
      <c r="S984" s="4">
        <f>SUM($R$2:R984) / SUM($R:$R)</f>
        <v>0.99997155801161242</v>
      </c>
      <c r="T984" s="3" t="str">
        <f t="shared" si="90"/>
        <v>C</v>
      </c>
      <c r="U984" s="2">
        <f t="shared" si="91"/>
        <v>95.416666666666671</v>
      </c>
      <c r="V984" s="2">
        <f t="shared" si="92"/>
        <v>12.486052825113131</v>
      </c>
      <c r="W984" s="2">
        <f t="shared" si="93"/>
        <v>0.13085819554703718</v>
      </c>
      <c r="X984" s="2" t="str">
        <f t="shared" si="94"/>
        <v>X</v>
      </c>
      <c r="Y984" s="2" t="str">
        <f t="shared" si="95"/>
        <v>CX</v>
      </c>
    </row>
    <row r="985" spans="1:25" x14ac:dyDescent="0.3">
      <c r="A985" s="2" t="s">
        <v>1395</v>
      </c>
      <c r="B985" s="2" t="s">
        <v>1396</v>
      </c>
      <c r="C985" s="2" t="s">
        <v>56</v>
      </c>
      <c r="D985" s="2">
        <v>76</v>
      </c>
      <c r="E985" s="2">
        <v>107</v>
      </c>
      <c r="F985" s="2">
        <v>107</v>
      </c>
      <c r="G985" s="2">
        <v>84</v>
      </c>
      <c r="H985" s="2">
        <v>93</v>
      </c>
      <c r="I985" s="2">
        <v>96</v>
      </c>
      <c r="J985" s="2">
        <v>95</v>
      </c>
      <c r="K985" s="2">
        <v>86</v>
      </c>
      <c r="L985" s="2">
        <v>102</v>
      </c>
      <c r="M985" s="2">
        <v>99</v>
      </c>
      <c r="N985" s="2">
        <v>87</v>
      </c>
      <c r="O985" s="2">
        <v>100</v>
      </c>
      <c r="P985" s="2">
        <v>1132</v>
      </c>
      <c r="Q985" s="2">
        <v>2</v>
      </c>
      <c r="R985" s="2">
        <v>2264</v>
      </c>
      <c r="S985" s="4">
        <f>SUM($R$2:R985) / SUM($R:$R)</f>
        <v>0.9999736693848732</v>
      </c>
      <c r="T985" s="3" t="str">
        <f t="shared" si="90"/>
        <v>C</v>
      </c>
      <c r="U985" s="2">
        <f t="shared" si="91"/>
        <v>94.333333333333329</v>
      </c>
      <c r="V985" s="2">
        <f t="shared" si="92"/>
        <v>9.556847457887633</v>
      </c>
      <c r="W985" s="2">
        <f t="shared" si="93"/>
        <v>0.10130933700940954</v>
      </c>
      <c r="X985" s="2" t="str">
        <f t="shared" si="94"/>
        <v>X</v>
      </c>
      <c r="Y985" s="2" t="str">
        <f t="shared" si="95"/>
        <v>CX</v>
      </c>
    </row>
    <row r="986" spans="1:25" x14ac:dyDescent="0.3">
      <c r="A986" s="2" t="s">
        <v>911</v>
      </c>
      <c r="B986" s="2" t="s">
        <v>912</v>
      </c>
      <c r="C986" s="2" t="s">
        <v>41</v>
      </c>
      <c r="D986" s="2">
        <v>98</v>
      </c>
      <c r="E986" s="2">
        <v>84</v>
      </c>
      <c r="F986" s="2">
        <v>79</v>
      </c>
      <c r="G986" s="2">
        <v>83</v>
      </c>
      <c r="H986" s="2">
        <v>88</v>
      </c>
      <c r="I986" s="2">
        <v>91</v>
      </c>
      <c r="J986" s="2">
        <v>82</v>
      </c>
      <c r="K986" s="2">
        <v>106</v>
      </c>
      <c r="L986" s="2">
        <v>85</v>
      </c>
      <c r="M986" s="2">
        <v>99</v>
      </c>
      <c r="N986" s="2">
        <v>91</v>
      </c>
      <c r="O986" s="2">
        <v>87</v>
      </c>
      <c r="P986" s="2">
        <v>1073</v>
      </c>
      <c r="Q986" s="2">
        <v>2</v>
      </c>
      <c r="R986" s="2">
        <v>2146</v>
      </c>
      <c r="S986" s="4">
        <f>SUM($R$2:R986) / SUM($R:$R)</f>
        <v>0.99997567071306126</v>
      </c>
      <c r="T986" s="3" t="str">
        <f t="shared" si="90"/>
        <v>C</v>
      </c>
      <c r="U986" s="2">
        <f t="shared" si="91"/>
        <v>89.416666666666671</v>
      </c>
      <c r="V986" s="2">
        <f t="shared" si="92"/>
        <v>8.0165548407749014</v>
      </c>
      <c r="W986" s="2">
        <f t="shared" si="93"/>
        <v>8.9653921798041769E-2</v>
      </c>
      <c r="X986" s="2" t="str">
        <f t="shared" si="94"/>
        <v>X</v>
      </c>
      <c r="Y986" s="2" t="str">
        <f t="shared" si="95"/>
        <v>CX</v>
      </c>
    </row>
    <row r="987" spans="1:25" x14ac:dyDescent="0.3">
      <c r="A987" s="2" t="s">
        <v>753</v>
      </c>
      <c r="B987" s="2" t="s">
        <v>754</v>
      </c>
      <c r="C987" s="2" t="s">
        <v>41</v>
      </c>
      <c r="D987" s="2">
        <v>94</v>
      </c>
      <c r="E987" s="2">
        <v>101</v>
      </c>
      <c r="F987" s="2">
        <v>83</v>
      </c>
      <c r="G987" s="2">
        <v>85</v>
      </c>
      <c r="H987" s="2">
        <v>84</v>
      </c>
      <c r="I987" s="2">
        <v>92</v>
      </c>
      <c r="J987" s="2">
        <v>102</v>
      </c>
      <c r="K987" s="2">
        <v>90</v>
      </c>
      <c r="L987" s="2">
        <v>88</v>
      </c>
      <c r="M987" s="2">
        <v>88</v>
      </c>
      <c r="N987" s="2">
        <v>84</v>
      </c>
      <c r="O987" s="2">
        <v>76</v>
      </c>
      <c r="P987" s="2">
        <v>1067</v>
      </c>
      <c r="Q987" s="2">
        <v>2</v>
      </c>
      <c r="R987" s="2">
        <v>2134</v>
      </c>
      <c r="S987" s="4">
        <f>SUM($R$2:R987) / SUM($R:$R)</f>
        <v>0.99997766085022499</v>
      </c>
      <c r="T987" s="3" t="str">
        <f t="shared" si="90"/>
        <v>C</v>
      </c>
      <c r="U987" s="2">
        <f t="shared" si="91"/>
        <v>88.916666666666671</v>
      </c>
      <c r="V987" s="2">
        <f t="shared" si="92"/>
        <v>7.5131198377884072</v>
      </c>
      <c r="W987" s="2">
        <f t="shared" si="93"/>
        <v>8.4496193114771204E-2</v>
      </c>
      <c r="X987" s="2" t="str">
        <f t="shared" si="94"/>
        <v>X</v>
      </c>
      <c r="Y987" s="2" t="str">
        <f t="shared" si="95"/>
        <v>CX</v>
      </c>
    </row>
    <row r="988" spans="1:25" x14ac:dyDescent="0.3">
      <c r="A988" s="2" t="s">
        <v>1623</v>
      </c>
      <c r="B988" s="2" t="s">
        <v>1624</v>
      </c>
      <c r="C988" s="2" t="s">
        <v>41</v>
      </c>
      <c r="D988" s="2">
        <v>98</v>
      </c>
      <c r="E988" s="2">
        <v>84</v>
      </c>
      <c r="F988" s="2">
        <v>67</v>
      </c>
      <c r="G988" s="2">
        <v>88</v>
      </c>
      <c r="H988" s="2">
        <v>96</v>
      </c>
      <c r="I988" s="2">
        <v>85</v>
      </c>
      <c r="J988" s="2">
        <v>88</v>
      </c>
      <c r="K988" s="2">
        <v>85</v>
      </c>
      <c r="L988" s="2">
        <v>88</v>
      </c>
      <c r="M988" s="2">
        <v>88</v>
      </c>
      <c r="N988" s="2">
        <v>93</v>
      </c>
      <c r="O988" s="2">
        <v>64</v>
      </c>
      <c r="P988" s="2">
        <v>1024</v>
      </c>
      <c r="Q988" s="2">
        <v>2</v>
      </c>
      <c r="R988" s="2">
        <v>2048</v>
      </c>
      <c r="S988" s="4">
        <f>SUM($R$2:R988) / SUM($R:$R)</f>
        <v>0.99997957078504751</v>
      </c>
      <c r="T988" s="3" t="str">
        <f t="shared" si="90"/>
        <v>C</v>
      </c>
      <c r="U988" s="2">
        <f t="shared" si="91"/>
        <v>85.333333333333329</v>
      </c>
      <c r="V988" s="2">
        <f t="shared" si="92"/>
        <v>10.245472022786331</v>
      </c>
      <c r="W988" s="2">
        <f t="shared" si="93"/>
        <v>0.12006412526702731</v>
      </c>
      <c r="X988" s="2" t="str">
        <f t="shared" si="94"/>
        <v>X</v>
      </c>
      <c r="Y988" s="2" t="str">
        <f t="shared" si="95"/>
        <v>CX</v>
      </c>
    </row>
    <row r="989" spans="1:25" x14ac:dyDescent="0.3">
      <c r="A989" s="2" t="s">
        <v>39</v>
      </c>
      <c r="B989" s="2" t="s">
        <v>40</v>
      </c>
      <c r="C989" s="2" t="s">
        <v>41</v>
      </c>
      <c r="D989" s="2">
        <v>82</v>
      </c>
      <c r="E989" s="2">
        <v>83</v>
      </c>
      <c r="F989" s="2">
        <v>74</v>
      </c>
      <c r="G989" s="2">
        <v>72</v>
      </c>
      <c r="H989" s="2">
        <v>83</v>
      </c>
      <c r="I989" s="2">
        <v>108</v>
      </c>
      <c r="J989" s="2">
        <v>80</v>
      </c>
      <c r="K989" s="2">
        <v>88</v>
      </c>
      <c r="L989" s="2">
        <v>76</v>
      </c>
      <c r="M989" s="2">
        <v>93</v>
      </c>
      <c r="N989" s="2">
        <v>85</v>
      </c>
      <c r="O989" s="2">
        <v>91</v>
      </c>
      <c r="P989" s="2">
        <v>1015</v>
      </c>
      <c r="Q989" s="2">
        <v>2</v>
      </c>
      <c r="R989" s="2">
        <v>2030</v>
      </c>
      <c r="S989" s="4">
        <f>SUM($R$2:R989) / SUM($R:$R)</f>
        <v>0.99998146393333354</v>
      </c>
      <c r="T989" s="3" t="str">
        <f t="shared" si="90"/>
        <v>C</v>
      </c>
      <c r="U989" s="2">
        <f t="shared" si="91"/>
        <v>84.583333333333329</v>
      </c>
      <c r="V989" s="2">
        <f t="shared" si="92"/>
        <v>9.7650427856748809</v>
      </c>
      <c r="W989" s="2">
        <f t="shared" si="93"/>
        <v>0.11544878170256018</v>
      </c>
      <c r="X989" s="2" t="str">
        <f t="shared" si="94"/>
        <v>X</v>
      </c>
      <c r="Y989" s="2" t="str">
        <f t="shared" si="95"/>
        <v>CX</v>
      </c>
    </row>
    <row r="990" spans="1:25" x14ac:dyDescent="0.3">
      <c r="A990" s="2" t="s">
        <v>1493</v>
      </c>
      <c r="B990" s="2" t="s">
        <v>1494</v>
      </c>
      <c r="C990" s="2" t="s">
        <v>41</v>
      </c>
      <c r="D990" s="2">
        <v>81</v>
      </c>
      <c r="E990" s="2">
        <v>79</v>
      </c>
      <c r="F990" s="2">
        <v>88</v>
      </c>
      <c r="G990" s="2">
        <v>86</v>
      </c>
      <c r="H990" s="2">
        <v>93</v>
      </c>
      <c r="I990" s="2">
        <v>89</v>
      </c>
      <c r="J990" s="2">
        <v>87</v>
      </c>
      <c r="K990" s="2">
        <v>72</v>
      </c>
      <c r="L990" s="2">
        <v>67</v>
      </c>
      <c r="M990" s="2">
        <v>86</v>
      </c>
      <c r="N990" s="2">
        <v>87</v>
      </c>
      <c r="O990" s="2">
        <v>80</v>
      </c>
      <c r="P990" s="2">
        <v>995</v>
      </c>
      <c r="Q990" s="2">
        <v>2</v>
      </c>
      <c r="R990" s="2">
        <v>1990</v>
      </c>
      <c r="S990" s="4">
        <f>SUM($R$2:R990) / SUM($R:$R)</f>
        <v>0.99998331977820509</v>
      </c>
      <c r="T990" s="3" t="str">
        <f t="shared" si="90"/>
        <v>C</v>
      </c>
      <c r="U990" s="2">
        <f t="shared" si="91"/>
        <v>82.916666666666671</v>
      </c>
      <c r="V990" s="2">
        <f t="shared" si="92"/>
        <v>7.4888806462203243</v>
      </c>
      <c r="W990" s="2">
        <f t="shared" si="93"/>
        <v>9.0318158547380789E-2</v>
      </c>
      <c r="X990" s="2" t="str">
        <f t="shared" si="94"/>
        <v>X</v>
      </c>
      <c r="Y990" s="2" t="str">
        <f t="shared" si="95"/>
        <v>CX</v>
      </c>
    </row>
    <row r="991" spans="1:25" x14ac:dyDescent="0.3">
      <c r="A991" s="2" t="s">
        <v>1599</v>
      </c>
      <c r="B991" s="2" t="s">
        <v>1600</v>
      </c>
      <c r="C991" s="2" t="s">
        <v>41</v>
      </c>
      <c r="D991" s="2">
        <v>80</v>
      </c>
      <c r="E991" s="2">
        <v>88</v>
      </c>
      <c r="F991" s="2">
        <v>80</v>
      </c>
      <c r="G991" s="2">
        <v>87</v>
      </c>
      <c r="H991" s="2">
        <v>81</v>
      </c>
      <c r="I991" s="2">
        <v>83</v>
      </c>
      <c r="J991" s="2">
        <v>87</v>
      </c>
      <c r="K991" s="2">
        <v>96</v>
      </c>
      <c r="L991" s="2">
        <v>82</v>
      </c>
      <c r="M991" s="2">
        <v>76</v>
      </c>
      <c r="N991" s="2">
        <v>81</v>
      </c>
      <c r="O991" s="2">
        <v>73</v>
      </c>
      <c r="P991" s="2">
        <v>994</v>
      </c>
      <c r="Q991" s="2">
        <v>2</v>
      </c>
      <c r="R991" s="2">
        <v>1988</v>
      </c>
      <c r="S991" s="4">
        <f>SUM($R$2:R991) / SUM($R:$R)</f>
        <v>0.99998517375790585</v>
      </c>
      <c r="T991" s="3" t="str">
        <f t="shared" si="90"/>
        <v>C</v>
      </c>
      <c r="U991" s="2">
        <f t="shared" si="91"/>
        <v>82.833333333333329</v>
      </c>
      <c r="V991" s="2">
        <f t="shared" si="92"/>
        <v>6.0427768050087298</v>
      </c>
      <c r="W991" s="2">
        <f t="shared" si="93"/>
        <v>7.2951027827067166E-2</v>
      </c>
      <c r="X991" s="2" t="str">
        <f t="shared" si="94"/>
        <v>X</v>
      </c>
      <c r="Y991" s="2" t="str">
        <f t="shared" si="95"/>
        <v>CX</v>
      </c>
    </row>
    <row r="992" spans="1:25" x14ac:dyDescent="0.3">
      <c r="A992" s="2" t="s">
        <v>1257</v>
      </c>
      <c r="B992" s="2" t="s">
        <v>1258</v>
      </c>
      <c r="C992" s="2" t="s">
        <v>36</v>
      </c>
      <c r="D992" s="2">
        <v>88</v>
      </c>
      <c r="E992" s="2">
        <v>87</v>
      </c>
      <c r="F992" s="2">
        <v>75</v>
      </c>
      <c r="G992" s="2">
        <v>84</v>
      </c>
      <c r="H992" s="2">
        <v>70</v>
      </c>
      <c r="I992" s="2">
        <v>74</v>
      </c>
      <c r="J992" s="2">
        <v>70</v>
      </c>
      <c r="K992" s="2">
        <v>105</v>
      </c>
      <c r="L992" s="2">
        <v>79</v>
      </c>
      <c r="M992" s="2">
        <v>88</v>
      </c>
      <c r="N992" s="2">
        <v>83</v>
      </c>
      <c r="O992" s="2">
        <v>76</v>
      </c>
      <c r="P992" s="2">
        <v>979</v>
      </c>
      <c r="Q992" s="2">
        <v>2</v>
      </c>
      <c r="R992" s="2">
        <v>1958</v>
      </c>
      <c r="S992" s="4">
        <f>SUM($R$2:R992) / SUM($R:$R)</f>
        <v>0.99998699976004579</v>
      </c>
      <c r="T992" s="3" t="str">
        <f t="shared" si="90"/>
        <v>C</v>
      </c>
      <c r="U992" s="2">
        <f t="shared" si="91"/>
        <v>81.583333333333329</v>
      </c>
      <c r="V992" s="2">
        <f t="shared" si="92"/>
        <v>9.885327357740735</v>
      </c>
      <c r="W992" s="2">
        <f t="shared" si="93"/>
        <v>0.12116846608058103</v>
      </c>
      <c r="X992" s="2" t="str">
        <f t="shared" si="94"/>
        <v>X</v>
      </c>
      <c r="Y992" s="2" t="str">
        <f t="shared" si="95"/>
        <v>CX</v>
      </c>
    </row>
    <row r="993" spans="1:25" x14ac:dyDescent="0.3">
      <c r="A993" s="2" t="s">
        <v>2007</v>
      </c>
      <c r="B993" s="2" t="s">
        <v>2008</v>
      </c>
      <c r="C993" s="2" t="s">
        <v>56</v>
      </c>
      <c r="D993" s="2">
        <v>68</v>
      </c>
      <c r="E993" s="2">
        <v>80</v>
      </c>
      <c r="F993" s="2">
        <v>83</v>
      </c>
      <c r="G993" s="2">
        <v>90</v>
      </c>
      <c r="H993" s="2">
        <v>84</v>
      </c>
      <c r="I993" s="2">
        <v>92</v>
      </c>
      <c r="J993" s="2">
        <v>81</v>
      </c>
      <c r="K993" s="2">
        <v>78</v>
      </c>
      <c r="L993" s="2">
        <v>70</v>
      </c>
      <c r="M993" s="2">
        <v>85</v>
      </c>
      <c r="N993" s="2">
        <v>75</v>
      </c>
      <c r="O993" s="2">
        <v>83</v>
      </c>
      <c r="P993" s="2">
        <v>969</v>
      </c>
      <c r="Q993" s="2">
        <v>2</v>
      </c>
      <c r="R993" s="2">
        <v>1938</v>
      </c>
      <c r="S993" s="4">
        <f>SUM($R$2:R993) / SUM($R:$R)</f>
        <v>0.99998880711047844</v>
      </c>
      <c r="T993" s="3" t="str">
        <f t="shared" si="90"/>
        <v>C</v>
      </c>
      <c r="U993" s="2">
        <f t="shared" si="91"/>
        <v>80.75</v>
      </c>
      <c r="V993" s="2">
        <f t="shared" si="92"/>
        <v>7.2000631310363588</v>
      </c>
      <c r="W993" s="2">
        <f t="shared" si="93"/>
        <v>8.9164868495806307E-2</v>
      </c>
      <c r="X993" s="2" t="str">
        <f t="shared" si="94"/>
        <v>X</v>
      </c>
      <c r="Y993" s="2" t="str">
        <f t="shared" si="95"/>
        <v>CX</v>
      </c>
    </row>
    <row r="994" spans="1:25" x14ac:dyDescent="0.3">
      <c r="A994" s="2" t="s">
        <v>989</v>
      </c>
      <c r="B994" s="2" t="s">
        <v>990</v>
      </c>
      <c r="C994" s="2" t="s">
        <v>41</v>
      </c>
      <c r="D994" s="2">
        <v>74</v>
      </c>
      <c r="E994" s="2">
        <v>71</v>
      </c>
      <c r="F994" s="2">
        <v>79</v>
      </c>
      <c r="G994" s="2">
        <v>84</v>
      </c>
      <c r="H994" s="2">
        <v>77</v>
      </c>
      <c r="I994" s="2">
        <v>66</v>
      </c>
      <c r="J994" s="2">
        <v>66</v>
      </c>
      <c r="K994" s="2">
        <v>82</v>
      </c>
      <c r="L994" s="2">
        <v>77</v>
      </c>
      <c r="M994" s="2">
        <v>92</v>
      </c>
      <c r="N994" s="2">
        <v>82</v>
      </c>
      <c r="O994" s="2">
        <v>90</v>
      </c>
      <c r="P994" s="2">
        <v>940</v>
      </c>
      <c r="Q994" s="2">
        <v>2</v>
      </c>
      <c r="R994" s="2">
        <v>1880</v>
      </c>
      <c r="S994" s="4">
        <f>SUM($R$2:R994) / SUM($R:$R)</f>
        <v>0.99999056037096012</v>
      </c>
      <c r="T994" s="3" t="str">
        <f t="shared" si="90"/>
        <v>C</v>
      </c>
      <c r="U994" s="2">
        <f t="shared" si="91"/>
        <v>78.333333333333329</v>
      </c>
      <c r="V994" s="2">
        <f t="shared" si="92"/>
        <v>8.3266639978645571</v>
      </c>
      <c r="W994" s="2">
        <f t="shared" si="93"/>
        <v>0.10629783827061137</v>
      </c>
      <c r="X994" s="2" t="str">
        <f t="shared" si="94"/>
        <v>X</v>
      </c>
      <c r="Y994" s="2" t="str">
        <f t="shared" si="95"/>
        <v>CX</v>
      </c>
    </row>
    <row r="995" spans="1:25" x14ac:dyDescent="0.3">
      <c r="A995" s="2" t="s">
        <v>577</v>
      </c>
      <c r="B995" s="2" t="s">
        <v>578</v>
      </c>
      <c r="C995" s="2" t="s">
        <v>36</v>
      </c>
      <c r="D995" s="2">
        <v>83</v>
      </c>
      <c r="E995" s="2">
        <v>78</v>
      </c>
      <c r="F995" s="2">
        <v>70</v>
      </c>
      <c r="G995" s="2">
        <v>80</v>
      </c>
      <c r="H995" s="2">
        <v>75</v>
      </c>
      <c r="I995" s="2">
        <v>81</v>
      </c>
      <c r="J995" s="2">
        <v>63</v>
      </c>
      <c r="K995" s="2">
        <v>49</v>
      </c>
      <c r="L995" s="2">
        <v>74</v>
      </c>
      <c r="M995" s="2">
        <v>61</v>
      </c>
      <c r="N995" s="2">
        <v>86</v>
      </c>
      <c r="O995" s="2">
        <v>59</v>
      </c>
      <c r="P995" s="2">
        <v>859</v>
      </c>
      <c r="Q995" s="2">
        <v>2</v>
      </c>
      <c r="R995" s="2">
        <v>1718</v>
      </c>
      <c r="S995" s="4">
        <f>SUM($R$2:R995) / SUM($R:$R)</f>
        <v>0.99999216255261292</v>
      </c>
      <c r="T995" s="3" t="str">
        <f t="shared" si="90"/>
        <v>C</v>
      </c>
      <c r="U995" s="2">
        <f t="shared" si="91"/>
        <v>71.583333333333329</v>
      </c>
      <c r="V995" s="2">
        <f t="shared" si="92"/>
        <v>11.333444740985394</v>
      </c>
      <c r="W995" s="2">
        <f t="shared" si="93"/>
        <v>0.15832518846545371</v>
      </c>
      <c r="X995" s="2" t="str">
        <f t="shared" si="94"/>
        <v>X</v>
      </c>
      <c r="Y995" s="2" t="str">
        <f t="shared" si="95"/>
        <v>CX</v>
      </c>
    </row>
    <row r="996" spans="1:25" x14ac:dyDescent="0.3">
      <c r="A996" s="2" t="s">
        <v>657</v>
      </c>
      <c r="B996" s="2" t="s">
        <v>658</v>
      </c>
      <c r="C996" s="2" t="s">
        <v>56</v>
      </c>
      <c r="D996" s="2">
        <v>61</v>
      </c>
      <c r="E996" s="2">
        <v>57</v>
      </c>
      <c r="F996" s="2">
        <v>55</v>
      </c>
      <c r="G996" s="2">
        <v>55</v>
      </c>
      <c r="H996" s="2">
        <v>61</v>
      </c>
      <c r="I996" s="2">
        <v>67</v>
      </c>
      <c r="J996" s="2">
        <v>63</v>
      </c>
      <c r="K996" s="2">
        <v>69</v>
      </c>
      <c r="L996" s="2">
        <v>74</v>
      </c>
      <c r="M996" s="2">
        <v>63</v>
      </c>
      <c r="N996" s="2">
        <v>74</v>
      </c>
      <c r="O996" s="2">
        <v>62</v>
      </c>
      <c r="P996" s="2">
        <v>761</v>
      </c>
      <c r="Q996" s="2">
        <v>2</v>
      </c>
      <c r="R996" s="2">
        <v>1522</v>
      </c>
      <c r="S996" s="4">
        <f>SUM($R$2:R996) / SUM($R:$R)</f>
        <v>0.99999358194753485</v>
      </c>
      <c r="T996" s="3" t="str">
        <f t="shared" si="90"/>
        <v>C</v>
      </c>
      <c r="U996" s="2">
        <f t="shared" si="91"/>
        <v>63.416666666666664</v>
      </c>
      <c r="V996" s="2">
        <f t="shared" si="92"/>
        <v>6.5011653966924667</v>
      </c>
      <c r="W996" s="2">
        <f t="shared" si="93"/>
        <v>0.10251509166926361</v>
      </c>
      <c r="X996" s="2" t="str">
        <f t="shared" si="94"/>
        <v>X</v>
      </c>
      <c r="Y996" s="2" t="str">
        <f t="shared" si="95"/>
        <v>CX</v>
      </c>
    </row>
    <row r="997" spans="1:25" x14ac:dyDescent="0.3">
      <c r="A997" s="2" t="s">
        <v>377</v>
      </c>
      <c r="B997" s="2" t="s">
        <v>378</v>
      </c>
      <c r="C997" s="2" t="s">
        <v>41</v>
      </c>
      <c r="D997" s="2">
        <v>63</v>
      </c>
      <c r="E997" s="2">
        <v>63</v>
      </c>
      <c r="F997" s="2">
        <v>59</v>
      </c>
      <c r="G997" s="2">
        <v>72</v>
      </c>
      <c r="H997" s="2">
        <v>55</v>
      </c>
      <c r="I997" s="2">
        <v>65</v>
      </c>
      <c r="J997" s="2">
        <v>60</v>
      </c>
      <c r="K997" s="2">
        <v>59</v>
      </c>
      <c r="L997" s="2">
        <v>59</v>
      </c>
      <c r="M997" s="2">
        <v>61</v>
      </c>
      <c r="N997" s="2">
        <v>75</v>
      </c>
      <c r="O997" s="2">
        <v>65</v>
      </c>
      <c r="P997" s="2">
        <v>756</v>
      </c>
      <c r="Q997" s="2">
        <v>2</v>
      </c>
      <c r="R997" s="2">
        <v>1512</v>
      </c>
      <c r="S997" s="4">
        <f>SUM($R$2:R997) / SUM($R:$R)</f>
        <v>0.99999499201660302</v>
      </c>
      <c r="T997" s="3" t="str">
        <f t="shared" si="90"/>
        <v>C</v>
      </c>
      <c r="U997" s="2">
        <f t="shared" si="91"/>
        <v>63</v>
      </c>
      <c r="V997" s="2">
        <f t="shared" si="92"/>
        <v>5.7048623599044479</v>
      </c>
      <c r="W997" s="2">
        <f t="shared" si="93"/>
        <v>9.0553370792134089E-2</v>
      </c>
      <c r="X997" s="2" t="str">
        <f t="shared" si="94"/>
        <v>X</v>
      </c>
      <c r="Y997" s="2" t="str">
        <f t="shared" si="95"/>
        <v>CX</v>
      </c>
    </row>
    <row r="998" spans="1:25" x14ac:dyDescent="0.3">
      <c r="A998" s="2" t="s">
        <v>987</v>
      </c>
      <c r="B998" s="2" t="s">
        <v>988</v>
      </c>
      <c r="C998" s="2" t="s">
        <v>56</v>
      </c>
      <c r="D998" s="2">
        <v>45</v>
      </c>
      <c r="E998" s="2">
        <v>53</v>
      </c>
      <c r="F998" s="2">
        <v>76</v>
      </c>
      <c r="G998" s="2">
        <v>60</v>
      </c>
      <c r="H998" s="2">
        <v>51</v>
      </c>
      <c r="I998" s="2">
        <v>69</v>
      </c>
      <c r="J998" s="2">
        <v>60</v>
      </c>
      <c r="K998" s="2">
        <v>57</v>
      </c>
      <c r="L998" s="2">
        <v>60</v>
      </c>
      <c r="M998" s="2">
        <v>76</v>
      </c>
      <c r="N998" s="2">
        <v>56</v>
      </c>
      <c r="O998" s="2">
        <v>65</v>
      </c>
      <c r="P998" s="2">
        <v>728</v>
      </c>
      <c r="Q998" s="2">
        <v>2</v>
      </c>
      <c r="R998" s="2">
        <v>1456</v>
      </c>
      <c r="S998" s="4">
        <f>SUM($R$2:R998) / SUM($R:$R)</f>
        <v>0.99999634986089092</v>
      </c>
      <c r="T998" s="3" t="str">
        <f t="shared" si="90"/>
        <v>C</v>
      </c>
      <c r="U998" s="2">
        <f t="shared" si="91"/>
        <v>60.666666666666664</v>
      </c>
      <c r="V998" s="2">
        <f t="shared" si="92"/>
        <v>9.4996012675492878</v>
      </c>
      <c r="W998" s="2">
        <f t="shared" si="93"/>
        <v>0.15658683408048277</v>
      </c>
      <c r="X998" s="2" t="str">
        <f t="shared" si="94"/>
        <v>X</v>
      </c>
      <c r="Y998" s="2" t="str">
        <f t="shared" si="95"/>
        <v>CX</v>
      </c>
    </row>
    <row r="999" spans="1:25" x14ac:dyDescent="0.3">
      <c r="A999" s="2" t="s">
        <v>839</v>
      </c>
      <c r="B999" s="2" t="s">
        <v>840</v>
      </c>
      <c r="C999" s="2" t="s">
        <v>56</v>
      </c>
      <c r="D999" s="2">
        <v>53</v>
      </c>
      <c r="E999" s="2">
        <v>53</v>
      </c>
      <c r="F999" s="2">
        <v>70</v>
      </c>
      <c r="G999" s="2">
        <v>62</v>
      </c>
      <c r="H999" s="2">
        <v>55</v>
      </c>
      <c r="I999" s="2">
        <v>54</v>
      </c>
      <c r="J999" s="2">
        <v>58</v>
      </c>
      <c r="K999" s="2">
        <v>69</v>
      </c>
      <c r="L999" s="2">
        <v>62</v>
      </c>
      <c r="M999" s="2">
        <v>48</v>
      </c>
      <c r="N999" s="2">
        <v>54</v>
      </c>
      <c r="O999" s="2">
        <v>60</v>
      </c>
      <c r="P999" s="2">
        <v>698</v>
      </c>
      <c r="Q999" s="2">
        <v>2</v>
      </c>
      <c r="R999" s="2">
        <v>1396</v>
      </c>
      <c r="S999" s="4">
        <f>SUM($R$2:R999) / SUM($R:$R)</f>
        <v>0.99999765175005706</v>
      </c>
      <c r="T999" s="3" t="str">
        <f t="shared" si="90"/>
        <v>C</v>
      </c>
      <c r="U999" s="2">
        <f t="shared" si="91"/>
        <v>58.166666666666664</v>
      </c>
      <c r="V999" s="2">
        <f t="shared" si="92"/>
        <v>6.6855792342151981</v>
      </c>
      <c r="W999" s="2">
        <f t="shared" si="93"/>
        <v>0.11493832494352776</v>
      </c>
      <c r="X999" s="2" t="str">
        <f t="shared" si="94"/>
        <v>X</v>
      </c>
      <c r="Y999" s="2" t="str">
        <f t="shared" si="95"/>
        <v>CX</v>
      </c>
    </row>
    <row r="1000" spans="1:25" x14ac:dyDescent="0.3">
      <c r="A1000" s="2" t="s">
        <v>1159</v>
      </c>
      <c r="B1000" s="2" t="s">
        <v>1160</v>
      </c>
      <c r="C1000" s="2" t="s">
        <v>36</v>
      </c>
      <c r="D1000" s="2">
        <v>50</v>
      </c>
      <c r="E1000" s="2">
        <v>65</v>
      </c>
      <c r="F1000" s="2">
        <v>61</v>
      </c>
      <c r="G1000" s="2">
        <v>60</v>
      </c>
      <c r="H1000" s="2">
        <v>51</v>
      </c>
      <c r="I1000" s="2">
        <v>55</v>
      </c>
      <c r="J1000" s="2">
        <v>48</v>
      </c>
      <c r="K1000" s="2">
        <v>51</v>
      </c>
      <c r="L1000" s="2">
        <v>54</v>
      </c>
      <c r="M1000" s="2">
        <v>55</v>
      </c>
      <c r="N1000" s="2">
        <v>50</v>
      </c>
      <c r="O1000" s="2">
        <v>45</v>
      </c>
      <c r="P1000" s="2">
        <v>645</v>
      </c>
      <c r="Q1000" s="2">
        <v>2</v>
      </c>
      <c r="R1000" s="2">
        <v>1290</v>
      </c>
      <c r="S1000" s="4">
        <f>SUM($R$2:R1000) / SUM($R:$R)</f>
        <v>0.99999885478517481</v>
      </c>
      <c r="T1000" s="3" t="str">
        <f t="shared" si="90"/>
        <v>C</v>
      </c>
      <c r="U1000" s="2">
        <f t="shared" si="91"/>
        <v>53.75</v>
      </c>
      <c r="V1000" s="2">
        <f t="shared" si="92"/>
        <v>5.8329004168361447</v>
      </c>
      <c r="W1000" s="2">
        <f t="shared" si="93"/>
        <v>0.10851907752253293</v>
      </c>
      <c r="X1000" s="2" t="str">
        <f t="shared" si="94"/>
        <v>X</v>
      </c>
      <c r="Y1000" s="2" t="str">
        <f t="shared" si="95"/>
        <v>CX</v>
      </c>
    </row>
    <row r="1001" spans="1:25" x14ac:dyDescent="0.3">
      <c r="A1001" s="2" t="s">
        <v>1835</v>
      </c>
      <c r="B1001" s="2" t="s">
        <v>1836</v>
      </c>
      <c r="C1001" s="2" t="s">
        <v>41</v>
      </c>
      <c r="D1001" s="2">
        <v>57</v>
      </c>
      <c r="E1001" s="2">
        <v>58</v>
      </c>
      <c r="F1001" s="2">
        <v>49</v>
      </c>
      <c r="G1001" s="2">
        <v>44</v>
      </c>
      <c r="H1001" s="2">
        <v>61</v>
      </c>
      <c r="I1001" s="2">
        <v>48</v>
      </c>
      <c r="J1001" s="2">
        <v>37</v>
      </c>
      <c r="K1001" s="2">
        <v>36</v>
      </c>
      <c r="L1001" s="2">
        <v>47</v>
      </c>
      <c r="M1001" s="2">
        <v>69</v>
      </c>
      <c r="N1001" s="2">
        <v>48</v>
      </c>
      <c r="O1001" s="2">
        <v>60</v>
      </c>
      <c r="P1001" s="2">
        <v>614</v>
      </c>
      <c r="Q1001" s="2">
        <v>2</v>
      </c>
      <c r="R1001" s="2">
        <v>1228</v>
      </c>
      <c r="S1001" s="4">
        <f>SUM($R$2:R1001) / SUM($R:$R)</f>
        <v>1</v>
      </c>
      <c r="T1001" s="3" t="str">
        <f t="shared" si="90"/>
        <v>C</v>
      </c>
      <c r="U1001" s="2">
        <f t="shared" si="91"/>
        <v>51.166666666666664</v>
      </c>
      <c r="V1001" s="2">
        <f t="shared" si="92"/>
        <v>9.9893883089946449</v>
      </c>
      <c r="W1001" s="2">
        <f t="shared" si="93"/>
        <v>0.19523234480119828</v>
      </c>
      <c r="X1001" s="2" t="str">
        <f t="shared" si="94"/>
        <v>X</v>
      </c>
      <c r="Y1001" s="2" t="str">
        <f t="shared" si="95"/>
        <v>CX</v>
      </c>
    </row>
  </sheetData>
  <sortState xmlns:xlrd2="http://schemas.microsoft.com/office/spreadsheetml/2017/richdata2" ref="A2:R1001">
    <sortCondition descending="1" ref="R2:R10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ABC-XYZ Dashboard  </vt:lpstr>
      <vt:lpstr>Master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Srivastava</dc:creator>
  <cp:lastModifiedBy>Aishwarya Srivastava</cp:lastModifiedBy>
  <dcterms:created xsi:type="dcterms:W3CDTF">2026-07-06T20:54:48Z</dcterms:created>
  <dcterms:modified xsi:type="dcterms:W3CDTF">2026-07-06T22:21:24Z</dcterms:modified>
</cp:coreProperties>
</file>